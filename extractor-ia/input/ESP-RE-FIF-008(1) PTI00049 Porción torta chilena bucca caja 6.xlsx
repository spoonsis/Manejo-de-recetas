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4" documentId="8_{3EE5691F-4DD9-469F-B340-0658D00E69B8}" xr6:coauthVersionLast="47" xr6:coauthVersionMax="47" xr10:uidLastSave="{8D7BFD99-E5B1-43A8-9E30-484D8D6ED5A7}"/>
  <bookViews>
    <workbookView xWindow="-120" yWindow="-120" windowWidth="29040" windowHeight="15840" xr2:uid="{00000000-000D-0000-FFFF-FFFF00000000}"/>
  </bookViews>
  <sheets>
    <sheet name="Hoja1" sheetId="6" r:id="rId1"/>
    <sheet name="Costo Chilena " sheetId="4" state="hidden" r:id="rId2"/>
    <sheet name="Precio" sheetId="5" state="hidden" r:id="rId3"/>
  </sheets>
  <externalReferences>
    <externalReference r:id="rId4"/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6" l="1"/>
  <c r="H27" i="6"/>
  <c r="G13" i="6"/>
  <c r="D9" i="5"/>
  <c r="D6" i="5"/>
  <c r="C25" i="4"/>
  <c r="B26" i="4"/>
  <c r="C26" i="4"/>
  <c r="D26" i="4"/>
  <c r="E26" i="4"/>
  <c r="F26" i="4"/>
  <c r="B27" i="4"/>
  <c r="C27" i="4"/>
  <c r="D27" i="4"/>
  <c r="E27" i="4"/>
  <c r="F27" i="4"/>
  <c r="C28" i="4"/>
  <c r="F28" i="4"/>
  <c r="C29" i="4"/>
  <c r="F29" i="4"/>
  <c r="B30" i="4"/>
  <c r="C30" i="4"/>
  <c r="F30" i="4"/>
  <c r="D30" i="4"/>
  <c r="E30" i="4"/>
  <c r="B31" i="4"/>
  <c r="C31" i="4"/>
  <c r="F31" i="4"/>
  <c r="D31" i="4"/>
  <c r="E31" i="4"/>
  <c r="B32" i="4"/>
  <c r="C32" i="4"/>
  <c r="D32" i="4"/>
  <c r="E32" i="4"/>
  <c r="F32" i="4"/>
  <c r="E43" i="4"/>
  <c r="F43" i="4"/>
  <c r="B13" i="4"/>
  <c r="F25" i="4"/>
  <c r="D69" i="4"/>
  <c r="D70" i="4"/>
  <c r="D72" i="4"/>
  <c r="D67" i="4"/>
  <c r="D65" i="4"/>
  <c r="F61" i="4"/>
  <c r="C69" i="4"/>
  <c r="C81" i="4"/>
  <c r="D56" i="4"/>
  <c r="D77" i="4"/>
  <c r="C47" i="4"/>
  <c r="E46" i="4"/>
  <c r="F46" i="4"/>
  <c r="A46" i="4"/>
  <c r="C46" i="4"/>
  <c r="E45" i="4"/>
  <c r="A45" i="4"/>
  <c r="C45" i="4"/>
  <c r="F45" i="4"/>
  <c r="E44" i="4"/>
  <c r="A44" i="4"/>
  <c r="C44" i="4"/>
  <c r="F44" i="4"/>
  <c r="A43" i="4"/>
  <c r="C43" i="4"/>
  <c r="E42" i="4"/>
  <c r="F42" i="4"/>
  <c r="A42" i="4"/>
  <c r="C42" i="4"/>
  <c r="E39" i="4"/>
  <c r="F39" i="4"/>
  <c r="G39" i="4"/>
  <c r="A39" i="4"/>
  <c r="C39" i="4"/>
  <c r="E38" i="4"/>
  <c r="A38" i="4"/>
  <c r="C38" i="4"/>
  <c r="F38" i="4"/>
  <c r="G38" i="4"/>
  <c r="E37" i="4"/>
  <c r="A37" i="4"/>
  <c r="C37" i="4"/>
  <c r="A36" i="4"/>
  <c r="C36" i="4"/>
  <c r="F36" i="4"/>
  <c r="G36" i="4"/>
  <c r="E35" i="4"/>
  <c r="A35" i="4"/>
  <c r="C35" i="4"/>
  <c r="F35" i="4"/>
  <c r="G35" i="4"/>
  <c r="C24" i="4"/>
  <c r="F24" i="4"/>
  <c r="E21" i="4"/>
  <c r="F21" i="4"/>
  <c r="D21" i="4"/>
  <c r="C21" i="4"/>
  <c r="B21" i="4"/>
  <c r="E20" i="4"/>
  <c r="D20" i="4"/>
  <c r="C20" i="4"/>
  <c r="F20" i="4"/>
  <c r="B20" i="4"/>
  <c r="E19" i="4"/>
  <c r="F19" i="4"/>
  <c r="D19" i="4"/>
  <c r="C19" i="4"/>
  <c r="B19" i="4"/>
  <c r="C18" i="4"/>
  <c r="E17" i="4"/>
  <c r="F17" i="4"/>
  <c r="D17" i="4"/>
  <c r="C17" i="4"/>
  <c r="B17" i="4"/>
  <c r="E14" i="4"/>
  <c r="D14" i="4"/>
  <c r="C14" i="4"/>
  <c r="F14" i="4"/>
  <c r="B14" i="4"/>
  <c r="E13" i="4"/>
  <c r="D13" i="4"/>
  <c r="C13" i="4"/>
  <c r="F13" i="4"/>
  <c r="E12" i="4"/>
  <c r="F12" i="4"/>
  <c r="D12" i="4"/>
  <c r="C12" i="4"/>
  <c r="B12" i="4"/>
  <c r="E11" i="4"/>
  <c r="D11" i="4"/>
  <c r="C11" i="4"/>
  <c r="F11" i="4"/>
  <c r="B11" i="4"/>
  <c r="E10" i="4"/>
  <c r="F10" i="4"/>
  <c r="D10" i="4"/>
  <c r="C10" i="4"/>
  <c r="B10" i="4"/>
  <c r="E9" i="4"/>
  <c r="F9" i="4"/>
  <c r="D9" i="4"/>
  <c r="C9" i="4"/>
  <c r="B9" i="4"/>
  <c r="E8" i="4"/>
  <c r="F8" i="4"/>
  <c r="D8" i="4"/>
  <c r="C8" i="4"/>
  <c r="B8" i="4"/>
  <c r="H6" i="4"/>
  <c r="E47" i="4"/>
  <c r="F47" i="4"/>
  <c r="F37" i="4"/>
  <c r="G37" i="4"/>
  <c r="E69" i="4"/>
  <c r="E18" i="4"/>
  <c r="F18" i="4"/>
  <c r="D79" i="4"/>
  <c r="D81" i="4"/>
  <c r="D82" i="4"/>
  <c r="E81" i="4"/>
  <c r="F52" i="4"/>
  <c r="F50" i="4"/>
  <c r="F49" i="4"/>
  <c r="H52" i="4"/>
  <c r="O51" i="4"/>
  <c r="C70" i="4"/>
  <c r="F60" i="4"/>
  <c r="H49" i="4"/>
  <c r="F51" i="4"/>
  <c r="C65" i="4"/>
  <c r="C72" i="4"/>
  <c r="E72" i="4"/>
  <c r="H50" i="4"/>
  <c r="E65" i="4"/>
  <c r="C77" i="4"/>
  <c r="E77" i="4"/>
  <c r="F2" i="4"/>
  <c r="E6" i="5"/>
  <c r="F6" i="5"/>
  <c r="G2" i="4"/>
  <c r="E9" i="5"/>
  <c r="F9" i="5"/>
  <c r="F59" i="4"/>
  <c r="H51" i="4"/>
  <c r="O50" i="4"/>
  <c r="C82" i="4"/>
  <c r="E82" i="4"/>
  <c r="E70" i="4"/>
  <c r="H2" i="4"/>
  <c r="F16" i="5"/>
  <c r="F11" i="5"/>
  <c r="F18" i="5"/>
  <c r="O52" i="4"/>
  <c r="O53" i="4"/>
  <c r="F62" i="4"/>
  <c r="G59" i="4"/>
  <c r="C67" i="4"/>
  <c r="E59" i="4"/>
  <c r="F12" i="5"/>
  <c r="E74" i="4"/>
  <c r="O54" i="4"/>
  <c r="O55" i="4"/>
  <c r="G62" i="4"/>
  <c r="G24" i="4"/>
  <c r="G61" i="4"/>
  <c r="G29" i="4"/>
  <c r="G9" i="4"/>
  <c r="G28" i="4"/>
  <c r="G30" i="4"/>
  <c r="G25" i="4"/>
  <c r="G11" i="4"/>
  <c r="G31" i="4"/>
  <c r="G45" i="4"/>
  <c r="G47" i="4"/>
  <c r="G12" i="4"/>
  <c r="G43" i="4"/>
  <c r="G19" i="4"/>
  <c r="G26" i="4"/>
  <c r="G27" i="4"/>
  <c r="G18" i="4"/>
  <c r="G13" i="4"/>
  <c r="G8" i="4"/>
  <c r="G46" i="4"/>
  <c r="G10" i="4"/>
  <c r="G17" i="4"/>
  <c r="G42" i="4"/>
  <c r="G32" i="4"/>
  <c r="G20" i="4"/>
  <c r="G21" i="4"/>
  <c r="G14" i="4"/>
  <c r="G44" i="4"/>
  <c r="G52" i="4"/>
  <c r="G49" i="4"/>
  <c r="G50" i="4"/>
  <c r="G60" i="4"/>
  <c r="G51" i="4"/>
  <c r="C79" i="4"/>
  <c r="E79" i="4"/>
  <c r="E67" i="4"/>
  <c r="F13" i="5"/>
  <c r="F15" i="5"/>
  <c r="O56" i="4"/>
  <c r="O57" i="4"/>
  <c r="O58" i="4"/>
  <c r="E2" i="4"/>
  <c r="O60" i="4"/>
  <c r="P58" i="4"/>
  <c r="F17" i="5"/>
  <c r="F19" i="5"/>
  <c r="F20" i="5"/>
  <c r="F21" i="5"/>
  <c r="F22" i="5"/>
  <c r="F23" i="5"/>
  <c r="G19" i="5"/>
  <c r="G23" i="5"/>
  <c r="F27" i="5"/>
  <c r="J23" i="5"/>
  <c r="G6" i="5"/>
  <c r="G16" i="5"/>
  <c r="G9" i="5"/>
  <c r="G12" i="5"/>
  <c r="G18" i="5"/>
  <c r="G11" i="5"/>
  <c r="G13" i="5"/>
  <c r="G15" i="5"/>
  <c r="G17" i="5"/>
  <c r="G21" i="5"/>
  <c r="G20" i="5"/>
  <c r="G22" i="5"/>
  <c r="F28" i="5"/>
  <c r="F29" i="5"/>
  <c r="F30" i="5"/>
  <c r="F31" i="5"/>
  <c r="F32" i="5"/>
  <c r="F34" i="5"/>
  <c r="F35" i="5"/>
  <c r="G29" i="5"/>
  <c r="H29" i="5"/>
</calcChain>
</file>

<file path=xl/sharedStrings.xml><?xml version="1.0" encoding="utf-8"?>
<sst xmlns="http://schemas.openxmlformats.org/spreadsheetml/2006/main" count="292" uniqueCount="182">
  <si>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</si>
  <si>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</si>
  <si>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</si>
  <si>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</si>
  <si>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</si>
  <si>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</si>
  <si>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</si>
  <si>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</si>
  <si>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</si>
  <si>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</si>
  <si>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</si>
  <si>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</si>
  <si>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</si>
  <si>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</si>
  <si>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95471</t>
  </si>
  <si>
    <t>g</t>
  </si>
  <si>
    <t>1112431</t>
  </si>
  <si>
    <t>Nestle</t>
  </si>
  <si>
    <t>CREMA LIMON BUCCA</t>
  </si>
  <si>
    <t>EMPAQUE</t>
  </si>
  <si>
    <t>1952919</t>
  </si>
  <si>
    <t>CAJA PRALINE 2 (UND)</t>
  </si>
  <si>
    <t>ud</t>
  </si>
  <si>
    <t>703020</t>
  </si>
  <si>
    <t>CINTA ADHESIVA TRANSPARENTE 2*100 MTS</t>
  </si>
  <si>
    <t>cms</t>
  </si>
  <si>
    <t>0702123</t>
  </si>
  <si>
    <t>ETIQUETA BLANCA 2 5/8X1 15/16</t>
  </si>
  <si>
    <t>0702012</t>
  </si>
  <si>
    <t>60100013</t>
  </si>
  <si>
    <t>ETIQ CIRCULO BUCCA DULCE (UND)</t>
  </si>
  <si>
    <t>1950683</t>
  </si>
  <si>
    <t>EMPAQUE TRIANGULAR</t>
  </si>
  <si>
    <t>702174</t>
  </si>
  <si>
    <t>1950705</t>
  </si>
  <si>
    <t>PESO TOTAL OBTENIDO</t>
  </si>
  <si>
    <t>TIEMPO TOTAL DE PREPARACION</t>
  </si>
  <si>
    <t>min</t>
  </si>
  <si>
    <t>Horno:</t>
  </si>
  <si>
    <t>CANTIDAD DE PORCIONES OBTENIDAS</t>
  </si>
  <si>
    <t>cajas</t>
  </si>
  <si>
    <t>PESO DE CADA PORCIÓN</t>
  </si>
  <si>
    <t>MERMA</t>
  </si>
  <si>
    <t>PROCEDIMIENTO DE PREPARACION DE LA  RECETA</t>
  </si>
  <si>
    <t>1-  Colocar la primer galleta de chilena en el plato de aluminio</t>
  </si>
  <si>
    <t>2- Distribuir 200g de manjar con una manga en toda la galleta, repetir esta operacion alternando galletas y manjar (terminar con galleta)</t>
  </si>
  <si>
    <t>3-  Distribuir 100g de merengue de limon Bucca y dibujar una espiral con la espatula partiendo del centro hacia el exterior</t>
  </si>
  <si>
    <t>4- Llevar al chiller por 4 horas antes de porcionar.</t>
  </si>
  <si>
    <t>5- Porcionar la torta chilena fria en 8piezas.</t>
  </si>
  <si>
    <t>6- Colocar en la base externa de los empaque triangulares etiqueta con ingredientes y fecha de vencimiento, en el lado interno  5g de hilos de manjar.</t>
  </si>
  <si>
    <t>7- Colocar cada porcion de chilena.</t>
  </si>
  <si>
    <t>8- Dibujar hilos delgados con manjar</t>
  </si>
  <si>
    <t>9- Tapar y colocar en la parte superior etiqueta bucca y a los lados sellos de seguridad</t>
  </si>
  <si>
    <t>10- Colocar 6 unidades en la caja praliné, etiquetar con nombre y vencimiento.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</si>
  <si>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</si>
  <si>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</si>
  <si>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</si>
  <si>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</si>
  <si>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</si>
  <si>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</si>
  <si>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</si>
  <si>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</si>
  <si>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</si>
  <si>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</si>
  <si>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</si>
  <si>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</si>
  <si>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</si>
  <si>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</si>
  <si>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 xml:space="preserve">Gramos </t>
  </si>
  <si>
    <t>UND</t>
  </si>
  <si>
    <t>CM</t>
  </si>
  <si>
    <t>0703020</t>
  </si>
  <si>
    <t>EMPAQUE SEMIELABORADOS</t>
  </si>
  <si>
    <t>CORTE GALLETA GDE P/TORTA CHILENA (UND)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</si>
  <si>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</si>
  <si>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</si>
  <si>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</si>
  <si>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</si>
  <si>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</si>
  <si>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</si>
  <si>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</si>
  <si>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</si>
  <si>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</si>
  <si>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</si>
  <si>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</si>
  <si>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</si>
  <si>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</si>
  <si>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</si>
  <si>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</si>
  <si>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</si>
  <si>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</si>
  <si>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</si>
  <si>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</si>
  <si>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</si>
  <si>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</si>
  <si>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</si>
  <si>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</si>
  <si>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</si>
  <si>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</si>
  <si>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</si>
  <si>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</si>
  <si>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</si>
  <si>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</si>
  <si>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</si>
  <si>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</si>
  <si>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</si>
  <si>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</si>
  <si>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</si>
  <si>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</si>
  <si>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</si>
  <si>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</si>
  <si>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</si>
  <si>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</si>
  <si>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</si>
  <si>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Ccaja de Porcion torta chilena bucca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</si>
  <si>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</si>
  <si>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</si>
  <si>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</si>
  <si>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</si>
  <si>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</si>
  <si>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</si>
  <si>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</si>
  <si>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</si>
  <si>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</si>
  <si>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</si>
  <si>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</si>
  <si>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</si>
  <si>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</si>
  <si>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</si>
  <si>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</si>
  <si>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</si>
  <si>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</si>
  <si>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</si>
  <si>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</si>
  <si>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11400066</t>
  </si>
  <si>
    <t>MANJAR DE LECHE CONDENSADA ( 6 KG )</t>
  </si>
  <si>
    <t>CONTROL DE CAMBIOS</t>
  </si>
  <si>
    <t>MP10007</t>
  </si>
  <si>
    <t>EM10063</t>
  </si>
  <si>
    <t>EM10248</t>
  </si>
  <si>
    <t>EM10135</t>
  </si>
  <si>
    <t>EM10037</t>
  </si>
  <si>
    <t>906000002</t>
  </si>
  <si>
    <t>SE00204</t>
  </si>
  <si>
    <t>905000058</t>
  </si>
  <si>
    <t>SE00277</t>
  </si>
  <si>
    <t>EM10011</t>
  </si>
  <si>
    <t>EM10005</t>
  </si>
  <si>
    <t>1952912</t>
  </si>
  <si>
    <t>EM10079</t>
  </si>
  <si>
    <t>EM10387</t>
  </si>
  <si>
    <t>ETIQUETA TORTA CHILENA BUCCA PORCION</t>
  </si>
  <si>
    <t>FAS</t>
  </si>
  <si>
    <t>Javier Tong, Chef</t>
  </si>
  <si>
    <t>AREA QUE PRODUCE:</t>
  </si>
  <si>
    <t>Figuras</t>
  </si>
  <si>
    <t xml:space="preserve">AREA QUE EMPACA: </t>
  </si>
  <si>
    <t>PTI00049 Porción torta chilena bucca caja 6</t>
  </si>
  <si>
    <t>01</t>
  </si>
  <si>
    <t>Esteban Cartin, Gte Manufactura</t>
  </si>
  <si>
    <t># Código Netsuite</t>
  </si>
  <si>
    <t>Medida alternativa</t>
  </si>
  <si>
    <t xml:space="preserve">Costo - Referencia </t>
  </si>
  <si>
    <t>Colones</t>
  </si>
  <si>
    <t>Ensamble</t>
  </si>
  <si>
    <t>CORTE GALLETA CHILENA GRANDE</t>
  </si>
  <si>
    <t>NESTLE</t>
  </si>
  <si>
    <t>CAPA</t>
  </si>
  <si>
    <t>Decoración</t>
  </si>
  <si>
    <t/>
  </si>
  <si>
    <t>Empaque</t>
  </si>
  <si>
    <t>CEMUSA</t>
  </si>
  <si>
    <t>ETIQ.FECHA VENCIMIENTO VERDE</t>
  </si>
  <si>
    <t>ETIPLAST</t>
  </si>
  <si>
    <t>ETIQUETAS MYL</t>
  </si>
  <si>
    <t xml:space="preserve">CONTENEDOR TRIANGULAR ALTO </t>
  </si>
  <si>
    <t>SELLO DE SEGURIDAD</t>
  </si>
  <si>
    <t>BOLSA 8X12 TRANSP (KILO)</t>
  </si>
  <si>
    <t>Tiempo de Horneo:</t>
  </si>
  <si>
    <t>Temperatura de Horneo:</t>
  </si>
  <si>
    <t>Otros</t>
  </si>
  <si>
    <t>ESP-RE-FIF-008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</si>
</sst>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000"/>
    <numFmt numFmtId="172" formatCode="0.0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</cellStyleXfs>
  <cellXfs count="359">
    <xf numFmtId="0" fontId="0" fillId="0" borderId="0" xfId="0"/>
    <xf numFmtId="0" fontId="6" fillId="2" borderId="1" xfId="3" applyFont="1" applyFill="1" applyBorder="1" applyAlignment="1">
      <alignment horizontal="right"/>
    </xf>
    <xf numFmtId="0" fontId="6" fillId="2" borderId="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5" fillId="2" borderId="2" xfId="3" applyFont="1" applyFill="1" applyBorder="1" applyAlignment="1">
      <alignment horizontal="right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49" fontId="10" fillId="0" borderId="2" xfId="0" applyNumberFormat="1" applyFont="1" applyBorder="1"/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49" fontId="9" fillId="0" borderId="13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49" fontId="5" fillId="2" borderId="4" xfId="3" applyNumberFormat="1" applyFont="1" applyFill="1" applyBorder="1" applyAlignment="1">
      <alignment horizontal="center"/>
    </xf>
    <xf numFmtId="0" fontId="5" fillId="2" borderId="14" xfId="3" applyFont="1" applyFill="1" applyBorder="1" applyAlignment="1">
      <alignment horizontal="center"/>
    </xf>
    <xf numFmtId="49" fontId="10" fillId="0" borderId="0" xfId="0" applyNumberFormat="1" applyFont="1"/>
    <xf numFmtId="0" fontId="10" fillId="9" borderId="0" xfId="0" applyFont="1" applyFill="1" applyAlignment="1">
      <alignment vertical="center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13" fillId="0" borderId="2" xfId="1" applyFont="1" applyFill="1" applyBorder="1" applyAlignment="1">
      <alignment horizontal="center" vertical="center"/>
    </xf>
    <xf numFmtId="166" fontId="13" fillId="0" borderId="0" xfId="1" applyFont="1" applyFill="1" applyBorder="1" applyAlignment="1">
      <alignment horizontal="center" vertical="center"/>
    </xf>
    <xf numFmtId="166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0" fontId="13" fillId="0" borderId="0" xfId="4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5" fillId="0" borderId="0" xfId="4" applyNumberFormat="1" applyFont="1" applyFill="1" applyAlignment="1">
      <alignment vertical="center"/>
    </xf>
    <xf numFmtId="0" fontId="10" fillId="0" borderId="0" xfId="0" applyFont="1"/>
    <xf numFmtId="49" fontId="13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166" fontId="22" fillId="0" borderId="0" xfId="1" applyFont="1" applyFill="1" applyAlignment="1">
      <alignment horizontal="center" vertical="center"/>
    </xf>
    <xf numFmtId="10" fontId="15" fillId="4" borderId="21" xfId="4" applyNumberFormat="1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0" fillId="4" borderId="21" xfId="0" applyFont="1" applyFill="1" applyBorder="1" applyAlignment="1">
      <alignment vertical="center"/>
    </xf>
    <xf numFmtId="166" fontId="22" fillId="4" borderId="22" xfId="1" applyFont="1" applyFill="1" applyBorder="1" applyAlignment="1">
      <alignment horizontal="center" vertical="center"/>
    </xf>
    <xf numFmtId="166" fontId="24" fillId="0" borderId="0" xfId="1" applyFont="1" applyFill="1" applyBorder="1" applyAlignment="1">
      <alignment horizontal="right"/>
    </xf>
    <xf numFmtId="0" fontId="10" fillId="4" borderId="22" xfId="0" applyFont="1" applyFill="1" applyBorder="1" applyAlignment="1">
      <alignment vertical="center"/>
    </xf>
    <xf numFmtId="10" fontId="15" fillId="4" borderId="22" xfId="4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9" fontId="50" fillId="0" borderId="0" xfId="4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23" xfId="0" applyFont="1" applyBorder="1" applyAlignment="1">
      <alignment horizontal="right"/>
    </xf>
    <xf numFmtId="166" fontId="27" fillId="5" borderId="24" xfId="1" applyFont="1" applyFill="1" applyBorder="1" applyAlignment="1">
      <alignment horizontal="right"/>
    </xf>
    <xf numFmtId="166" fontId="27" fillId="0" borderId="0" xfId="1" applyFont="1" applyFill="1" applyBorder="1" applyAlignment="1">
      <alignment horizontal="right"/>
    </xf>
    <xf numFmtId="166" fontId="13" fillId="0" borderId="2" xfId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28" fillId="0" borderId="0" xfId="4" applyNumberFormat="1" applyFont="1" applyFill="1" applyAlignment="1">
      <alignment horizontal="right"/>
    </xf>
    <xf numFmtId="169" fontId="13" fillId="4" borderId="2" xfId="1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166" fontId="13" fillId="6" borderId="2" xfId="1" applyFont="1" applyFill="1" applyBorder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5" fillId="4" borderId="25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10" fillId="4" borderId="25" xfId="0" applyFont="1" applyFill="1" applyBorder="1" applyAlignment="1">
      <alignment vertical="center"/>
    </xf>
    <xf numFmtId="10" fontId="10" fillId="0" borderId="0" xfId="4" applyNumberFormat="1" applyFont="1" applyFill="1" applyAlignment="1">
      <alignment vertical="center"/>
    </xf>
    <xf numFmtId="4" fontId="10" fillId="0" borderId="0" xfId="1" applyNumberFormat="1" applyFont="1" applyFill="1" applyAlignment="1">
      <alignment vertical="center"/>
    </xf>
    <xf numFmtId="166" fontId="27" fillId="4" borderId="9" xfId="1" applyFont="1" applyFill="1" applyBorder="1" applyAlignment="1">
      <alignment horizontal="right"/>
    </xf>
    <xf numFmtId="0" fontId="13" fillId="4" borderId="10" xfId="0" applyFont="1" applyFill="1" applyBorder="1" applyAlignment="1">
      <alignment horizontal="right" vertical="center"/>
    </xf>
    <xf numFmtId="10" fontId="32" fillId="0" borderId="0" xfId="1" applyNumberFormat="1" applyFont="1" applyFill="1" applyAlignment="1">
      <alignment vertical="center"/>
    </xf>
    <xf numFmtId="10" fontId="15" fillId="0" borderId="0" xfId="4" applyNumberFormat="1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166" fontId="34" fillId="0" borderId="0" xfId="1" applyFont="1" applyFill="1" applyAlignment="1">
      <alignment vertical="center"/>
    </xf>
    <xf numFmtId="4" fontId="35" fillId="0" borderId="0" xfId="2" applyNumberFormat="1" applyFont="1" applyFill="1" applyAlignment="1">
      <alignment horizontal="center" vertical="center" wrapText="1"/>
    </xf>
    <xf numFmtId="166" fontId="10" fillId="0" borderId="0" xfId="1" applyFont="1" applyFill="1" applyAlignment="1">
      <alignment vertical="center"/>
    </xf>
    <xf numFmtId="9" fontId="10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3" fillId="7" borderId="24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6" fontId="36" fillId="0" borderId="0" xfId="1" applyFont="1" applyFill="1" applyAlignment="1">
      <alignment vertical="center"/>
    </xf>
    <xf numFmtId="9" fontId="36" fillId="0" borderId="0" xfId="1" applyNumberFormat="1" applyFont="1" applyFill="1" applyAlignment="1">
      <alignment vertical="center"/>
    </xf>
    <xf numFmtId="4" fontId="13" fillId="0" borderId="0" xfId="1" applyNumberFormat="1" applyFont="1" applyFill="1" applyAlignment="1">
      <alignment horizontal="center" vertical="center"/>
    </xf>
    <xf numFmtId="10" fontId="29" fillId="0" borderId="0" xfId="4" applyNumberFormat="1" applyFont="1" applyFill="1" applyAlignment="1">
      <alignment vertical="center"/>
    </xf>
    <xf numFmtId="166" fontId="29" fillId="0" borderId="0" xfId="1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166" fontId="10" fillId="0" borderId="0" xfId="1" applyFont="1" applyFill="1" applyBorder="1"/>
    <xf numFmtId="10" fontId="29" fillId="0" borderId="0" xfId="4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6" fontId="10" fillId="0" borderId="0" xfId="1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6" fontId="13" fillId="0" borderId="0" xfId="0" applyNumberFormat="1" applyFont="1"/>
    <xf numFmtId="0" fontId="11" fillId="0" borderId="0" xfId="0" applyFont="1"/>
    <xf numFmtId="0" fontId="41" fillId="0" borderId="26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166" fontId="27" fillId="0" borderId="0" xfId="1" applyFont="1"/>
    <xf numFmtId="4" fontId="27" fillId="0" borderId="0" xfId="1" applyNumberFormat="1" applyFont="1" applyAlignment="1">
      <alignment horizontal="right"/>
    </xf>
    <xf numFmtId="9" fontId="27" fillId="0" borderId="0" xfId="4" applyFont="1" applyAlignment="1">
      <alignment horizontal="right"/>
    </xf>
    <xf numFmtId="49" fontId="27" fillId="0" borderId="0" xfId="2" applyNumberFormat="1" applyFont="1" applyAlignment="1">
      <alignment horizontal="center"/>
    </xf>
    <xf numFmtId="0" fontId="24" fillId="0" borderId="0" xfId="0" applyFont="1"/>
    <xf numFmtId="166" fontId="42" fillId="0" borderId="0" xfId="1" applyFont="1" applyFill="1" applyBorder="1" applyAlignment="1">
      <alignment horizontal="center"/>
    </xf>
    <xf numFmtId="0" fontId="42" fillId="0" borderId="0" xfId="0" applyFont="1"/>
    <xf numFmtId="4" fontId="42" fillId="0" borderId="0" xfId="2" applyNumberFormat="1" applyFont="1" applyFill="1" applyBorder="1"/>
    <xf numFmtId="4" fontId="42" fillId="0" borderId="0" xfId="2" applyNumberFormat="1" applyFont="1" applyFill="1" applyBorder="1" applyAlignment="1">
      <alignment horizontal="right"/>
    </xf>
    <xf numFmtId="9" fontId="25" fillId="0" borderId="0" xfId="4" applyFont="1" applyFill="1"/>
    <xf numFmtId="49" fontId="42" fillId="0" borderId="0" xfId="2" applyNumberFormat="1" applyFont="1" applyFill="1" applyBorder="1" applyAlignment="1">
      <alignment horizontal="center"/>
    </xf>
    <xf numFmtId="9" fontId="27" fillId="0" borderId="0" xfId="4" applyFont="1" applyFill="1" applyAlignment="1">
      <alignment vertical="center"/>
    </xf>
    <xf numFmtId="166" fontId="24" fillId="0" borderId="27" xfId="1" applyFont="1" applyFill="1" applyBorder="1" applyAlignment="1">
      <alignment horizontal="right"/>
    </xf>
    <xf numFmtId="9" fontId="25" fillId="0" borderId="0" xfId="1" applyNumberFormat="1" applyFont="1" applyFill="1" applyBorder="1"/>
    <xf numFmtId="4" fontId="25" fillId="0" borderId="0" xfId="1" applyNumberFormat="1" applyFont="1" applyFill="1" applyBorder="1" applyAlignment="1">
      <alignment horizontal="right"/>
    </xf>
    <xf numFmtId="10" fontId="24" fillId="0" borderId="0" xfId="4" applyNumberFormat="1" applyFont="1" applyFill="1" applyAlignment="1">
      <alignment horizontal="right"/>
    </xf>
    <xf numFmtId="0" fontId="25" fillId="0" borderId="0" xfId="0" applyFont="1" applyAlignment="1">
      <alignment horizontal="center"/>
    </xf>
    <xf numFmtId="10" fontId="27" fillId="0" borderId="0" xfId="4" applyNumberFormat="1" applyFont="1" applyFill="1" applyBorder="1" applyAlignment="1">
      <alignment horizontal="right"/>
    </xf>
    <xf numFmtId="170" fontId="28" fillId="0" borderId="0" xfId="1" applyNumberFormat="1" applyFont="1" applyFill="1"/>
    <xf numFmtId="0" fontId="27" fillId="0" borderId="0" xfId="4" applyNumberFormat="1" applyFont="1" applyFill="1" applyAlignment="1">
      <alignment vertical="center"/>
    </xf>
    <xf numFmtId="2" fontId="25" fillId="0" borderId="0" xfId="0" applyNumberFormat="1" applyFont="1" applyAlignment="1">
      <alignment horizontal="center"/>
    </xf>
    <xf numFmtId="0" fontId="43" fillId="0" borderId="0" xfId="0" applyFont="1" applyAlignment="1">
      <alignment horizontal="right"/>
    </xf>
    <xf numFmtId="10" fontId="27" fillId="0" borderId="0" xfId="4" applyNumberFormat="1" applyFont="1" applyFill="1"/>
    <xf numFmtId="0" fontId="24" fillId="4" borderId="9" xfId="0" applyFont="1" applyFill="1" applyBorder="1"/>
    <xf numFmtId="0" fontId="24" fillId="0" borderId="15" xfId="0" applyFont="1" applyBorder="1" applyAlignment="1">
      <alignment horizontal="right"/>
    </xf>
    <xf numFmtId="10" fontId="26" fillId="0" borderId="0" xfId="4" applyNumberFormat="1" applyFont="1" applyFill="1" applyBorder="1"/>
    <xf numFmtId="166" fontId="27" fillId="9" borderId="0" xfId="1" applyFont="1" applyFill="1" applyBorder="1" applyAlignment="1">
      <alignment horizontal="right"/>
    </xf>
    <xf numFmtId="10" fontId="27" fillId="0" borderId="0" xfId="4" applyNumberFormat="1" applyFont="1" applyFill="1" applyAlignment="1">
      <alignment vertical="center"/>
    </xf>
    <xf numFmtId="9" fontId="25" fillId="0" borderId="0" xfId="4" applyFont="1" applyFill="1" applyAlignment="1">
      <alignment horizontal="center"/>
    </xf>
    <xf numFmtId="2" fontId="45" fillId="0" borderId="0" xfId="0" applyNumberFormat="1" applyFont="1" applyAlignment="1">
      <alignment horizontal="center"/>
    </xf>
    <xf numFmtId="10" fontId="46" fillId="0" borderId="0" xfId="4" applyNumberFormat="1" applyFont="1" applyFill="1" applyAlignment="1">
      <alignment horizontal="right"/>
    </xf>
    <xf numFmtId="10" fontId="47" fillId="0" borderId="0" xfId="4" applyNumberFormat="1" applyFont="1" applyFill="1" applyAlignment="1">
      <alignment horizontal="right"/>
    </xf>
    <xf numFmtId="3" fontId="27" fillId="3" borderId="24" xfId="0" applyNumberFormat="1" applyFont="1" applyFill="1" applyBorder="1" applyAlignment="1">
      <alignment horizontal="center"/>
    </xf>
    <xf numFmtId="10" fontId="26" fillId="0" borderId="0" xfId="4" applyNumberFormat="1" applyFont="1" applyFill="1" applyAlignment="1">
      <alignment horizontal="right"/>
    </xf>
    <xf numFmtId="1" fontId="26" fillId="0" borderId="0" xfId="0" applyNumberFormat="1" applyFont="1" applyAlignment="1">
      <alignment horizontal="center"/>
    </xf>
    <xf numFmtId="166" fontId="28" fillId="0" borderId="0" xfId="0" applyNumberFormat="1" applyFont="1" applyAlignment="1">
      <alignment horizontal="right"/>
    </xf>
    <xf numFmtId="10" fontId="26" fillId="0" borderId="0" xfId="4" applyNumberFormat="1" applyFont="1" applyFill="1"/>
    <xf numFmtId="0" fontId="24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0" fontId="48" fillId="0" borderId="0" xfId="4" applyNumberFormat="1" applyFont="1" applyFill="1"/>
    <xf numFmtId="0" fontId="4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9" fontId="11" fillId="0" borderId="2" xfId="0" applyNumberFormat="1" applyFont="1" applyBorder="1"/>
    <xf numFmtId="0" fontId="14" fillId="0" borderId="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0" fillId="0" borderId="2" xfId="0" applyFont="1" applyBorder="1"/>
    <xf numFmtId="49" fontId="9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4" fontId="53" fillId="2" borderId="0" xfId="5" applyNumberFormat="1" applyFont="1" applyFill="1" applyAlignment="1">
      <alignment horizontal="center" vertical="center" wrapText="1"/>
    </xf>
    <xf numFmtId="0" fontId="6" fillId="3" borderId="14" xfId="6" applyFont="1" applyFill="1" applyBorder="1" applyAlignment="1">
      <alignment horizontal="center" vertical="center" wrapText="1"/>
    </xf>
    <xf numFmtId="1" fontId="6" fillId="3" borderId="12" xfId="6" applyNumberFormat="1" applyFont="1" applyFill="1" applyBorder="1" applyAlignment="1">
      <alignment horizontal="center"/>
    </xf>
    <xf numFmtId="1" fontId="6" fillId="3" borderId="12" xfId="6" applyNumberFormat="1" applyFont="1" applyFill="1" applyBorder="1" applyAlignment="1">
      <alignment horizontal="center" wrapText="1"/>
    </xf>
    <xf numFmtId="0" fontId="6" fillId="3" borderId="56" xfId="6" applyFont="1" applyFill="1" applyBorder="1" applyAlignment="1">
      <alignment horizontal="center"/>
    </xf>
    <xf numFmtId="0" fontId="14" fillId="0" borderId="1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54" fillId="0" borderId="2" xfId="6" applyFont="1" applyBorder="1" applyAlignment="1">
      <alignment vertical="center"/>
    </xf>
    <xf numFmtId="0" fontId="14" fillId="0" borderId="2" xfId="6" applyFont="1" applyBorder="1" applyAlignment="1">
      <alignment horizontal="center" vertical="center"/>
    </xf>
    <xf numFmtId="1" fontId="14" fillId="0" borderId="2" xfId="6" applyNumberFormat="1" applyFont="1" applyBorder="1" applyAlignment="1">
      <alignment horizontal="center"/>
    </xf>
    <xf numFmtId="1" fontId="14" fillId="0" borderId="2" xfId="6" applyNumberFormat="1" applyFont="1" applyBorder="1" applyAlignment="1">
      <alignment horizontal="center" wrapText="1"/>
    </xf>
    <xf numFmtId="0" fontId="9" fillId="0" borderId="4" xfId="6" applyFont="1" applyBorder="1" applyAlignment="1">
      <alignment horizontal="center"/>
    </xf>
    <xf numFmtId="0" fontId="0" fillId="0" borderId="2" xfId="7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horizontal="left" vertical="center"/>
    </xf>
    <xf numFmtId="171" fontId="2" fillId="0" borderId="3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14" fillId="0" borderId="2" xfId="0" applyNumberFormat="1" applyFont="1" applyBorder="1" applyAlignment="1">
      <alignment horizontal="center"/>
    </xf>
    <xf numFmtId="1" fontId="14" fillId="0" borderId="2" xfId="0" applyNumberFormat="1" applyFont="1" applyBorder="1" applyAlignment="1">
      <alignment horizontal="center" wrapText="1"/>
    </xf>
    <xf numFmtId="16" fontId="2" fillId="0" borderId="2" xfId="6" applyNumberFormat="1" applyBorder="1" applyAlignment="1">
      <alignment horizontal="center"/>
    </xf>
    <xf numFmtId="1" fontId="2" fillId="0" borderId="0" xfId="6" applyNumberFormat="1" applyAlignment="1">
      <alignment horizontal="center"/>
    </xf>
    <xf numFmtId="1" fontId="2" fillId="0" borderId="0" xfId="6" applyNumberFormat="1" applyAlignment="1">
      <alignment horizontal="center" wrapText="1"/>
    </xf>
    <xf numFmtId="2" fontId="5" fillId="0" borderId="3" xfId="6" applyNumberFormat="1" applyFont="1" applyBorder="1" applyAlignment="1">
      <alignment horizontal="center"/>
    </xf>
    <xf numFmtId="0" fontId="0" fillId="9" borderId="2" xfId="0" applyFill="1" applyBorder="1"/>
    <xf numFmtId="1" fontId="9" fillId="0" borderId="2" xfId="6" applyNumberFormat="1" applyFont="1" applyBorder="1" applyAlignment="1">
      <alignment horizontal="center"/>
    </xf>
    <xf numFmtId="1" fontId="9" fillId="0" borderId="2" xfId="6" applyNumberFormat="1" applyFont="1" applyBorder="1" applyAlignment="1">
      <alignment horizontal="center" wrapText="1"/>
    </xf>
    <xf numFmtId="0" fontId="2" fillId="0" borderId="3" xfId="6" applyBorder="1" applyAlignment="1">
      <alignment horizontal="center"/>
    </xf>
    <xf numFmtId="49" fontId="9" fillId="0" borderId="13" xfId="6" applyNumberFormat="1" applyFont="1" applyBorder="1" applyAlignment="1">
      <alignment horizontal="center"/>
    </xf>
    <xf numFmtId="49" fontId="9" fillId="0" borderId="5" xfId="6" applyNumberFormat="1" applyFont="1" applyBorder="1" applyAlignment="1">
      <alignment horizontal="center"/>
    </xf>
    <xf numFmtId="0" fontId="41" fillId="9" borderId="2" xfId="6" applyFont="1" applyFill="1" applyBorder="1" applyAlignment="1">
      <alignment horizontal="left"/>
    </xf>
    <xf numFmtId="0" fontId="9" fillId="0" borderId="2" xfId="6" applyFont="1" applyBorder="1" applyAlignment="1">
      <alignment horizontal="center"/>
    </xf>
    <xf numFmtId="172" fontId="9" fillId="0" borderId="2" xfId="6" applyNumberFormat="1" applyFont="1" applyBorder="1" applyAlignment="1">
      <alignment horizontal="center"/>
    </xf>
    <xf numFmtId="0" fontId="0" fillId="0" borderId="13" xfId="0" applyBorder="1"/>
    <xf numFmtId="0" fontId="55" fillId="0" borderId="2" xfId="0" applyFont="1" applyBorder="1" applyAlignment="1">
      <alignment horizontal="center"/>
    </xf>
    <xf numFmtId="16" fontId="9" fillId="0" borderId="2" xfId="0" applyNumberFormat="1" applyFont="1" applyBorder="1" applyAlignment="1">
      <alignment horizontal="center"/>
    </xf>
    <xf numFmtId="1" fontId="9" fillId="0" borderId="2" xfId="8" applyNumberFormat="1" applyFont="1" applyBorder="1" applyAlignment="1">
      <alignment horizontal="center"/>
    </xf>
    <xf numFmtId="1" fontId="9" fillId="0" borderId="2" xfId="8" applyNumberFormat="1" applyFont="1" applyBorder="1" applyAlignment="1">
      <alignment horizontal="center" wrapText="1"/>
    </xf>
    <xf numFmtId="49" fontId="14" fillId="0" borderId="17" xfId="6" applyNumberFormat="1" applyFont="1" applyBorder="1" applyAlignment="1">
      <alignment horizontal="center"/>
    </xf>
    <xf numFmtId="49" fontId="14" fillId="0" borderId="28" xfId="6" applyNumberFormat="1" applyFont="1" applyBorder="1" applyAlignment="1">
      <alignment horizontal="center"/>
    </xf>
    <xf numFmtId="0" fontId="56" fillId="9" borderId="2" xfId="6" applyFont="1" applyFill="1" applyBorder="1" applyAlignment="1">
      <alignment vertical="center"/>
    </xf>
    <xf numFmtId="0" fontId="14" fillId="0" borderId="5" xfId="6" applyFont="1" applyBorder="1" applyAlignment="1">
      <alignment horizontal="center"/>
    </xf>
    <xf numFmtId="0" fontId="0" fillId="0" borderId="44" xfId="0" applyBorder="1" applyAlignment="1">
      <alignment horizontal="center"/>
    </xf>
    <xf numFmtId="1" fontId="55" fillId="0" borderId="2" xfId="0" applyNumberFormat="1" applyFont="1" applyBorder="1" applyAlignment="1">
      <alignment horizontal="center"/>
    </xf>
    <xf numFmtId="1" fontId="55" fillId="0" borderId="2" xfId="0" applyNumberFormat="1" applyFont="1" applyBorder="1" applyAlignment="1">
      <alignment horizontal="center" wrapText="1"/>
    </xf>
    <xf numFmtId="172" fontId="55" fillId="0" borderId="2" xfId="0" applyNumberFormat="1" applyFont="1" applyBorder="1" applyAlignment="1">
      <alignment horizontal="center"/>
    </xf>
    <xf numFmtId="2" fontId="9" fillId="0" borderId="2" xfId="6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2" fontId="9" fillId="0" borderId="2" xfId="6" applyNumberFormat="1" applyFont="1" applyBorder="1" applyAlignment="1">
      <alignment horizontal="center"/>
    </xf>
    <xf numFmtId="0" fontId="55" fillId="0" borderId="2" xfId="0" applyFont="1" applyBorder="1"/>
    <xf numFmtId="49" fontId="10" fillId="0" borderId="2" xfId="6" applyNumberFormat="1" applyFont="1" applyBorder="1"/>
    <xf numFmtId="0" fontId="55" fillId="0" borderId="2" xfId="6" applyFont="1" applyBorder="1" applyAlignment="1">
      <alignment horizontal="center"/>
    </xf>
    <xf numFmtId="49" fontId="7" fillId="2" borderId="44" xfId="6" applyNumberFormat="1" applyFont="1" applyFill="1" applyBorder="1" applyAlignment="1">
      <alignment horizontal="center" vertical="center"/>
    </xf>
    <xf numFmtId="49" fontId="7" fillId="2" borderId="0" xfId="6" applyNumberFormat="1" applyFont="1" applyFill="1" applyAlignment="1">
      <alignment horizontal="center" vertical="center"/>
    </xf>
    <xf numFmtId="0" fontId="5" fillId="2" borderId="0" xfId="6" applyFont="1" applyFill="1"/>
    <xf numFmtId="1" fontId="5" fillId="2" borderId="0" xfId="6" applyNumberFormat="1" applyFont="1" applyFill="1" applyAlignment="1">
      <alignment horizontal="center"/>
    </xf>
    <xf numFmtId="167" fontId="5" fillId="2" borderId="0" xfId="6" applyNumberFormat="1" applyFont="1" applyFill="1" applyAlignment="1">
      <alignment horizontal="center" wrapText="1"/>
    </xf>
    <xf numFmtId="0" fontId="5" fillId="2" borderId="23" xfId="6" applyFont="1" applyFill="1" applyBorder="1" applyAlignment="1">
      <alignment horizontal="center"/>
    </xf>
    <xf numFmtId="0" fontId="5" fillId="3" borderId="8" xfId="6" applyFont="1" applyFill="1" applyBorder="1" applyAlignment="1">
      <alignment horizontal="center"/>
    </xf>
    <xf numFmtId="0" fontId="5" fillId="3" borderId="9" xfId="6" applyFont="1" applyFill="1" applyBorder="1" applyAlignment="1">
      <alignment horizontal="center"/>
    </xf>
    <xf numFmtId="0" fontId="5" fillId="3" borderId="9" xfId="6" applyFont="1" applyFill="1" applyBorder="1"/>
    <xf numFmtId="0" fontId="6" fillId="3" borderId="9" xfId="6" applyFont="1" applyFill="1" applyBorder="1" applyAlignment="1">
      <alignment horizontal="center"/>
    </xf>
    <xf numFmtId="1" fontId="6" fillId="3" borderId="9" xfId="6" applyNumberFormat="1" applyFont="1" applyFill="1" applyBorder="1" applyAlignment="1">
      <alignment horizontal="center"/>
    </xf>
    <xf numFmtId="167" fontId="5" fillId="3" borderId="9" xfId="6" applyNumberFormat="1" applyFont="1" applyFill="1" applyBorder="1" applyAlignment="1">
      <alignment horizontal="center" wrapText="1"/>
    </xf>
    <xf numFmtId="0" fontId="5" fillId="3" borderId="10" xfId="6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5" fillId="2" borderId="7" xfId="3" applyNumberFormat="1" applyFont="1" applyFill="1" applyBorder="1" applyAlignment="1">
      <alignment horizontal="center" vertical="center" wrapText="1"/>
    </xf>
    <xf numFmtId="14" fontId="5" fillId="2" borderId="48" xfId="3" applyNumberFormat="1" applyFont="1" applyFill="1" applyBorder="1" applyAlignment="1">
      <alignment horizontal="center" vertical="center" wrapText="1"/>
    </xf>
    <xf numFmtId="14" fontId="5" fillId="2" borderId="55" xfId="3" applyNumberFormat="1" applyFont="1" applyFill="1" applyBorder="1" applyAlignment="1">
      <alignment horizontal="center" vertical="center" wrapText="1"/>
    </xf>
    <xf numFmtId="0" fontId="5" fillId="2" borderId="43" xfId="3" applyFont="1" applyFill="1" applyBorder="1" applyAlignment="1">
      <alignment horizontal="left"/>
    </xf>
    <xf numFmtId="0" fontId="5" fillId="2" borderId="34" xfId="3" applyFont="1" applyFill="1" applyBorder="1" applyAlignment="1">
      <alignment horizontal="left"/>
    </xf>
    <xf numFmtId="0" fontId="5" fillId="2" borderId="49" xfId="3" applyFont="1" applyFill="1" applyBorder="1" applyAlignment="1">
      <alignment horizontal="left"/>
    </xf>
    <xf numFmtId="0" fontId="5" fillId="2" borderId="36" xfId="3" applyFont="1" applyFill="1" applyBorder="1" applyAlignment="1">
      <alignment horizontal="left"/>
    </xf>
    <xf numFmtId="0" fontId="5" fillId="2" borderId="28" xfId="3" applyFont="1" applyFill="1" applyBorder="1" applyAlignment="1">
      <alignment horizontal="left"/>
    </xf>
    <xf numFmtId="0" fontId="5" fillId="2" borderId="5" xfId="3" applyFont="1" applyFill="1" applyBorder="1" applyAlignment="1">
      <alignment horizontal="left"/>
    </xf>
    <xf numFmtId="0" fontId="5" fillId="2" borderId="50" xfId="3" applyFont="1" applyFill="1" applyBorder="1" applyAlignment="1">
      <alignment horizontal="center"/>
    </xf>
    <xf numFmtId="0" fontId="5" fillId="2" borderId="51" xfId="3" applyFont="1" applyFill="1" applyBorder="1" applyAlignment="1">
      <alignment horizontal="center"/>
    </xf>
    <xf numFmtId="0" fontId="5" fillId="2" borderId="44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39" xfId="3" applyFont="1" applyFill="1" applyBorder="1" applyAlignment="1">
      <alignment horizontal="center"/>
    </xf>
    <xf numFmtId="0" fontId="5" fillId="2" borderId="26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4" fillId="2" borderId="6" xfId="3" applyFont="1" applyFill="1" applyBorder="1" applyAlignment="1">
      <alignment horizontal="center"/>
    </xf>
    <xf numFmtId="0" fontId="8" fillId="5" borderId="8" xfId="3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 vertical="center" wrapText="1"/>
    </xf>
    <xf numFmtId="0" fontId="8" fillId="5" borderId="10" xfId="3" applyFont="1" applyFill="1" applyBorder="1" applyAlignment="1">
      <alignment horizontal="center" vertical="center" wrapText="1"/>
    </xf>
    <xf numFmtId="0" fontId="6" fillId="2" borderId="45" xfId="3" applyFont="1" applyFill="1" applyBorder="1" applyAlignment="1">
      <alignment horizontal="right" vertical="top" wrapText="1"/>
    </xf>
    <xf numFmtId="0" fontId="6" fillId="2" borderId="46" xfId="3" applyFont="1" applyFill="1" applyBorder="1" applyAlignment="1">
      <alignment horizontal="right" vertical="top" wrapText="1"/>
    </xf>
    <xf numFmtId="0" fontId="6" fillId="2" borderId="47" xfId="3" applyFont="1" applyFill="1" applyBorder="1" applyAlignment="1">
      <alignment horizontal="right" vertical="top" wrapText="1"/>
    </xf>
    <xf numFmtId="0" fontId="52" fillId="2" borderId="0" xfId="5" applyFont="1" applyFill="1" applyAlignment="1">
      <alignment horizontal="right"/>
    </xf>
    <xf numFmtId="0" fontId="53" fillId="2" borderId="15" xfId="5" applyFont="1" applyFill="1" applyBorder="1" applyAlignment="1">
      <alignment horizontal="center"/>
    </xf>
    <xf numFmtId="0" fontId="52" fillId="2" borderId="0" xfId="5" applyFont="1" applyFill="1"/>
    <xf numFmtId="0" fontId="6" fillId="3" borderId="42" xfId="6" applyFont="1" applyFill="1" applyBorder="1" applyAlignment="1">
      <alignment horizontal="center" vertical="center"/>
    </xf>
    <xf numFmtId="0" fontId="6" fillId="3" borderId="37" xfId="6" applyFont="1" applyFill="1" applyBorder="1" applyAlignment="1">
      <alignment horizontal="center" vertical="center"/>
    </xf>
    <xf numFmtId="0" fontId="6" fillId="3" borderId="42" xfId="6" applyFont="1" applyFill="1" applyBorder="1" applyAlignment="1">
      <alignment horizontal="center" vertical="center" wrapText="1"/>
    </xf>
    <xf numFmtId="0" fontId="6" fillId="3" borderId="37" xfId="6" applyFont="1" applyFill="1" applyBorder="1" applyAlignment="1">
      <alignment horizontal="center" vertical="center" wrapText="1"/>
    </xf>
    <xf numFmtId="0" fontId="6" fillId="3" borderId="1" xfId="6" applyFont="1" applyFill="1" applyBorder="1" applyAlignment="1">
      <alignment horizontal="center" vertical="center"/>
    </xf>
    <xf numFmtId="0" fontId="6" fillId="3" borderId="12" xfId="6" applyFont="1" applyFill="1" applyBorder="1" applyAlignment="1">
      <alignment horizontal="center" vertical="center"/>
    </xf>
    <xf numFmtId="0" fontId="6" fillId="0" borderId="39" xfId="6" applyFont="1" applyBorder="1" applyAlignment="1">
      <alignment horizontal="right"/>
    </xf>
    <xf numFmtId="0" fontId="6" fillId="0" borderId="26" xfId="6" applyFont="1" applyBorder="1" applyAlignment="1">
      <alignment horizontal="right"/>
    </xf>
    <xf numFmtId="0" fontId="6" fillId="0" borderId="40" xfId="6" applyFont="1" applyBorder="1" applyAlignment="1">
      <alignment horizontal="right"/>
    </xf>
    <xf numFmtId="167" fontId="5" fillId="0" borderId="3" xfId="6" applyNumberFormat="1" applyFont="1" applyBorder="1" applyAlignment="1">
      <alignment horizontal="right"/>
    </xf>
    <xf numFmtId="0" fontId="5" fillId="2" borderId="11" xfId="6" applyFont="1" applyFill="1" applyBorder="1" applyAlignment="1">
      <alignment horizontal="center"/>
    </xf>
    <xf numFmtId="0" fontId="5" fillId="2" borderId="41" xfId="6" applyFont="1" applyFill="1" applyBorder="1" applyAlignment="1">
      <alignment horizontal="center"/>
    </xf>
    <xf numFmtId="0" fontId="6" fillId="0" borderId="17" xfId="6" applyFont="1" applyBorder="1" applyAlignment="1">
      <alignment horizontal="right"/>
    </xf>
    <xf numFmtId="0" fontId="6" fillId="0" borderId="28" xfId="6" applyFont="1" applyBorder="1" applyAlignment="1">
      <alignment horizontal="right"/>
    </xf>
    <xf numFmtId="0" fontId="6" fillId="0" borderId="5" xfId="6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167" fontId="5" fillId="0" borderId="36" xfId="6" applyNumberFormat="1" applyFont="1" applyBorder="1" applyAlignment="1">
      <alignment horizontal="center"/>
    </xf>
    <xf numFmtId="167" fontId="5" fillId="0" borderId="29" xfId="6" applyNumberFormat="1" applyFont="1" applyBorder="1" applyAlignment="1">
      <alignment horizontal="center"/>
    </xf>
    <xf numFmtId="0" fontId="5" fillId="0" borderId="17" xfId="0" applyFont="1" applyBorder="1" applyAlignment="1">
      <alignment horizontal="left" wrapText="1"/>
    </xf>
    <xf numFmtId="0" fontId="5" fillId="0" borderId="28" xfId="0" applyFont="1" applyBorder="1" applyAlignment="1">
      <alignment horizontal="left" wrapText="1"/>
    </xf>
    <xf numFmtId="0" fontId="5" fillId="0" borderId="29" xfId="0" applyFont="1" applyBorder="1" applyAlignment="1">
      <alignment horizontal="left" wrapText="1"/>
    </xf>
    <xf numFmtId="167" fontId="5" fillId="0" borderId="36" xfId="6" applyNumberFormat="1" applyFont="1" applyBorder="1" applyAlignment="1">
      <alignment horizontal="right" wrapText="1"/>
    </xf>
    <xf numFmtId="167" fontId="5" fillId="0" borderId="5" xfId="6" applyNumberFormat="1" applyFont="1" applyBorder="1" applyAlignment="1">
      <alignment horizontal="right" wrapText="1"/>
    </xf>
    <xf numFmtId="0" fontId="6" fillId="0" borderId="37" xfId="6" applyFont="1" applyBorder="1" applyAlignment="1">
      <alignment horizontal="right"/>
    </xf>
    <xf numFmtId="0" fontId="6" fillId="0" borderId="54" xfId="6" applyFont="1" applyBorder="1" applyAlignment="1">
      <alignment horizontal="right"/>
    </xf>
    <xf numFmtId="0" fontId="6" fillId="0" borderId="12" xfId="6" applyFont="1" applyBorder="1" applyAlignment="1">
      <alignment horizontal="right"/>
    </xf>
    <xf numFmtId="0" fontId="5" fillId="0" borderId="12" xfId="6" applyFont="1" applyBorder="1" applyAlignment="1">
      <alignment horizontal="right"/>
    </xf>
    <xf numFmtId="167" fontId="5" fillId="0" borderId="38" xfId="6" applyNumberFormat="1" applyFont="1" applyBorder="1" applyAlignment="1">
      <alignment horizontal="center"/>
    </xf>
    <xf numFmtId="167" fontId="5" fillId="0" borderId="32" xfId="6" applyNumberFormat="1" applyFont="1" applyBorder="1" applyAlignment="1">
      <alignment horizontal="center"/>
    </xf>
    <xf numFmtId="0" fontId="6" fillId="3" borderId="8" xfId="6" applyFont="1" applyFill="1" applyBorder="1" applyAlignment="1">
      <alignment horizontal="left"/>
    </xf>
    <xf numFmtId="0" fontId="6" fillId="3" borderId="9" xfId="6" applyFont="1" applyFill="1" applyBorder="1" applyAlignment="1">
      <alignment horizontal="left"/>
    </xf>
    <xf numFmtId="0" fontId="6" fillId="3" borderId="10" xfId="6" applyFont="1" applyFill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2" borderId="60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30" xfId="6" applyFont="1" applyBorder="1" applyAlignment="1">
      <alignment horizontal="left"/>
    </xf>
    <xf numFmtId="0" fontId="5" fillId="0" borderId="31" xfId="6" applyFont="1" applyBorder="1" applyAlignment="1">
      <alignment horizontal="left"/>
    </xf>
    <xf numFmtId="0" fontId="5" fillId="0" borderId="32" xfId="6" applyFont="1" applyBorder="1" applyAlignment="1">
      <alignment horizontal="left"/>
    </xf>
    <xf numFmtId="0" fontId="6" fillId="11" borderId="59" xfId="3" applyFont="1" applyFill="1" applyBorder="1" applyAlignment="1">
      <alignment horizontal="center"/>
    </xf>
    <xf numFmtId="0" fontId="6" fillId="11" borderId="51" xfId="3" applyFont="1" applyFill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3" fillId="0" borderId="50" xfId="0" applyFont="1" applyBorder="1" applyAlignment="1">
      <alignment horizontal="right"/>
    </xf>
    <xf numFmtId="0" fontId="23" fillId="0" borderId="51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10" fillId="0" borderId="2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30" fillId="0" borderId="44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23" xfId="0" applyFont="1" applyBorder="1" applyAlignment="1">
      <alignment horizontal="right"/>
    </xf>
    <xf numFmtId="0" fontId="28" fillId="0" borderId="15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8" xfId="0" applyFont="1" applyFill="1" applyBorder="1" applyAlignment="1">
      <alignment horizontal="right"/>
    </xf>
    <xf numFmtId="0" fontId="27" fillId="4" borderId="9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38" fillId="0" borderId="0" xfId="0" applyFont="1" applyAlignment="1">
      <alignment horizontal="right"/>
    </xf>
    <xf numFmtId="0" fontId="13" fillId="0" borderId="15" xfId="0" applyFont="1" applyBorder="1" applyAlignment="1">
      <alignment horizontal="right" vertical="center"/>
    </xf>
    <xf numFmtId="0" fontId="13" fillId="0" borderId="16" xfId="0" applyFont="1" applyBorder="1" applyAlignment="1">
      <alignment horizontal="right" vertical="center"/>
    </xf>
    <xf numFmtId="0" fontId="13" fillId="8" borderId="8" xfId="0" applyFont="1" applyFill="1" applyBorder="1" applyAlignment="1">
      <alignment horizontal="right" vertical="center"/>
    </xf>
    <xf numFmtId="0" fontId="13" fillId="8" borderId="9" xfId="0" applyFont="1" applyFill="1" applyBorder="1" applyAlignment="1">
      <alignment horizontal="right" vertical="center"/>
    </xf>
    <xf numFmtId="0" fontId="13" fillId="8" borderId="10" xfId="0" applyFont="1" applyFill="1" applyBorder="1" applyAlignment="1">
      <alignment horizontal="right" vertical="center"/>
    </xf>
    <xf numFmtId="4" fontId="35" fillId="0" borderId="0" xfId="2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right" vertical="center"/>
    </xf>
    <xf numFmtId="0" fontId="37" fillId="0" borderId="9" xfId="0" applyFont="1" applyBorder="1" applyAlignment="1">
      <alignment horizontal="right" vertical="center"/>
    </xf>
    <xf numFmtId="0" fontId="37" fillId="0" borderId="10" xfId="0" applyFont="1" applyBorder="1" applyAlignment="1">
      <alignment horizontal="right" vertical="center"/>
    </xf>
    <xf numFmtId="0" fontId="40" fillId="0" borderId="8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0" fontId="40" fillId="0" borderId="52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26" fillId="0" borderId="23" xfId="0" applyFont="1" applyBorder="1" applyAlignment="1">
      <alignment horizontal="right"/>
    </xf>
    <xf numFmtId="0" fontId="24" fillId="4" borderId="8" xfId="0" applyFont="1" applyFill="1" applyBorder="1" applyAlignment="1">
      <alignment horizontal="center"/>
    </xf>
    <xf numFmtId="0" fontId="24" fillId="4" borderId="9" xfId="0" applyFont="1" applyFill="1" applyBorder="1" applyAlignment="1">
      <alignment horizontal="center"/>
    </xf>
    <xf numFmtId="0" fontId="44" fillId="0" borderId="51" xfId="0" applyFont="1" applyBorder="1" applyAlignment="1">
      <alignment horizontal="right"/>
    </xf>
    <xf numFmtId="0" fontId="44" fillId="0" borderId="0" xfId="0" applyFont="1" applyAlignment="1">
      <alignment horizontal="right"/>
    </xf>
    <xf numFmtId="0" fontId="41" fillId="4" borderId="8" xfId="0" applyFont="1" applyFill="1" applyBorder="1" applyAlignment="1">
      <alignment horizontal="right"/>
    </xf>
    <xf numFmtId="0" fontId="41" fillId="4" borderId="9" xfId="0" applyFont="1" applyFill="1" applyBorder="1" applyAlignment="1">
      <alignment horizontal="right"/>
    </xf>
    <xf numFmtId="0" fontId="51" fillId="0" borderId="0" xfId="0" applyFont="1" applyAlignment="1">
      <alignment horizontal="right"/>
    </xf>
    <xf numFmtId="0" fontId="44" fillId="0" borderId="15" xfId="0" applyFont="1" applyBorder="1" applyAlignment="1">
      <alignment horizontal="right"/>
    </xf>
  </cellXfs>
  <cellStyles count="9">
    <cellStyle name="Millares" xfId="1" builtinId="3"/>
    <cellStyle name="Millares [0]" xfId="2" builtinId="6"/>
    <cellStyle name="Normal" xfId="0" builtinId="0"/>
    <cellStyle name="Normal 2" xfId="6" xr:uid="{1B0502DA-9714-4EC8-9E77-524F54E02F87}"/>
    <cellStyle name="Normal 3 2" xfId="8" xr:uid="{FA9304CD-342C-455C-A843-E3D5207F60E4}"/>
    <cellStyle name="Normal 5" xfId="7" xr:uid="{56FD7F80-B30E-44EF-B1A0-2DA34B75DE7A}"/>
    <cellStyle name="Normal_CRITERIOS DE EVALUACION PT DE GB" xfId="3" xr:uid="{00000000-0005-0000-0000-000003000000}"/>
    <cellStyle name="Normal_CRITERIOS DE EVALUACION PT DE GB 2" xfId="5" xr:uid="{61777897-2543-43A1-A8C3-CD48EA4888C8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TOS%202013\Industria\Tortas\Tortas%20Bucca\Porciones\84043%20-%20PORCION%20CHILENA%20BUCCA%202016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4097</v>
          </cell>
          <cell r="E146" t="str">
            <v>UND</v>
          </cell>
          <cell r="F146">
            <v>10.781578947368422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(34500g)</v>
          </cell>
          <cell r="C5" t="str">
            <v>TANDA</v>
          </cell>
          <cell r="D5" t="str">
            <v>GRAMO</v>
          </cell>
          <cell r="E5">
            <v>48288.182619647356</v>
          </cell>
          <cell r="F5">
            <v>1.3996574672361553</v>
          </cell>
          <cell r="G5">
            <v>0</v>
          </cell>
          <cell r="H5">
            <v>0</v>
          </cell>
          <cell r="I5">
            <v>1680</v>
          </cell>
          <cell r="J5">
            <v>4.8695652173913043E-2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TANDA</v>
          </cell>
          <cell r="D6" t="str">
            <v>GRAMO</v>
          </cell>
          <cell r="E6">
            <v>4485.3189199999997</v>
          </cell>
          <cell r="F6">
            <v>0.29902126133333329</v>
          </cell>
          <cell r="G6">
            <v>0</v>
          </cell>
          <cell r="H6">
            <v>0</v>
          </cell>
          <cell r="I6">
            <v>165</v>
          </cell>
          <cell r="J6">
            <v>1.0999999999999999E-2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TANDA</v>
          </cell>
          <cell r="D9" t="str">
            <v>GRAMO</v>
          </cell>
          <cell r="E9">
            <v>12634.444444444443</v>
          </cell>
          <cell r="F9">
            <v>2.3615784008307372</v>
          </cell>
          <cell r="G9">
            <v>15.480496777777777</v>
          </cell>
          <cell r="H9">
            <v>2.8935507995846311E-3</v>
          </cell>
          <cell r="I9">
            <v>165</v>
          </cell>
          <cell r="J9">
            <v>3.0841121495327101E-2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55797.085701248674</v>
          </cell>
          <cell r="F11">
            <v>1.2939954939992735</v>
          </cell>
          <cell r="G11">
            <v>0</v>
          </cell>
          <cell r="H11">
            <v>0</v>
          </cell>
          <cell r="I11">
            <v>2073.6931923609191</v>
          </cell>
          <cell r="J11">
            <v>4.8091215036199418E-2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TANDA</v>
          </cell>
          <cell r="D23" t="str">
            <v>GRAMO</v>
          </cell>
          <cell r="E23">
            <v>27447.05744215686</v>
          </cell>
          <cell r="F23">
            <v>2.7447057442156861</v>
          </cell>
          <cell r="G23">
            <v>18.652035795368263</v>
          </cell>
          <cell r="H23">
            <v>1.8652035795368263E-3</v>
          </cell>
          <cell r="I23">
            <v>897.03872437357631</v>
          </cell>
          <cell r="J23">
            <v>8.9703872437357626E-2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694.69407835326263</v>
          </cell>
          <cell r="F24">
            <v>694.69407835326263</v>
          </cell>
          <cell r="G24">
            <v>8.8666855676906913</v>
          </cell>
          <cell r="H24">
            <v>8.8666855676906913</v>
          </cell>
          <cell r="I24">
            <v>40.403907183406623</v>
          </cell>
          <cell r="J24">
            <v>40.403907183406623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(14.133g)</v>
          </cell>
          <cell r="C26" t="str">
            <v>TANDA</v>
          </cell>
          <cell r="D26" t="str">
            <v>GRAMO</v>
          </cell>
          <cell r="E26">
            <v>15072.896070586068</v>
          </cell>
          <cell r="F26">
            <v>1.066503648948282</v>
          </cell>
          <cell r="G26">
            <v>37.970244000000001</v>
          </cell>
          <cell r="H26">
            <v>2.6866372320101888E-3</v>
          </cell>
          <cell r="I26">
            <v>1375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8.0879991537949216</v>
          </cell>
          <cell r="F38">
            <v>8.0879991537949216</v>
          </cell>
          <cell r="G38">
            <v>2.6030648704752843E-2</v>
          </cell>
          <cell r="H38">
            <v>2.6030648704752843E-2</v>
          </cell>
          <cell r="I38">
            <v>3.6515725684383518</v>
          </cell>
          <cell r="J38">
            <v>3.6515725684383518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171.25607004904248</v>
          </cell>
          <cell r="F40">
            <v>171.25607004904248</v>
          </cell>
          <cell r="G40">
            <v>0.539527398366629</v>
          </cell>
          <cell r="H40">
            <v>0.539527398366629</v>
          </cell>
          <cell r="I40">
            <v>33.418256538526975</v>
          </cell>
          <cell r="J40">
            <v>33.418256538526975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22.007051430197322</v>
          </cell>
          <cell r="F41">
            <v>22.007051430197322</v>
          </cell>
          <cell r="G41">
            <v>9.6624663055969576E-2</v>
          </cell>
          <cell r="H41">
            <v>9.6624663055969576E-2</v>
          </cell>
          <cell r="I41">
            <v>8.1963877832354282</v>
          </cell>
          <cell r="J41">
            <v>8.1963877832354282</v>
          </cell>
        </row>
        <row r="42">
          <cell r="A42" t="str">
            <v>903000003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(14195g)</v>
          </cell>
          <cell r="C45" t="str">
            <v>TANDA</v>
          </cell>
          <cell r="D45" t="str">
            <v>GRAMO</v>
          </cell>
          <cell r="E45">
            <v>7479.1254258823537</v>
          </cell>
          <cell r="F45">
            <v>0.52688449636367407</v>
          </cell>
          <cell r="G45">
            <v>276.95017999999999</v>
          </cell>
          <cell r="H45">
            <v>1.9510403663261712E-2</v>
          </cell>
          <cell r="I45">
            <v>550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642.94439443132001</v>
          </cell>
          <cell r="F59">
            <v>642.94439443132001</v>
          </cell>
          <cell r="G59">
            <v>7.3079337336067605</v>
          </cell>
          <cell r="H59">
            <v>7.3079337336067605</v>
          </cell>
          <cell r="I59">
            <v>47.383668903803134</v>
          </cell>
          <cell r="J59">
            <v>47.383668903803134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17.022725555555557</v>
          </cell>
          <cell r="H62">
            <v>1.3873451960517976E-2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5042.3485535999998</v>
          </cell>
          <cell r="F63">
            <v>0.5232823322540473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TANDA</v>
          </cell>
          <cell r="D74" t="str">
            <v>GRAMO</v>
          </cell>
          <cell r="E74">
            <v>52093.046999999999</v>
          </cell>
          <cell r="F74">
            <v>6.2015532142857142</v>
          </cell>
          <cell r="G74">
            <v>28.572105000000001</v>
          </cell>
          <cell r="H74">
            <v>3.4014410714285717E-3</v>
          </cell>
          <cell r="I74">
            <v>1540</v>
          </cell>
          <cell r="J74">
            <v>0.18333333333333332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TANDA</v>
          </cell>
          <cell r="D75" t="str">
            <v>GRAMO</v>
          </cell>
          <cell r="E75">
            <v>16173.637850588233</v>
          </cell>
          <cell r="F75">
            <v>2.8006299308377893</v>
          </cell>
          <cell r="G75">
            <v>1324.7550000000001</v>
          </cell>
          <cell r="H75">
            <v>0.22939480519480521</v>
          </cell>
          <cell r="I75">
            <v>1100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125.51629951264256</v>
          </cell>
          <cell r="F77">
            <v>125.51629951264256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903000128</v>
          </cell>
          <cell r="B78" t="str">
            <v>SOMBRERO PALMITO (UND)</v>
          </cell>
          <cell r="C78" t="str">
            <v>UND</v>
          </cell>
          <cell r="D78" t="str">
            <v>UND</v>
          </cell>
          <cell r="E78">
            <v>76.891825005659996</v>
          </cell>
          <cell r="F78">
            <v>76.891825005659996</v>
          </cell>
          <cell r="G78">
            <v>1.0961469750919879</v>
          </cell>
          <cell r="H78">
            <v>1.0961469750919879</v>
          </cell>
          <cell r="I78">
            <v>37.355111117367287</v>
          </cell>
          <cell r="J78">
            <v>37.355111117367287</v>
          </cell>
        </row>
        <row r="79">
          <cell r="A79" t="str">
            <v>908000021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20225.938512000001</v>
          </cell>
          <cell r="F81">
            <v>0.86806603055793996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20225.938512000001</v>
          </cell>
          <cell r="F86">
            <v>0.85980014079238232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(14390g)</v>
          </cell>
          <cell r="C96" t="str">
            <v>TANDA</v>
          </cell>
          <cell r="D96" t="str">
            <v>GRAMO</v>
          </cell>
          <cell r="E96">
            <v>9327.9691929411765</v>
          </cell>
          <cell r="F96">
            <v>0.64822579520091572</v>
          </cell>
          <cell r="G96">
            <v>130.48862249999999</v>
          </cell>
          <cell r="H96">
            <v>9.0680071230020837E-3</v>
          </cell>
          <cell r="I96">
            <v>440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(21228g)</v>
          </cell>
          <cell r="C97" t="str">
            <v>TANDA</v>
          </cell>
          <cell r="D97" t="str">
            <v>GRAMO</v>
          </cell>
          <cell r="E97">
            <v>30198.672583476633</v>
          </cell>
          <cell r="F97">
            <v>1.4225867996738568</v>
          </cell>
          <cell r="G97">
            <v>0</v>
          </cell>
          <cell r="H97">
            <v>0</v>
          </cell>
          <cell r="I97">
            <v>1574.2933053543627</v>
          </cell>
          <cell r="J97">
            <v>7.4161169462707871E-2</v>
          </cell>
        </row>
        <row r="98">
          <cell r="A98" t="str">
            <v>95630</v>
          </cell>
          <cell r="B98" t="str">
            <v>ENSAMBLE PECHUGA RELLENAS (22000g)</v>
          </cell>
          <cell r="C98" t="str">
            <v>TANDA</v>
          </cell>
          <cell r="D98" t="str">
            <v>GRAMO</v>
          </cell>
          <cell r="E98">
            <v>125860.82133333334</v>
          </cell>
          <cell r="F98">
            <v>5.7209464242424248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85.215440000000001</v>
          </cell>
          <cell r="H99">
            <v>2.0741253498843862E-3</v>
          </cell>
          <cell r="I99">
            <v>4400</v>
          </cell>
          <cell r="J99">
            <v>0.107095046854083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TANDA</v>
          </cell>
          <cell r="D102" t="str">
            <v>GRAMO</v>
          </cell>
          <cell r="E102">
            <v>5309.587267486776</v>
          </cell>
          <cell r="F102">
            <v>1.5170249335676502</v>
          </cell>
          <cell r="G102">
            <v>47.93678478327579</v>
          </cell>
          <cell r="H102">
            <v>1.3696224223793083E-2</v>
          </cell>
          <cell r="I102">
            <v>592.89988492520138</v>
          </cell>
          <cell r="J102">
            <v>0.16939996712148611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TANDA</v>
          </cell>
          <cell r="D103" t="str">
            <v>GRAMO</v>
          </cell>
          <cell r="E103">
            <v>23298.332923602386</v>
          </cell>
          <cell r="F103">
            <v>1.9611391349833658</v>
          </cell>
          <cell r="G103">
            <v>0</v>
          </cell>
          <cell r="H103">
            <v>0</v>
          </cell>
          <cell r="I103">
            <v>759.86258715223721</v>
          </cell>
          <cell r="J103">
            <v>6.3961497235036802E-2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4041.7999999999997</v>
          </cell>
          <cell r="J104">
            <v>0.17421551724137929</v>
          </cell>
        </row>
        <row r="105">
          <cell r="A105" t="str">
            <v>95658</v>
          </cell>
          <cell r="B105" t="str">
            <v>RELLENO POLLO CREPA (3000g)</v>
          </cell>
          <cell r="C105" t="str">
            <v>TANDA</v>
          </cell>
          <cell r="D105" t="str">
            <v>GRAMO</v>
          </cell>
          <cell r="E105">
            <v>8731.0283987621697</v>
          </cell>
          <cell r="F105">
            <v>2.9103427995873901</v>
          </cell>
          <cell r="G105">
            <v>13.544531111111111</v>
          </cell>
          <cell r="H105">
            <v>4.514843703703704E-3</v>
          </cell>
          <cell r="I105">
            <v>491.74674927061193</v>
          </cell>
          <cell r="J105">
            <v>0.16391558309020399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TANDA</v>
          </cell>
          <cell r="D106" t="str">
            <v>GRAMO</v>
          </cell>
          <cell r="E106">
            <v>4335.1080779220783</v>
          </cell>
          <cell r="F106">
            <v>5.6300104908078943</v>
          </cell>
          <cell r="G106">
            <v>0</v>
          </cell>
          <cell r="H106">
            <v>0</v>
          </cell>
          <cell r="I106">
            <v>357.14285714285717</v>
          </cell>
          <cell r="J106">
            <v>0.463821892393321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 8925</v>
          </cell>
          <cell r="C113" t="str">
            <v>TANDA</v>
          </cell>
          <cell r="D113" t="str">
            <v>GRAMO</v>
          </cell>
          <cell r="E113">
            <v>27163.554955068303</v>
          </cell>
          <cell r="F113">
            <v>3.0435355691953281</v>
          </cell>
          <cell r="G113">
            <v>45.909636315187292</v>
          </cell>
          <cell r="H113">
            <v>5.1439368420377919E-3</v>
          </cell>
          <cell r="I113">
            <v>1660.3668305354363</v>
          </cell>
          <cell r="J113">
            <v>0.18603549921965673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908000036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25.59524588888889</v>
          </cell>
          <cell r="H123">
            <v>2.3268405353535355E-3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TANDA</v>
          </cell>
          <cell r="D127" t="str">
            <v>GRAMO</v>
          </cell>
          <cell r="E127">
            <v>37019.90659397647</v>
          </cell>
          <cell r="F127">
            <v>1.3461784215991444</v>
          </cell>
          <cell r="G127">
            <v>204.80518793650796</v>
          </cell>
          <cell r="H127">
            <v>7.4474613795093804E-3</v>
          </cell>
          <cell r="I127">
            <v>770</v>
          </cell>
          <cell r="J127">
            <v>2.8000000000000001E-2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903000040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TANDA</v>
          </cell>
          <cell r="D138" t="str">
            <v>GRAMO</v>
          </cell>
          <cell r="E138">
            <v>1902</v>
          </cell>
          <cell r="F138">
            <v>1.9019999999999999</v>
          </cell>
          <cell r="G138">
            <v>11.571035</v>
          </cell>
          <cell r="H138">
            <v>1.1571035E-2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TANDA</v>
          </cell>
          <cell r="D147" t="str">
            <v>GRAMO</v>
          </cell>
          <cell r="E147">
            <v>44785.534875999998</v>
          </cell>
          <cell r="F147">
            <v>2.1326445179047617</v>
          </cell>
          <cell r="G147">
            <v>0.61599999999999999</v>
          </cell>
          <cell r="H147">
            <v>2.9333333333333333E-5</v>
          </cell>
          <cell r="I147">
            <v>550</v>
          </cell>
          <cell r="J147">
            <v>2.6190476190476191E-2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907000001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1039.3142487019609</v>
          </cell>
          <cell r="F164">
            <v>1039.3142487019609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KILO</v>
          </cell>
          <cell r="D169" t="str">
            <v>GRAMO</v>
          </cell>
          <cell r="E169">
            <v>673.94177435714289</v>
          </cell>
          <cell r="F169">
            <v>0.67394177435714286</v>
          </cell>
          <cell r="G169">
            <v>2.6672902380952381</v>
          </cell>
          <cell r="H169">
            <v>2.6672902380952381E-3</v>
          </cell>
          <cell r="I169">
            <v>65.476190476190482</v>
          </cell>
          <cell r="J169">
            <v>6.5476190476190479E-2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MELO FROM SCRATCH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47.891230026256558</v>
          </cell>
          <cell r="F181">
            <v>47.891230026256558</v>
          </cell>
          <cell r="G181">
            <v>8.8430537790697671E-3</v>
          </cell>
          <cell r="H181">
            <v>8.8430537790697671E-3</v>
          </cell>
          <cell r="I181">
            <v>5.8277616279069759</v>
          </cell>
          <cell r="J181">
            <v>5.8277616279069759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(2400g)</v>
          </cell>
          <cell r="C196" t="str">
            <v>TANDA</v>
          </cell>
          <cell r="D196" t="str">
            <v>GRAMO</v>
          </cell>
          <cell r="E196">
            <v>8344.4401738039214</v>
          </cell>
          <cell r="F196">
            <v>3.4768500724183005</v>
          </cell>
          <cell r="G196">
            <v>28.572105000000001</v>
          </cell>
          <cell r="H196">
            <v>1.190504375E-2</v>
          </cell>
          <cell r="I196">
            <v>385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96180</v>
          </cell>
          <cell r="B199" t="str">
            <v>RELLENO DELIZZIA (7.150 Kg)</v>
          </cell>
          <cell r="C199" t="str">
            <v>KILO</v>
          </cell>
          <cell r="D199" t="str">
            <v>GRAMO</v>
          </cell>
          <cell r="E199">
            <v>1901.6339954888927</v>
          </cell>
          <cell r="F199">
            <v>1.9016339954888926</v>
          </cell>
          <cell r="G199">
            <v>1.5039062499999999E-2</v>
          </cell>
          <cell r="H199">
            <v>1.5039062499999999E-5</v>
          </cell>
          <cell r="I199">
            <v>77.01322115384616</v>
          </cell>
          <cell r="J199">
            <v>7.7013221153846165E-2</v>
          </cell>
        </row>
        <row r="200">
          <cell r="A200" t="str">
            <v>96192</v>
          </cell>
          <cell r="B200" t="str">
            <v>ACEITE DE AJO Y PEREJIL (1000g)</v>
          </cell>
          <cell r="C200" t="str">
            <v>TANDA</v>
          </cell>
          <cell r="D200" t="str">
            <v>GRAMO</v>
          </cell>
          <cell r="E200">
            <v>2790.6051721925132</v>
          </cell>
          <cell r="F200">
            <v>2.7906051721925134</v>
          </cell>
          <cell r="G200">
            <v>14.672860317171718</v>
          </cell>
          <cell r="H200">
            <v>1.4672860317171719E-2</v>
          </cell>
          <cell r="I200">
            <v>222.55</v>
          </cell>
          <cell r="J200">
            <v>0.22255</v>
          </cell>
        </row>
        <row r="201">
          <cell r="A201" t="str">
            <v>96197</v>
          </cell>
          <cell r="B201" t="str">
            <v>MEZCLA DE YEMA PARA PINTAR (1430g)</v>
          </cell>
          <cell r="C201" t="str">
            <v>TANDA</v>
          </cell>
          <cell r="D201" t="str">
            <v>GRAMO</v>
          </cell>
          <cell r="E201">
            <v>2413.21</v>
          </cell>
          <cell r="F201">
            <v>1.6875594405594405</v>
          </cell>
          <cell r="G201">
            <v>0</v>
          </cell>
          <cell r="H201">
            <v>0</v>
          </cell>
          <cell r="I201">
            <v>55</v>
          </cell>
          <cell r="J201">
            <v>3.8461538461538464E-2</v>
          </cell>
        </row>
        <row r="202">
          <cell r="A202" t="str">
            <v>96199</v>
          </cell>
          <cell r="B202" t="str">
            <v>COBERTURA CHOCOLATE LECHE RALLADO (4700g)</v>
          </cell>
          <cell r="C202" t="str">
            <v>KILO</v>
          </cell>
          <cell r="D202" t="str">
            <v>GRAMO</v>
          </cell>
          <cell r="E202">
            <v>22340</v>
          </cell>
          <cell r="F202">
            <v>4.7531914893617024</v>
          </cell>
          <cell r="G202">
            <v>1.1990000000000001</v>
          </cell>
          <cell r="H202">
            <v>2.5510638297872339E-4</v>
          </cell>
          <cell r="I202">
            <v>385</v>
          </cell>
          <cell r="J202">
            <v>8.191489361702127E-2</v>
          </cell>
        </row>
        <row r="203">
          <cell r="A203" t="str">
            <v>96223</v>
          </cell>
          <cell r="B203" t="str">
            <v>GANACHE DE DULCE LECHE (4800g)</v>
          </cell>
          <cell r="C203" t="str">
            <v>KILO</v>
          </cell>
          <cell r="D203" t="str">
            <v>GRAMO</v>
          </cell>
          <cell r="E203">
            <v>2483.106770833333</v>
          </cell>
          <cell r="F203">
            <v>2.483106770833333</v>
          </cell>
          <cell r="G203">
            <v>0</v>
          </cell>
          <cell r="H203">
            <v>0</v>
          </cell>
          <cell r="I203">
            <v>116.66666666666667</v>
          </cell>
          <cell r="J203">
            <v>0.11666666666666667</v>
          </cell>
        </row>
        <row r="204">
          <cell r="A204" t="str">
            <v>96242</v>
          </cell>
          <cell r="B204" t="str">
            <v>PURE PAPA (2000g)</v>
          </cell>
          <cell r="C204" t="str">
            <v>TANDA</v>
          </cell>
          <cell r="D204" t="str">
            <v>GRAMO</v>
          </cell>
          <cell r="E204">
            <v>3211.5108266666666</v>
          </cell>
          <cell r="F204">
            <v>1.6057554133333334</v>
          </cell>
          <cell r="G204">
            <v>23.975403333333333</v>
          </cell>
          <cell r="H204">
            <v>1.1987701666666666E-2</v>
          </cell>
          <cell r="I204">
            <v>331.375</v>
          </cell>
          <cell r="J204">
            <v>0.16568749999999999</v>
          </cell>
        </row>
        <row r="205">
          <cell r="A205" t="str">
            <v>96251</v>
          </cell>
          <cell r="B205" t="str">
            <v>GALLETA P/TORTA CHILENA FAS (210g)</v>
          </cell>
          <cell r="C205" t="str">
            <v>UND</v>
          </cell>
          <cell r="D205" t="str">
            <v>UND</v>
          </cell>
          <cell r="E205">
            <v>226.41733244134201</v>
          </cell>
          <cell r="F205">
            <v>226.41733244134201</v>
          </cell>
          <cell r="G205">
            <v>0.65629030839002267</v>
          </cell>
          <cell r="H205">
            <v>0.65629030839002267</v>
          </cell>
          <cell r="I205">
            <v>27.595238095238095</v>
          </cell>
          <cell r="J205">
            <v>27.595238095238095</v>
          </cell>
        </row>
        <row r="206">
          <cell r="A206" t="str">
            <v>96252</v>
          </cell>
          <cell r="B206" t="str">
            <v>RELLENO CHEESE CAKE INDUSTRIA (9000g)</v>
          </cell>
          <cell r="C206" t="str">
            <v>TANDA</v>
          </cell>
          <cell r="D206" t="str">
            <v>GRAMO</v>
          </cell>
          <cell r="E206">
            <v>18145.277160472564</v>
          </cell>
          <cell r="F206">
            <v>2.0161419067191737</v>
          </cell>
          <cell r="G206">
            <v>0.13834615384615384</v>
          </cell>
          <cell r="H206">
            <v>1.5371794871794872E-5</v>
          </cell>
          <cell r="I206">
            <v>888.46153846153845</v>
          </cell>
          <cell r="J206">
            <v>9.8717948717948714E-2</v>
          </cell>
        </row>
        <row r="207">
          <cell r="A207" t="str">
            <v>96263</v>
          </cell>
          <cell r="B207" t="str">
            <v>QUESO PARMESANO LAMINADO (8580g)</v>
          </cell>
          <cell r="C207" t="str">
            <v>TANDA</v>
          </cell>
          <cell r="D207" t="str">
            <v>GRAMO</v>
          </cell>
          <cell r="E207">
            <v>94190.862500000003</v>
          </cell>
          <cell r="F207">
            <v>10.977956002331002</v>
          </cell>
          <cell r="G207">
            <v>26.763632000000001</v>
          </cell>
          <cell r="H207">
            <v>3.1193044289044292E-3</v>
          </cell>
          <cell r="I207">
            <v>275</v>
          </cell>
          <cell r="J207">
            <v>3.2051282051282048E-2</v>
          </cell>
        </row>
        <row r="208">
          <cell r="A208" t="str">
            <v>96266</v>
          </cell>
          <cell r="B208" t="str">
            <v>LAMINA AZUCAR ESCANEADA (UND)</v>
          </cell>
          <cell r="C208" t="str">
            <v>UND</v>
          </cell>
          <cell r="D208" t="str">
            <v>UND</v>
          </cell>
          <cell r="E208">
            <v>1387.384</v>
          </cell>
          <cell r="F208">
            <v>1387.384</v>
          </cell>
          <cell r="G208">
            <v>0</v>
          </cell>
          <cell r="H208">
            <v>0</v>
          </cell>
          <cell r="I208">
            <v>275</v>
          </cell>
          <cell r="J208">
            <v>275</v>
          </cell>
        </row>
        <row r="209">
          <cell r="A209" t="str">
            <v>96267</v>
          </cell>
          <cell r="B209" t="str">
            <v>ROSQUETE CHOCOLATE BUCCA (320g)</v>
          </cell>
          <cell r="C209" t="str">
            <v>UND</v>
          </cell>
          <cell r="D209" t="str">
            <v>UND</v>
          </cell>
          <cell r="E209">
            <v>355.25335753863862</v>
          </cell>
          <cell r="F209">
            <v>355.25335753863862</v>
          </cell>
          <cell r="G209">
            <v>8.2092643814880741</v>
          </cell>
          <cell r="H209">
            <v>8.2092643814880741</v>
          </cell>
          <cell r="I209">
            <v>35.876510067114097</v>
          </cell>
          <cell r="J209">
            <v>35.876510067114097</v>
          </cell>
        </row>
        <row r="210">
          <cell r="A210" t="str">
            <v>96270</v>
          </cell>
          <cell r="B210" t="str">
            <v>ROSQUETE MELOCOTON PURATOS (360g)</v>
          </cell>
          <cell r="C210" t="str">
            <v>UND</v>
          </cell>
          <cell r="D210" t="str">
            <v>UND</v>
          </cell>
          <cell r="E210">
            <v>422.05372617403651</v>
          </cell>
          <cell r="F210">
            <v>422.05372617403651</v>
          </cell>
          <cell r="G210">
            <v>8.7370147215647176</v>
          </cell>
          <cell r="H210">
            <v>8.7370147215647176</v>
          </cell>
          <cell r="I210">
            <v>19.774041546820072</v>
          </cell>
          <cell r="J210">
            <v>19.774041546820072</v>
          </cell>
        </row>
        <row r="211">
          <cell r="A211" t="str">
            <v>96271</v>
          </cell>
          <cell r="B211" t="str">
            <v>CORTE  P/GALLETA ESC (UND)</v>
          </cell>
          <cell r="C211" t="str">
            <v>UND</v>
          </cell>
          <cell r="D211" t="str">
            <v>UND</v>
          </cell>
          <cell r="E211">
            <v>21.349894497743044</v>
          </cell>
          <cell r="F211">
            <v>21.349894497743044</v>
          </cell>
          <cell r="G211">
            <v>0</v>
          </cell>
          <cell r="H211">
            <v>0</v>
          </cell>
          <cell r="I211">
            <v>10.686239816064377</v>
          </cell>
          <cell r="J211">
            <v>10.686239816064377</v>
          </cell>
        </row>
        <row r="212">
          <cell r="A212" t="str">
            <v>96272</v>
          </cell>
          <cell r="B212" t="str">
            <v>EMPANADA POLLO C/AJONJOLI (UND)</v>
          </cell>
          <cell r="C212" t="str">
            <v>UND</v>
          </cell>
          <cell r="D212" t="str">
            <v>UND</v>
          </cell>
          <cell r="E212">
            <v>185.40642008823716</v>
          </cell>
          <cell r="F212">
            <v>185.40642008823716</v>
          </cell>
          <cell r="G212">
            <v>1.7940720010640245</v>
          </cell>
          <cell r="H212">
            <v>1.7940720010640245</v>
          </cell>
          <cell r="I212">
            <v>45.17753744451764</v>
          </cell>
          <cell r="J212">
            <v>45.17753744451764</v>
          </cell>
        </row>
        <row r="213">
          <cell r="A213" t="str">
            <v>96275</v>
          </cell>
          <cell r="B213" t="str">
            <v>GALLETA CHOCOLATE CHIPS STARBUCKS (UND)</v>
          </cell>
          <cell r="C213" t="str">
            <v>UND</v>
          </cell>
          <cell r="D213" t="str">
            <v>UND</v>
          </cell>
          <cell r="E213">
            <v>142.47345146308726</v>
          </cell>
          <cell r="F213">
            <v>142.47345146308726</v>
          </cell>
          <cell r="G213">
            <v>0.13315657482254814</v>
          </cell>
          <cell r="H213">
            <v>0.13315657482254814</v>
          </cell>
          <cell r="I213">
            <v>9.8643519761372112</v>
          </cell>
          <cell r="J213">
            <v>9.8643519761372112</v>
          </cell>
        </row>
        <row r="214">
          <cell r="A214" t="str">
            <v>96276</v>
          </cell>
          <cell r="B214" t="str">
            <v>ROSQUETE CARAMELO PURATOS (335g)</v>
          </cell>
          <cell r="C214" t="str">
            <v>UND</v>
          </cell>
          <cell r="D214" t="str">
            <v>UND</v>
          </cell>
          <cell r="E214">
            <v>446.846888464561</v>
          </cell>
          <cell r="F214">
            <v>446.846888464561</v>
          </cell>
          <cell r="G214">
            <v>7.6483473744357671</v>
          </cell>
          <cell r="H214">
            <v>7.6483473744357671</v>
          </cell>
          <cell r="I214">
            <v>5.5005424229143616</v>
          </cell>
          <cell r="J214">
            <v>5.5005424229143616</v>
          </cell>
        </row>
        <row r="215">
          <cell r="A215" t="str">
            <v>96277</v>
          </cell>
          <cell r="B215" t="str">
            <v>ARREGLADOS GRANDE (UND)</v>
          </cell>
          <cell r="C215" t="str">
            <v>UND</v>
          </cell>
          <cell r="D215" t="str">
            <v>UND</v>
          </cell>
          <cell r="E215">
            <v>83.714886916106408</v>
          </cell>
          <cell r="F215">
            <v>83.714886916106408</v>
          </cell>
          <cell r="G215">
            <v>1.5701248390789779</v>
          </cell>
          <cell r="H215">
            <v>1.5701248390789779</v>
          </cell>
          <cell r="I215">
            <v>14.61810476954917</v>
          </cell>
          <cell r="J215">
            <v>14.61810476954917</v>
          </cell>
        </row>
        <row r="216">
          <cell r="A216" t="str">
            <v>96280</v>
          </cell>
          <cell r="B216" t="str">
            <v>OREJITAS DULCES (5409g)</v>
          </cell>
          <cell r="C216" t="str">
            <v>KILO</v>
          </cell>
          <cell r="D216" t="str">
            <v>GRAMO</v>
          </cell>
          <cell r="E216">
            <v>935.32970759169018</v>
          </cell>
          <cell r="F216">
            <v>0.93532970759169021</v>
          </cell>
          <cell r="G216">
            <v>4.3075589700960348</v>
          </cell>
          <cell r="H216">
            <v>4.3075589700960351E-3</v>
          </cell>
          <cell r="I216">
            <v>625.67426218810954</v>
          </cell>
          <cell r="J216">
            <v>0.62567426218810951</v>
          </cell>
        </row>
        <row r="217">
          <cell r="A217" t="str">
            <v>96284</v>
          </cell>
          <cell r="B217" t="str">
            <v>CROISSANT SPOON 110g (UND)</v>
          </cell>
          <cell r="C217" t="str">
            <v>UND</v>
          </cell>
          <cell r="D217" t="str">
            <v>UND</v>
          </cell>
          <cell r="E217">
            <v>123.89697454065589</v>
          </cell>
          <cell r="F217">
            <v>123.89697454065589</v>
          </cell>
          <cell r="G217">
            <v>0.39982959433249193</v>
          </cell>
          <cell r="H217">
            <v>0.39982959433249193</v>
          </cell>
          <cell r="I217">
            <v>46.883423180592985</v>
          </cell>
          <cell r="J217">
            <v>46.883423180592985</v>
          </cell>
        </row>
        <row r="218">
          <cell r="A218" t="str">
            <v>96292</v>
          </cell>
          <cell r="B218" t="str">
            <v>ROSQUETE TRES LECHES RED. (150g)</v>
          </cell>
          <cell r="C218" t="str">
            <v>UND</v>
          </cell>
          <cell r="D218" t="str">
            <v>UND</v>
          </cell>
          <cell r="E218">
            <v>136.40286546344521</v>
          </cell>
          <cell r="F218">
            <v>136.40286546344521</v>
          </cell>
          <cell r="G218">
            <v>1.8081754333475375</v>
          </cell>
          <cell r="H218">
            <v>1.8081754333475375</v>
          </cell>
          <cell r="I218">
            <v>25.208995107028031</v>
          </cell>
          <cell r="J218">
            <v>25.208995107028031</v>
          </cell>
        </row>
        <row r="219">
          <cell r="A219" t="str">
            <v>96293</v>
          </cell>
          <cell r="B219" t="str">
            <v>BATIDO P/ROSQUETE TRES LECHES (18300g)</v>
          </cell>
          <cell r="C219" t="str">
            <v>TANDA</v>
          </cell>
          <cell r="D219" t="str">
            <v>GRAMO</v>
          </cell>
          <cell r="E219">
            <v>14872.048553600001</v>
          </cell>
          <cell r="F219">
            <v>0.81268024883060119</v>
          </cell>
          <cell r="G219">
            <v>67.090375555555553</v>
          </cell>
          <cell r="H219">
            <v>3.6661407407407405E-3</v>
          </cell>
          <cell r="I219">
            <v>440</v>
          </cell>
          <cell r="J219">
            <v>2.4043715846994537E-2</v>
          </cell>
        </row>
        <row r="220">
          <cell r="A220" t="str">
            <v>96296</v>
          </cell>
          <cell r="B220" t="str">
            <v>BATIDO P/ROSQUETE CHOCOLATE BUCCA (48100g)</v>
          </cell>
          <cell r="C220" t="str">
            <v>TANDA</v>
          </cell>
          <cell r="D220" t="str">
            <v>GRAMO</v>
          </cell>
          <cell r="E220">
            <v>39777.513660588236</v>
          </cell>
          <cell r="F220">
            <v>0.82697533597896544</v>
          </cell>
          <cell r="G220">
            <v>2.9325322222222225</v>
          </cell>
          <cell r="H220">
            <v>6.0967405867405874E-5</v>
          </cell>
          <cell r="I220">
            <v>550</v>
          </cell>
          <cell r="J220">
            <v>1.1434511434511435E-2</v>
          </cell>
        </row>
        <row r="221">
          <cell r="A221" t="str">
            <v>96299</v>
          </cell>
          <cell r="B221" t="str">
            <v>CROISSANT C/JAMON STB (UND)</v>
          </cell>
          <cell r="C221" t="str">
            <v>UND</v>
          </cell>
          <cell r="D221" t="str">
            <v>UND</v>
          </cell>
          <cell r="E221">
            <v>307.09518973819553</v>
          </cell>
          <cell r="F221">
            <v>307.09518973819553</v>
          </cell>
          <cell r="G221">
            <v>0.73358858788922221</v>
          </cell>
          <cell r="H221">
            <v>0.73358858788922221</v>
          </cell>
          <cell r="I221">
            <v>50.787974886339036</v>
          </cell>
          <cell r="J221">
            <v>50.787974886339036</v>
          </cell>
        </row>
        <row r="222">
          <cell r="A222" t="str">
            <v>902000014</v>
          </cell>
          <cell r="B222" t="str">
            <v>BATIDO P/BROWNIE SPOON (8000g)</v>
          </cell>
          <cell r="C222" t="str">
            <v>KILO</v>
          </cell>
          <cell r="D222" t="str">
            <v>GRAMO</v>
          </cell>
          <cell r="E222">
            <v>8947.9594560000005</v>
          </cell>
          <cell r="F222">
            <v>1.1184949320000002</v>
          </cell>
          <cell r="G222">
            <v>117.03071158730158</v>
          </cell>
          <cell r="H222">
            <v>1.4628838948412697E-2</v>
          </cell>
          <cell r="I222">
            <v>412.5</v>
          </cell>
          <cell r="J222">
            <v>5.1562499999999997E-2</v>
          </cell>
        </row>
        <row r="223">
          <cell r="A223" t="str">
            <v>96306</v>
          </cell>
          <cell r="B223" t="str">
            <v>BATIDO P/COCADA SPOON (21500g)</v>
          </cell>
          <cell r="C223" t="str">
            <v>TANDA</v>
          </cell>
          <cell r="D223" t="str">
            <v>GRAMO</v>
          </cell>
          <cell r="E223">
            <v>49322.221812189833</v>
          </cell>
          <cell r="F223">
            <v>2.2940568284739458</v>
          </cell>
          <cell r="G223">
            <v>0</v>
          </cell>
          <cell r="H223">
            <v>0</v>
          </cell>
          <cell r="I223">
            <v>550</v>
          </cell>
          <cell r="J223">
            <v>2.5581395348837209E-2</v>
          </cell>
        </row>
        <row r="224">
          <cell r="A224" t="str">
            <v>96311</v>
          </cell>
          <cell r="B224" t="str">
            <v>ROSQUETE CHOCOLATE RED. (700g)</v>
          </cell>
          <cell r="C224" t="str">
            <v>UND</v>
          </cell>
          <cell r="D224" t="str">
            <v>UND</v>
          </cell>
          <cell r="E224">
            <v>852.46206408625835</v>
          </cell>
          <cell r="F224">
            <v>852.46206408625835</v>
          </cell>
          <cell r="G224">
            <v>15.921994095213645</v>
          </cell>
          <cell r="H224">
            <v>15.921994095213645</v>
          </cell>
          <cell r="I224">
            <v>29.022774782704367</v>
          </cell>
          <cell r="J224">
            <v>29.022774782704367</v>
          </cell>
        </row>
        <row r="225">
          <cell r="A225" t="str">
            <v>96322</v>
          </cell>
          <cell r="B225" t="str">
            <v>BATIDO P/ROSQUETE CARAMELO (18150g)</v>
          </cell>
          <cell r="C225" t="str">
            <v>KILO</v>
          </cell>
          <cell r="D225" t="str">
            <v>GRAMO</v>
          </cell>
          <cell r="E225">
            <v>1190.2698842975205</v>
          </cell>
          <cell r="F225">
            <v>1.1902698842975206</v>
          </cell>
          <cell r="G225">
            <v>0</v>
          </cell>
          <cell r="H225">
            <v>0</v>
          </cell>
          <cell r="I225">
            <v>15.426997245179065</v>
          </cell>
          <cell r="J225">
            <v>1.5426997245179064E-2</v>
          </cell>
        </row>
        <row r="226">
          <cell r="A226" t="str">
            <v>96324</v>
          </cell>
          <cell r="B226" t="str">
            <v>ROSQUETE CARAMELO PURATOS (1060g)</v>
          </cell>
          <cell r="C226" t="str">
            <v>UND</v>
          </cell>
          <cell r="D226" t="str">
            <v>UND</v>
          </cell>
          <cell r="E226">
            <v>1440.5810135573906</v>
          </cell>
          <cell r="F226">
            <v>1440.5810135573906</v>
          </cell>
          <cell r="G226">
            <v>19.769060411482837</v>
          </cell>
          <cell r="H226">
            <v>19.769060411482837</v>
          </cell>
          <cell r="I226">
            <v>43.943276172306241</v>
          </cell>
          <cell r="J226">
            <v>43.943276172306241</v>
          </cell>
        </row>
        <row r="227">
          <cell r="A227" t="str">
            <v>96328</v>
          </cell>
          <cell r="B227" t="str">
            <v>ROSQUETE MELOCOTON RECT.PURATOS (3400g)</v>
          </cell>
          <cell r="C227" t="str">
            <v>UND</v>
          </cell>
          <cell r="D227" t="str">
            <v>UND</v>
          </cell>
          <cell r="E227">
            <v>4595.986369707296</v>
          </cell>
          <cell r="F227">
            <v>4595.986369707296</v>
          </cell>
          <cell r="G227">
            <v>29.641797018394229</v>
          </cell>
          <cell r="H227">
            <v>29.641797018394229</v>
          </cell>
          <cell r="I227">
            <v>140.25143489451781</v>
          </cell>
          <cell r="J227">
            <v>140.25143489451781</v>
          </cell>
        </row>
        <row r="228">
          <cell r="A228" t="str">
            <v>96329</v>
          </cell>
          <cell r="B228" t="str">
            <v>PRALINE (1380g)</v>
          </cell>
          <cell r="C228" t="str">
            <v>KILO</v>
          </cell>
          <cell r="D228" t="str">
            <v>GRAMO</v>
          </cell>
          <cell r="E228">
            <v>5776.4652173913037</v>
          </cell>
          <cell r="F228">
            <v>5.776465217391304</v>
          </cell>
          <cell r="G228">
            <v>7.8260869565217401</v>
          </cell>
          <cell r="H228">
            <v>7.8260869565217397E-3</v>
          </cell>
          <cell r="I228">
            <v>405.79710144927537</v>
          </cell>
          <cell r="J228">
            <v>0.40579710144927539</v>
          </cell>
        </row>
        <row r="229">
          <cell r="A229" t="str">
            <v>96331</v>
          </cell>
          <cell r="B229" t="str">
            <v>BOLLETA BLANCA P/CROCANTINI (80g)</v>
          </cell>
          <cell r="C229" t="str">
            <v>UND</v>
          </cell>
          <cell r="D229" t="str">
            <v>UND</v>
          </cell>
          <cell r="E229">
            <v>45.417622234316674</v>
          </cell>
          <cell r="F229">
            <v>45.417622234316674</v>
          </cell>
          <cell r="G229">
            <v>0.39930195657604239</v>
          </cell>
          <cell r="H229">
            <v>0.39930195657604239</v>
          </cell>
          <cell r="I229">
            <v>23.408856882257645</v>
          </cell>
          <cell r="J229">
            <v>23.408856882257645</v>
          </cell>
        </row>
        <row r="230">
          <cell r="A230" t="str">
            <v>96340</v>
          </cell>
          <cell r="B230" t="str">
            <v>CREMA MOKA C/BAILEYS (1200g)</v>
          </cell>
          <cell r="C230" t="str">
            <v>KILO</v>
          </cell>
          <cell r="D230" t="str">
            <v>GRAMO</v>
          </cell>
          <cell r="E230">
            <v>4033.7853397038107</v>
          </cell>
          <cell r="F230">
            <v>4.0337853397038108</v>
          </cell>
          <cell r="G230">
            <v>0.93512481943999726</v>
          </cell>
          <cell r="H230">
            <v>9.3512481943999726E-4</v>
          </cell>
          <cell r="I230">
            <v>249.85910983029137</v>
          </cell>
          <cell r="J230">
            <v>0.24985910983029139</v>
          </cell>
        </row>
        <row r="231">
          <cell r="A231" t="str">
            <v>96341</v>
          </cell>
          <cell r="B231" t="str">
            <v>PECANA CUBIERTA C/COCOLATE BLANCO (500g)</v>
          </cell>
          <cell r="C231" t="str">
            <v>KILO</v>
          </cell>
          <cell r="D231" t="str">
            <v>GRAMO</v>
          </cell>
          <cell r="E231">
            <v>6432.4953750000004</v>
          </cell>
          <cell r="F231">
            <v>6.4324953750000002</v>
          </cell>
          <cell r="G231">
            <v>32.96543615625</v>
          </cell>
          <cell r="H231">
            <v>3.296543615625E-2</v>
          </cell>
          <cell r="I231">
            <v>600.16666666666663</v>
          </cell>
          <cell r="J231">
            <v>0.60016666666666663</v>
          </cell>
        </row>
        <row r="232">
          <cell r="A232" t="str">
            <v>96342</v>
          </cell>
          <cell r="B232" t="str">
            <v>MEZCLA DE TRES LECHES C/BAILEYS (3600g)</v>
          </cell>
          <cell r="C232" t="str">
            <v>LITRO</v>
          </cell>
          <cell r="D232" t="str">
            <v>GRAMO</v>
          </cell>
          <cell r="E232">
            <v>6479.2919439704865</v>
          </cell>
          <cell r="F232">
            <v>6.4792919439704866</v>
          </cell>
          <cell r="G232">
            <v>2.6780055555555555</v>
          </cell>
          <cell r="H232">
            <v>2.6780055555555553E-3</v>
          </cell>
          <cell r="I232">
            <v>35.223765432098766</v>
          </cell>
          <cell r="J232">
            <v>3.5223765432098764E-2</v>
          </cell>
        </row>
        <row r="233">
          <cell r="A233" t="str">
            <v>96343</v>
          </cell>
          <cell r="B233" t="str">
            <v>GANACHE BAILEYS (700g)</v>
          </cell>
          <cell r="C233" t="str">
            <v>KILO</v>
          </cell>
          <cell r="D233" t="str">
            <v>GRAMO</v>
          </cell>
          <cell r="E233">
            <v>4033.9998857142855</v>
          </cell>
          <cell r="F233">
            <v>4.0339998857142856</v>
          </cell>
          <cell r="G233">
            <v>13.772599999999999</v>
          </cell>
          <cell r="H233">
            <v>1.3772599999999999E-2</v>
          </cell>
          <cell r="I233">
            <v>392.85714285714283</v>
          </cell>
          <cell r="J233">
            <v>0.39285714285714285</v>
          </cell>
        </row>
        <row r="234">
          <cell r="A234" t="str">
            <v>96344</v>
          </cell>
          <cell r="B234" t="str">
            <v>CREMA DULCE LECHE (24500g)</v>
          </cell>
          <cell r="C234" t="str">
            <v>TANDA</v>
          </cell>
          <cell r="D234" t="str">
            <v>GRAMO</v>
          </cell>
          <cell r="E234">
            <v>47842.976727200003</v>
          </cell>
          <cell r="F234">
            <v>1.9527745602938777</v>
          </cell>
          <cell r="G234">
            <v>0</v>
          </cell>
          <cell r="H234">
            <v>0</v>
          </cell>
          <cell r="I234">
            <v>275</v>
          </cell>
          <cell r="J234">
            <v>1.1224489795918367E-2</v>
          </cell>
        </row>
        <row r="235">
          <cell r="A235" t="str">
            <v>96349</v>
          </cell>
          <cell r="B235" t="str">
            <v>BATIDO P/ROSQUETE ZANAHORIA (10200g)</v>
          </cell>
          <cell r="C235" t="str">
            <v>KILO</v>
          </cell>
          <cell r="D235" t="str">
            <v>GRAMO</v>
          </cell>
          <cell r="E235">
            <v>19770.832487975571</v>
          </cell>
          <cell r="F235">
            <v>1.8306326377755158</v>
          </cell>
          <cell r="G235">
            <v>11.122917368936587</v>
          </cell>
          <cell r="H235">
            <v>1.0298997563830173E-3</v>
          </cell>
          <cell r="I235">
            <v>991.51782292065923</v>
          </cell>
          <cell r="J235">
            <v>9.1807205825986962E-2</v>
          </cell>
        </row>
        <row r="236">
          <cell r="A236" t="str">
            <v>96352</v>
          </cell>
          <cell r="B236" t="str">
            <v>GALLETA P/TORTA CHILENA BUCCA</v>
          </cell>
          <cell r="C236" t="str">
            <v>UND</v>
          </cell>
          <cell r="D236" t="str">
            <v>UND</v>
          </cell>
          <cell r="E236">
            <v>59.974259271360751</v>
          </cell>
          <cell r="F236">
            <v>59.974259271360751</v>
          </cell>
          <cell r="G236">
            <v>0.46606528812537668</v>
          </cell>
          <cell r="H236">
            <v>0.46606528812537668</v>
          </cell>
          <cell r="I236">
            <v>15.320253164556961</v>
          </cell>
          <cell r="J236">
            <v>15.320253164556961</v>
          </cell>
        </row>
        <row r="237">
          <cell r="A237" t="str">
            <v>90100143</v>
          </cell>
          <cell r="B237" t="str">
            <v>ROSQUETE VAINILLA PURATOS  (1000g)</v>
          </cell>
          <cell r="C237" t="str">
            <v>UND</v>
          </cell>
          <cell r="D237" t="str">
            <v>UND</v>
          </cell>
          <cell r="E237">
            <v>1023.982802590923</v>
          </cell>
          <cell r="F237">
            <v>1023.982802590923</v>
          </cell>
          <cell r="G237">
            <v>24.187790337380832</v>
          </cell>
          <cell r="H237">
            <v>24.187790337380832</v>
          </cell>
          <cell r="I237">
            <v>34.421435367327526</v>
          </cell>
          <cell r="J237">
            <v>34.421435367327526</v>
          </cell>
        </row>
        <row r="238">
          <cell r="A238" t="str">
            <v>96357</v>
          </cell>
          <cell r="B238" t="str">
            <v>ROSQUETE CHOCOLATE SPOON  (280g)</v>
          </cell>
          <cell r="C238" t="str">
            <v>UND</v>
          </cell>
          <cell r="D238" t="str">
            <v>UND</v>
          </cell>
          <cell r="E238">
            <v>370.0906676352601</v>
          </cell>
          <cell r="F238">
            <v>370.0906676352601</v>
          </cell>
          <cell r="G238">
            <v>4.146585476818637</v>
          </cell>
          <cell r="H238">
            <v>4.146585476818637</v>
          </cell>
          <cell r="I238">
            <v>23.439692448230694</v>
          </cell>
          <cell r="J238">
            <v>23.439692448230694</v>
          </cell>
        </row>
        <row r="239">
          <cell r="A239" t="str">
            <v>96360</v>
          </cell>
          <cell r="B239" t="str">
            <v>COCCION PALMITO P/ENSALADA (1900g)</v>
          </cell>
          <cell r="C239" t="str">
            <v>KILO</v>
          </cell>
          <cell r="D239" t="str">
            <v>GRAMO</v>
          </cell>
          <cell r="E239">
            <v>2347.4006557894736</v>
          </cell>
          <cell r="F239">
            <v>2.3474006557894738</v>
          </cell>
          <cell r="G239">
            <v>44.225973684210523</v>
          </cell>
          <cell r="H239">
            <v>4.4225973684210523E-2</v>
          </cell>
          <cell r="I239">
            <v>86.842105263157904</v>
          </cell>
          <cell r="J239">
            <v>8.6842105263157901E-2</v>
          </cell>
        </row>
        <row r="240">
          <cell r="A240" t="str">
            <v>96361</v>
          </cell>
          <cell r="B240" t="str">
            <v>BATIDO YOGURT CAKE (10500g)</v>
          </cell>
          <cell r="C240" t="str">
            <v>KILO</v>
          </cell>
          <cell r="D240" t="str">
            <v>GRAMO</v>
          </cell>
          <cell r="E240">
            <v>1356.717147051859</v>
          </cell>
          <cell r="F240">
            <v>1.3567171470518591</v>
          </cell>
          <cell r="G240">
            <v>3.1315248243744573</v>
          </cell>
          <cell r="H240">
            <v>3.1315248243744573E-3</v>
          </cell>
          <cell r="I240">
            <v>47.738574473123371</v>
          </cell>
          <cell r="J240">
            <v>4.7738574473123373E-2</v>
          </cell>
        </row>
        <row r="241">
          <cell r="A241" t="str">
            <v>96362</v>
          </cell>
          <cell r="B241" t="str">
            <v>ADEREZO CULANTRO RANCH (500g)</v>
          </cell>
          <cell r="C241" t="str">
            <v>KILO</v>
          </cell>
          <cell r="D241" t="str">
            <v>GRAMO</v>
          </cell>
          <cell r="E241">
            <v>1313.3792668857036</v>
          </cell>
          <cell r="F241">
            <v>1.3133792668857036</v>
          </cell>
          <cell r="G241">
            <v>64.31460317543943</v>
          </cell>
          <cell r="H241">
            <v>6.4314603175439425E-2</v>
          </cell>
          <cell r="I241">
            <v>604.54374873079269</v>
          </cell>
          <cell r="J241">
            <v>0.60454374873079264</v>
          </cell>
        </row>
        <row r="242">
          <cell r="A242" t="str">
            <v>96367</v>
          </cell>
          <cell r="B242" t="str">
            <v>ADEREZO PESTO ALBAHACA (300g)</v>
          </cell>
          <cell r="C242" t="str">
            <v>KILO</v>
          </cell>
          <cell r="D242" t="str">
            <v>GRAMO</v>
          </cell>
          <cell r="E242">
            <v>3256.399145833333</v>
          </cell>
          <cell r="F242">
            <v>3.256399145833333</v>
          </cell>
          <cell r="G242">
            <v>54.084525925925938</v>
          </cell>
          <cell r="H242">
            <v>5.4084525925925934E-2</v>
          </cell>
          <cell r="I242">
            <v>566.93693693693706</v>
          </cell>
          <cell r="J242">
            <v>0.56693693693693703</v>
          </cell>
        </row>
        <row r="243">
          <cell r="A243" t="str">
            <v>96368</v>
          </cell>
          <cell r="B243" t="str">
            <v>COCCION CARNE PHILLY (500g)</v>
          </cell>
          <cell r="C243" t="str">
            <v>KILO</v>
          </cell>
          <cell r="D243" t="str">
            <v>GRAMO</v>
          </cell>
          <cell r="E243">
            <v>11091.887170000002</v>
          </cell>
          <cell r="F243">
            <v>11.091887170000001</v>
          </cell>
          <cell r="G243">
            <v>49.338826999999995</v>
          </cell>
          <cell r="H243">
            <v>4.9338826999999995E-2</v>
          </cell>
          <cell r="I243">
            <v>560</v>
          </cell>
          <cell r="J243">
            <v>0.56000000000000005</v>
          </cell>
        </row>
        <row r="244">
          <cell r="A244" t="str">
            <v>96369</v>
          </cell>
          <cell r="B244" t="str">
            <v>COCCION CEBOLLA PHILLY (200g)</v>
          </cell>
          <cell r="C244" t="str">
            <v>KILO</v>
          </cell>
          <cell r="D244" t="str">
            <v>GRAMO</v>
          </cell>
          <cell r="E244">
            <v>7895.8827233333341</v>
          </cell>
          <cell r="F244">
            <v>7.895882723333334</v>
          </cell>
          <cell r="G244">
            <v>123.34706749999999</v>
          </cell>
          <cell r="H244">
            <v>0.12334706749999999</v>
          </cell>
          <cell r="I244">
            <v>1400</v>
          </cell>
          <cell r="J244">
            <v>1.4</v>
          </cell>
        </row>
        <row r="245">
          <cell r="A245" t="str">
            <v>96370</v>
          </cell>
          <cell r="B245" t="str">
            <v>MEZCLA CLARAS P/TORTA (1700g)</v>
          </cell>
          <cell r="C245" t="str">
            <v>KILO</v>
          </cell>
          <cell r="D245" t="str">
            <v>GRAMO</v>
          </cell>
          <cell r="E245">
            <v>2967.8659223529412</v>
          </cell>
          <cell r="F245">
            <v>2.9678659223529413</v>
          </cell>
          <cell r="G245">
            <v>0</v>
          </cell>
          <cell r="H245">
            <v>0</v>
          </cell>
          <cell r="I245">
            <v>98.823529411764696</v>
          </cell>
          <cell r="J245">
            <v>9.8823529411764699E-2</v>
          </cell>
        </row>
        <row r="246">
          <cell r="A246" t="str">
            <v>96371</v>
          </cell>
          <cell r="B246" t="str">
            <v>MEZCLA DE HUEVOS ENTEROS P/TORTA (750g)</v>
          </cell>
          <cell r="C246" t="str">
            <v>KILO</v>
          </cell>
          <cell r="D246" t="str">
            <v>GRAMO</v>
          </cell>
          <cell r="E246">
            <v>1409.0171506666668</v>
          </cell>
          <cell r="F246">
            <v>1.4090171506666669</v>
          </cell>
          <cell r="G246">
            <v>0</v>
          </cell>
          <cell r="H246">
            <v>0</v>
          </cell>
          <cell r="I246">
            <v>224</v>
          </cell>
          <cell r="J246">
            <v>0.224</v>
          </cell>
        </row>
        <row r="247">
          <cell r="A247" t="str">
            <v>96372</v>
          </cell>
          <cell r="B247" t="str">
            <v>QUESO CHEDDAR BLANCO LAMINADO Y EMPACADO (1000g)</v>
          </cell>
          <cell r="C247" t="str">
            <v>KILO</v>
          </cell>
          <cell r="D247" t="str">
            <v>GRAMO</v>
          </cell>
          <cell r="E247">
            <v>9278.7842700000001</v>
          </cell>
          <cell r="F247">
            <v>9.2787842700000009</v>
          </cell>
          <cell r="G247">
            <v>52.097924444444445</v>
          </cell>
          <cell r="H247">
            <v>5.2097924444444443E-2</v>
          </cell>
          <cell r="I247">
            <v>224</v>
          </cell>
          <cell r="J247">
            <v>0.224</v>
          </cell>
        </row>
        <row r="248">
          <cell r="A248" t="str">
            <v>96373</v>
          </cell>
          <cell r="B248" t="str">
            <v>QUESO CHEDDAR LAMINADO Y EMPACADO (1000g)</v>
          </cell>
          <cell r="C248" t="str">
            <v>KILO</v>
          </cell>
          <cell r="D248" t="str">
            <v>GRAMO</v>
          </cell>
          <cell r="E248">
            <v>9065.4797699999999</v>
          </cell>
          <cell r="F248">
            <v>9.0654797699999996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96374</v>
          </cell>
          <cell r="B249" t="str">
            <v>QUESO GOUDA BLANCO LAMINADO Y EMPACADO (1000g)</v>
          </cell>
          <cell r="C249" t="str">
            <v>KILO</v>
          </cell>
          <cell r="D249" t="str">
            <v>GRAMO</v>
          </cell>
          <cell r="E249">
            <v>6766.1310899999999</v>
          </cell>
          <cell r="F249">
            <v>6.76613109</v>
          </cell>
          <cell r="G249">
            <v>52.103924444444445</v>
          </cell>
          <cell r="H249">
            <v>5.2103924444444442E-2</v>
          </cell>
          <cell r="I249">
            <v>224</v>
          </cell>
          <cell r="J249">
            <v>0.224</v>
          </cell>
        </row>
        <row r="250">
          <cell r="A250" t="str">
            <v>96375</v>
          </cell>
          <cell r="B250" t="str">
            <v>QUESO MONTERREY JACK LAMINADO Y EMPACADO (1000g)</v>
          </cell>
          <cell r="C250" t="str">
            <v>KILO</v>
          </cell>
          <cell r="D250" t="str">
            <v>GRAMO</v>
          </cell>
          <cell r="E250">
            <v>6933.1377600000005</v>
          </cell>
          <cell r="F250">
            <v>6.9331377600000001</v>
          </cell>
          <cell r="G250">
            <v>52.223357777777778</v>
          </cell>
          <cell r="H250">
            <v>5.2223357777777778E-2</v>
          </cell>
          <cell r="I250">
            <v>224</v>
          </cell>
          <cell r="J250">
            <v>0.224</v>
          </cell>
        </row>
        <row r="251">
          <cell r="A251" t="str">
            <v>96376</v>
          </cell>
          <cell r="B251" t="str">
            <v>SALCHICHA AMERICANA HORNEADA (300g)</v>
          </cell>
          <cell r="C251" t="str">
            <v>UND</v>
          </cell>
          <cell r="D251" t="str">
            <v>UND</v>
          </cell>
          <cell r="E251">
            <v>263.25</v>
          </cell>
          <cell r="F251">
            <v>263.25</v>
          </cell>
          <cell r="G251">
            <v>0</v>
          </cell>
          <cell r="H251">
            <v>0</v>
          </cell>
          <cell r="I251">
            <v>16.8</v>
          </cell>
          <cell r="J251">
            <v>16.8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KILO</v>
          </cell>
          <cell r="D252" t="str">
            <v>GRAMO</v>
          </cell>
          <cell r="E252">
            <v>263.25</v>
          </cell>
          <cell r="F252">
            <v>0.26324999999999998</v>
          </cell>
          <cell r="G252">
            <v>0</v>
          </cell>
          <cell r="H252">
            <v>0</v>
          </cell>
          <cell r="I252">
            <v>16.8</v>
          </cell>
          <cell r="J252">
            <v>1.6800000000000002E-2</v>
          </cell>
        </row>
        <row r="253">
          <cell r="A253" t="str">
            <v>96377</v>
          </cell>
          <cell r="B253" t="str">
            <v>SALSA CEBOLLA PHILLY (500g)</v>
          </cell>
          <cell r="C253" t="str">
            <v>KILO</v>
          </cell>
          <cell r="D253" t="str">
            <v>GRAMO</v>
          </cell>
          <cell r="E253">
            <v>2593.4490490000003</v>
          </cell>
          <cell r="F253">
            <v>2.5934490490000002</v>
          </cell>
          <cell r="G253">
            <v>0</v>
          </cell>
          <cell r="H253">
            <v>0</v>
          </cell>
          <cell r="I253">
            <v>560</v>
          </cell>
          <cell r="J253">
            <v>0.56000000000000005</v>
          </cell>
        </row>
        <row r="254">
          <cell r="A254" t="str">
            <v>96378</v>
          </cell>
          <cell r="B254" t="str">
            <v>TOCINETA TOSTADA (150g)</v>
          </cell>
          <cell r="C254" t="str">
            <v>KILO</v>
          </cell>
          <cell r="D254" t="str">
            <v>GRAMO</v>
          </cell>
          <cell r="E254">
            <v>12643.866666666667</v>
          </cell>
          <cell r="F254">
            <v>12.643866666666666</v>
          </cell>
          <cell r="G254">
            <v>0</v>
          </cell>
          <cell r="H254">
            <v>0</v>
          </cell>
          <cell r="I254">
            <v>1120</v>
          </cell>
          <cell r="J254">
            <v>1.1200000000000001</v>
          </cell>
        </row>
        <row r="255">
          <cell r="A255" t="str">
            <v>96379</v>
          </cell>
          <cell r="B255" t="str">
            <v>TORTA DE CLARAS (110g)</v>
          </cell>
          <cell r="C255" t="str">
            <v>UND</v>
          </cell>
          <cell r="D255" t="str">
            <v>UND</v>
          </cell>
          <cell r="E255">
            <v>508.87973196778529</v>
          </cell>
          <cell r="F255">
            <v>508.87973196778529</v>
          </cell>
          <cell r="G255">
            <v>0</v>
          </cell>
          <cell r="H255">
            <v>0</v>
          </cell>
          <cell r="I255">
            <v>33.881879194630869</v>
          </cell>
          <cell r="J255">
            <v>33.881879194630869</v>
          </cell>
        </row>
        <row r="256">
          <cell r="A256" t="str">
            <v>96380</v>
          </cell>
          <cell r="B256" t="str">
            <v>TORTA DE HUEVO (75g)</v>
          </cell>
          <cell r="C256" t="str">
            <v>UND</v>
          </cell>
          <cell r="D256" t="str">
            <v>UND</v>
          </cell>
          <cell r="E256">
            <v>107.84754888389264</v>
          </cell>
          <cell r="F256">
            <v>107.84754888389264</v>
          </cell>
          <cell r="G256">
            <v>2.838254697986577E-2</v>
          </cell>
          <cell r="H256">
            <v>2.838254697986577E-2</v>
          </cell>
          <cell r="I256">
            <v>39.340939597315433</v>
          </cell>
          <cell r="J256">
            <v>39.340939597315433</v>
          </cell>
        </row>
        <row r="257">
          <cell r="A257" t="str">
            <v>96381</v>
          </cell>
          <cell r="B257" t="str">
            <v>TORTA HUEVOS Y VEGETALES (75g)</v>
          </cell>
          <cell r="C257" t="str">
            <v>UND</v>
          </cell>
          <cell r="D257" t="str">
            <v>UND</v>
          </cell>
          <cell r="E257">
            <v>113.89141737722596</v>
          </cell>
          <cell r="F257">
            <v>113.89141737722596</v>
          </cell>
          <cell r="G257">
            <v>2.838254697986577E-2</v>
          </cell>
          <cell r="H257">
            <v>2.838254697986577E-2</v>
          </cell>
          <cell r="I257">
            <v>37.100939597315438</v>
          </cell>
          <cell r="J257">
            <v>37.100939597315438</v>
          </cell>
        </row>
        <row r="258">
          <cell r="A258" t="str">
            <v>96388</v>
          </cell>
          <cell r="B258" t="str">
            <v>BASE DE GALLETA DE CHOCOLATE (1000g)</v>
          </cell>
          <cell r="C258" t="str">
            <v>KILO</v>
          </cell>
          <cell r="D258" t="str">
            <v>GRAMO</v>
          </cell>
          <cell r="E258">
            <v>1553.7802000000001</v>
          </cell>
          <cell r="F258">
            <v>1.5537802000000001</v>
          </cell>
          <cell r="G258">
            <v>0</v>
          </cell>
          <cell r="H258">
            <v>0</v>
          </cell>
          <cell r="I258">
            <v>220</v>
          </cell>
          <cell r="J258">
            <v>0.22</v>
          </cell>
        </row>
        <row r="259">
          <cell r="A259" t="str">
            <v>96392</v>
          </cell>
          <cell r="B259" t="str">
            <v>BASTONES QUESO TURRIALBA P/TIQUEÑOS</v>
          </cell>
          <cell r="C259" t="str">
            <v>TANDA</v>
          </cell>
          <cell r="D259" t="str">
            <v>GRAMO</v>
          </cell>
          <cell r="E259">
            <v>27372.389999999996</v>
          </cell>
          <cell r="F259">
            <v>3.1828360465116274</v>
          </cell>
          <cell r="G259">
            <v>10.140034999999999</v>
          </cell>
          <cell r="H259">
            <v>1.1790738372093022E-3</v>
          </cell>
          <cell r="I259">
            <v>770</v>
          </cell>
          <cell r="J259">
            <v>8.9534883720930228E-2</v>
          </cell>
        </row>
        <row r="260">
          <cell r="A260" t="str">
            <v>96393</v>
          </cell>
          <cell r="B260" t="str">
            <v>BATIDO P/PAN BLANCO (24650g)</v>
          </cell>
          <cell r="C260" t="str">
            <v>KILO</v>
          </cell>
          <cell r="D260" t="str">
            <v>GRAMO</v>
          </cell>
          <cell r="E260">
            <v>496.04960787018251</v>
          </cell>
          <cell r="F260">
            <v>0.49604960787018249</v>
          </cell>
          <cell r="G260">
            <v>1.8606731317814482</v>
          </cell>
          <cell r="H260">
            <v>1.8606731317814481E-3</v>
          </cell>
          <cell r="I260">
            <v>20.081135902636916</v>
          </cell>
          <cell r="J260">
            <v>2.0081135902636917E-2</v>
          </cell>
        </row>
        <row r="261">
          <cell r="A261" t="str">
            <v>96395</v>
          </cell>
          <cell r="B261" t="str">
            <v>PRALINE C/CHOCOLATE BLANCO (2600g)</v>
          </cell>
          <cell r="C261" t="str">
            <v>KILO</v>
          </cell>
          <cell r="D261" t="str">
            <v>GRAMO</v>
          </cell>
          <cell r="E261">
            <v>4516.5968076923073</v>
          </cell>
          <cell r="F261">
            <v>4.5165968076923075</v>
          </cell>
          <cell r="G261">
            <v>8.6926923076923082</v>
          </cell>
          <cell r="H261">
            <v>8.6926923076923075E-3</v>
          </cell>
          <cell r="I261">
            <v>430.76923076923077</v>
          </cell>
          <cell r="J261">
            <v>0.43076923076923079</v>
          </cell>
        </row>
        <row r="262">
          <cell r="A262" t="str">
            <v>96396</v>
          </cell>
          <cell r="B262" t="str">
            <v>CREMA CHANTILLY BEIDGE (10400g)</v>
          </cell>
          <cell r="C262" t="str">
            <v>KILO</v>
          </cell>
          <cell r="D262" t="str">
            <v>GRAMO</v>
          </cell>
          <cell r="E262">
            <v>1565.0805096153845</v>
          </cell>
          <cell r="F262">
            <v>1.5650805096153844</v>
          </cell>
          <cell r="G262">
            <v>9.6249999999999988E-2</v>
          </cell>
          <cell r="H262">
            <v>9.6249999999999995E-5</v>
          </cell>
          <cell r="I262">
            <v>26.923076923076923</v>
          </cell>
          <cell r="J262">
            <v>2.6923076923076925E-2</v>
          </cell>
        </row>
        <row r="263">
          <cell r="A263" t="str">
            <v>96398</v>
          </cell>
          <cell r="B263" t="str">
            <v>ALMIBAR CON LICOR DE CAFE (3000g)</v>
          </cell>
          <cell r="C263" t="str">
            <v>TANDA</v>
          </cell>
          <cell r="D263" t="str">
            <v>MIlilitro</v>
          </cell>
          <cell r="E263">
            <v>9455.557774311821</v>
          </cell>
          <cell r="F263">
            <v>3.1518525914372737</v>
          </cell>
          <cell r="G263">
            <v>19.751088578274761</v>
          </cell>
          <cell r="H263">
            <v>6.5836961927582538E-3</v>
          </cell>
          <cell r="I263">
            <v>103.76198083067092</v>
          </cell>
          <cell r="J263">
            <v>3.4587326943556977E-2</v>
          </cell>
        </row>
        <row r="264">
          <cell r="A264" t="str">
            <v>96399</v>
          </cell>
          <cell r="B264" t="str">
            <v>BATIDO P/TORTA KALUA (7684g)</v>
          </cell>
          <cell r="C264" t="str">
            <v>KILO</v>
          </cell>
          <cell r="D264" t="str">
            <v>GRAMO</v>
          </cell>
          <cell r="E264">
            <v>2598.1708149431574</v>
          </cell>
          <cell r="F264">
            <v>2.5981708149431575</v>
          </cell>
          <cell r="G264">
            <v>7.0082209161000613</v>
          </cell>
          <cell r="H264">
            <v>7.0082209161000612E-3</v>
          </cell>
          <cell r="I264">
            <v>111.33659065921081</v>
          </cell>
          <cell r="J264">
            <v>0.11133659065921081</v>
          </cell>
        </row>
        <row r="265">
          <cell r="A265" t="str">
            <v>96409</v>
          </cell>
          <cell r="B265" t="str">
            <v>BASE PREMEZCLA CHOCOLATE PILLSBURY (6012g)</v>
          </cell>
          <cell r="C265" t="str">
            <v>TANDA</v>
          </cell>
          <cell r="D265" t="str">
            <v>GRAMO</v>
          </cell>
          <cell r="E265">
            <v>10026.521425312169</v>
          </cell>
          <cell r="F265">
            <v>1.667751401415863</v>
          </cell>
          <cell r="G265">
            <v>32.369083809523815</v>
          </cell>
          <cell r="H265">
            <v>5.3840791433007011E-3</v>
          </cell>
          <cell r="I265">
            <v>110</v>
          </cell>
          <cell r="J265">
            <v>1.8296739853626082E-2</v>
          </cell>
        </row>
        <row r="266">
          <cell r="A266" t="str">
            <v>96451</v>
          </cell>
          <cell r="B266" t="str">
            <v>MEZCLA TRES LECHES C/AGUA (2000g)</v>
          </cell>
          <cell r="C266" t="str">
            <v>Kilo</v>
          </cell>
          <cell r="D266" t="str">
            <v>Gramo</v>
          </cell>
          <cell r="E266">
            <v>866.54019873768948</v>
          </cell>
          <cell r="F266">
            <v>0.8665401987376895</v>
          </cell>
          <cell r="G266">
            <v>0</v>
          </cell>
          <cell r="H266">
            <v>0</v>
          </cell>
          <cell r="I266">
            <v>67.934680321062828</v>
          </cell>
          <cell r="J266">
            <v>6.7934680321062826E-2</v>
          </cell>
        </row>
        <row r="267">
          <cell r="A267" t="str">
            <v>96464</v>
          </cell>
          <cell r="B267" t="str">
            <v>EMPAQUE SALSA BLANCA SPOON  (5000g)</v>
          </cell>
          <cell r="C267" t="str">
            <v>KILO</v>
          </cell>
          <cell r="D267" t="str">
            <v>GRAMO</v>
          </cell>
          <cell r="E267">
            <v>1571.1600631712397</v>
          </cell>
          <cell r="F267">
            <v>1.5711600631712397</v>
          </cell>
          <cell r="G267">
            <v>7.751116539682541</v>
          </cell>
          <cell r="H267">
            <v>7.7511165396825406E-3</v>
          </cell>
          <cell r="I267">
            <v>37.179910350448246</v>
          </cell>
          <cell r="J267">
            <v>3.7179910350448243E-2</v>
          </cell>
        </row>
        <row r="268">
          <cell r="A268" t="str">
            <v>96465</v>
          </cell>
          <cell r="B268" t="str">
            <v>POLLO RECORTE EMPACADO (5000g)</v>
          </cell>
          <cell r="C268" t="str">
            <v>TANDA</v>
          </cell>
          <cell r="D268" t="str">
            <v>GRAMO</v>
          </cell>
          <cell r="E268">
            <v>18641.096729957804</v>
          </cell>
          <cell r="F268">
            <v>3.7282193459915609</v>
          </cell>
          <cell r="G268">
            <v>38.052083809523815</v>
          </cell>
          <cell r="H268">
            <v>7.6104167619047633E-3</v>
          </cell>
          <cell r="I268">
            <v>398.05379746835445</v>
          </cell>
          <cell r="J268">
            <v>7.9610759493670885E-2</v>
          </cell>
        </row>
        <row r="269">
          <cell r="A269" t="str">
            <v>96466</v>
          </cell>
          <cell r="B269" t="str">
            <v>POLLO DESMENUZADO MARMITA EMPACADO (5000g)</v>
          </cell>
          <cell r="C269" t="str">
            <v>BOLSA</v>
          </cell>
          <cell r="D269" t="str">
            <v>GRAMO</v>
          </cell>
          <cell r="E269">
            <v>21923.708020833335</v>
          </cell>
          <cell r="F269">
            <v>4.3847416041666669</v>
          </cell>
          <cell r="G269">
            <v>38.810127142857141</v>
          </cell>
          <cell r="H269">
            <v>7.762025428571428E-3</v>
          </cell>
          <cell r="I269">
            <v>828.4375</v>
          </cell>
          <cell r="J269">
            <v>0.16568749999999999</v>
          </cell>
        </row>
        <row r="270">
          <cell r="A270" t="str">
            <v>96467</v>
          </cell>
          <cell r="B270" t="str">
            <v>ARROZ PRECOCIDO P/GALLO PINTO EMPACADO (5000g)</v>
          </cell>
          <cell r="C270" t="str">
            <v>TANDA</v>
          </cell>
          <cell r="D270" t="str">
            <v>GRAMO</v>
          </cell>
          <cell r="E270">
            <v>3631.635473608098</v>
          </cell>
          <cell r="F270">
            <v>0.7263270947216196</v>
          </cell>
          <cell r="G270">
            <v>80.961763325069739</v>
          </cell>
          <cell r="H270">
            <v>1.6192352665013947E-2</v>
          </cell>
          <cell r="I270">
            <v>399.93763557483732</v>
          </cell>
          <cell r="J270">
            <v>7.9987527114967469E-2</v>
          </cell>
        </row>
        <row r="271">
          <cell r="A271" t="str">
            <v>96468</v>
          </cell>
          <cell r="B271" t="str">
            <v>FRIJOLES P/GALLO PINTO EMPACADOS (4000g)</v>
          </cell>
          <cell r="C271" t="str">
            <v>TANDA</v>
          </cell>
          <cell r="D271" t="str">
            <v>GRAMO</v>
          </cell>
          <cell r="E271">
            <v>2763.0171543895058</v>
          </cell>
          <cell r="F271">
            <v>0.69075428859737642</v>
          </cell>
          <cell r="G271">
            <v>31.588019937212692</v>
          </cell>
          <cell r="H271">
            <v>7.8970049843031728E-3</v>
          </cell>
          <cell r="I271">
            <v>195.51715438950555</v>
          </cell>
          <cell r="J271">
            <v>4.8879288597376384E-2</v>
          </cell>
        </row>
        <row r="272">
          <cell r="A272" t="str">
            <v>96475</v>
          </cell>
          <cell r="B272" t="str">
            <v>COCCION CREMA TOMATE (18500g)</v>
          </cell>
          <cell r="C272" t="str">
            <v>KILO</v>
          </cell>
          <cell r="D272" t="str">
            <v>GRAMO</v>
          </cell>
          <cell r="E272">
            <v>1122.8780081600833</v>
          </cell>
          <cell r="F272">
            <v>1.1228780081600833</v>
          </cell>
          <cell r="G272">
            <v>0</v>
          </cell>
          <cell r="H272">
            <v>0</v>
          </cell>
          <cell r="I272">
            <v>29.198841698841701</v>
          </cell>
          <cell r="J272">
            <v>2.9198841698841699E-2</v>
          </cell>
        </row>
        <row r="273">
          <cell r="A273" t="str">
            <v>96476</v>
          </cell>
          <cell r="B273" t="str">
            <v>BASE PREMEZCLA P/EMPANADA STB (9456g)</v>
          </cell>
          <cell r="C273" t="str">
            <v>TANDA</v>
          </cell>
          <cell r="D273" t="str">
            <v>GRAMO</v>
          </cell>
          <cell r="E273">
            <v>3544.9617000000003</v>
          </cell>
          <cell r="F273">
            <v>0.37489019670050766</v>
          </cell>
          <cell r="G273">
            <v>35.065582698412705</v>
          </cell>
          <cell r="H273">
            <v>3.7082892024548121E-3</v>
          </cell>
          <cell r="I273">
            <v>168</v>
          </cell>
          <cell r="J273">
            <v>1.7766497461928935E-2</v>
          </cell>
        </row>
        <row r="274">
          <cell r="A274" t="str">
            <v>96477</v>
          </cell>
          <cell r="B274" t="str">
            <v>PASTA P/EMPANADA STB (16000g)</v>
          </cell>
          <cell r="C274" t="str">
            <v>KILO</v>
          </cell>
          <cell r="D274" t="str">
            <v>GRAMO</v>
          </cell>
          <cell r="E274">
            <v>796.91226375000008</v>
          </cell>
          <cell r="F274">
            <v>0.79691226375000013</v>
          </cell>
          <cell r="G274">
            <v>2.191598918650794</v>
          </cell>
          <cell r="H274">
            <v>2.1915989186507942E-3</v>
          </cell>
          <cell r="I274">
            <v>44.875</v>
          </cell>
          <cell r="J274">
            <v>4.4874999999999998E-2</v>
          </cell>
        </row>
        <row r="275">
          <cell r="A275" t="str">
            <v>96478</v>
          </cell>
          <cell r="B275" t="str">
            <v>RECTANGULOS DE PASTA P/EMPANADA STB (UND)</v>
          </cell>
          <cell r="C275" t="str">
            <v>UND</v>
          </cell>
          <cell r="D275" t="str">
            <v>UND</v>
          </cell>
          <cell r="E275">
            <v>52.184340622010872</v>
          </cell>
          <cell r="F275">
            <v>52.184340622010872</v>
          </cell>
          <cell r="G275">
            <v>0.14245392971230164</v>
          </cell>
          <cell r="H275">
            <v>0.14245392971230164</v>
          </cell>
          <cell r="I275">
            <v>6.50383152173913</v>
          </cell>
          <cell r="J275">
            <v>6.50383152173913</v>
          </cell>
        </row>
        <row r="276">
          <cell r="A276" t="str">
            <v>96479</v>
          </cell>
          <cell r="B276" t="str">
            <v>RUEDA P/EMPANADA STB (UND)</v>
          </cell>
          <cell r="C276" t="str">
            <v>UND</v>
          </cell>
          <cell r="D276" t="str">
            <v>UND</v>
          </cell>
          <cell r="E276">
            <v>48.379197015000003</v>
          </cell>
          <cell r="F276">
            <v>48.379197015000003</v>
          </cell>
          <cell r="G276">
            <v>0.13066080357142856</v>
          </cell>
          <cell r="H276">
            <v>0.13066080357142856</v>
          </cell>
          <cell r="I276">
            <v>6.0525000000000002</v>
          </cell>
          <cell r="J276">
            <v>6.0525000000000002</v>
          </cell>
        </row>
        <row r="277">
          <cell r="A277" t="str">
            <v>96480</v>
          </cell>
          <cell r="B277" t="str">
            <v>RELLENO POLLO Y HONGOS STB EMPACADO (4000g)</v>
          </cell>
          <cell r="C277" t="str">
            <v>KILO</v>
          </cell>
          <cell r="D277" t="str">
            <v>GRAMO</v>
          </cell>
          <cell r="E277">
            <v>3397.7394979447758</v>
          </cell>
          <cell r="F277">
            <v>3.3977394979447757</v>
          </cell>
          <cell r="G277">
            <v>6.8891455555555563</v>
          </cell>
          <cell r="H277">
            <v>6.8891455555555566E-3</v>
          </cell>
          <cell r="I277">
            <v>241.83476259980947</v>
          </cell>
          <cell r="J277">
            <v>0.24183476259980946</v>
          </cell>
        </row>
        <row r="278">
          <cell r="A278" t="str">
            <v>96481</v>
          </cell>
          <cell r="B278" t="str">
            <v>RELLENO CAPRESSE STB EMPACADO (4000g)</v>
          </cell>
          <cell r="C278" t="str">
            <v>KILO</v>
          </cell>
          <cell r="D278" t="str">
            <v>GRAMO</v>
          </cell>
          <cell r="E278">
            <v>2734.9109968887979</v>
          </cell>
          <cell r="F278">
            <v>2.7349109968887979</v>
          </cell>
          <cell r="G278">
            <v>0.63700000000000001</v>
          </cell>
          <cell r="H278">
            <v>6.3699999999999998E-4</v>
          </cell>
          <cell r="I278">
            <v>165.82375204924509</v>
          </cell>
          <cell r="J278">
            <v>0.1658237520492451</v>
          </cell>
        </row>
        <row r="279">
          <cell r="A279" t="str">
            <v>96482</v>
          </cell>
          <cell r="B279" t="str">
            <v>RELLENO JAMON Y QUESO STB (4000g)</v>
          </cell>
          <cell r="C279" t="str">
            <v>KILO</v>
          </cell>
          <cell r="D279" t="str">
            <v>GRAMO</v>
          </cell>
          <cell r="E279">
            <v>2451.1142236052137</v>
          </cell>
          <cell r="F279">
            <v>2.4511142236052139</v>
          </cell>
          <cell r="G279">
            <v>6.7954622222222225</v>
          </cell>
          <cell r="H279">
            <v>6.7954622222222228E-3</v>
          </cell>
          <cell r="I279">
            <v>474.39387384356604</v>
          </cell>
          <cell r="J279">
            <v>0.47439387384356602</v>
          </cell>
        </row>
        <row r="280">
          <cell r="A280" t="str">
            <v>96483</v>
          </cell>
          <cell r="B280" t="str">
            <v>EMPANADA CAPRESSE STB (UND)</v>
          </cell>
          <cell r="C280" t="str">
            <v>UND</v>
          </cell>
          <cell r="D280" t="str">
            <v>UND</v>
          </cell>
          <cell r="E280">
            <v>185.3247468594399</v>
          </cell>
          <cell r="F280">
            <v>185.3247468594399</v>
          </cell>
          <cell r="G280">
            <v>9.4479533660714292</v>
          </cell>
          <cell r="H280">
            <v>9.4479533660714292</v>
          </cell>
          <cell r="I280">
            <v>34.94618760246226</v>
          </cell>
          <cell r="J280">
            <v>34.94618760246226</v>
          </cell>
        </row>
        <row r="281">
          <cell r="A281" t="str">
            <v>96484</v>
          </cell>
          <cell r="B281" t="str">
            <v>EMPANADA JAMON Y QUESO (UND)</v>
          </cell>
          <cell r="C281" t="str">
            <v>UND</v>
          </cell>
          <cell r="D281" t="str">
            <v>UND</v>
          </cell>
          <cell r="E281">
            <v>174.96650794651072</v>
          </cell>
          <cell r="F281">
            <v>174.96650794651072</v>
          </cell>
          <cell r="G281">
            <v>8.8327253432539674</v>
          </cell>
          <cell r="H281">
            <v>8.8327253432539674</v>
          </cell>
          <cell r="I281">
            <v>51.219693692178296</v>
          </cell>
          <cell r="J281">
            <v>51.219693692178296</v>
          </cell>
        </row>
        <row r="282">
          <cell r="A282" t="str">
            <v>96485</v>
          </cell>
          <cell r="B282" t="str">
            <v>EMPANADA POLLO Y HONGOS STB (UND)</v>
          </cell>
          <cell r="C282" t="str">
            <v>UND</v>
          </cell>
          <cell r="D282" t="str">
            <v>UND</v>
          </cell>
          <cell r="E282">
            <v>236.16168907253365</v>
          </cell>
          <cell r="F282">
            <v>236.16168907253365</v>
          </cell>
          <cell r="G282">
            <v>0.4704339146825397</v>
          </cell>
          <cell r="H282">
            <v>0.4704339146825397</v>
          </cell>
          <cell r="I282">
            <v>45.275087651085606</v>
          </cell>
          <cell r="J282">
            <v>45.275087651085606</v>
          </cell>
        </row>
        <row r="283">
          <cell r="A283" t="str">
            <v>96486</v>
          </cell>
          <cell r="B283" t="str">
            <v>RELLENO CARNE CON ACEITUNAS EMPACADO (2000g)</v>
          </cell>
          <cell r="C283" t="str">
            <v>KILO</v>
          </cell>
          <cell r="D283" t="str">
            <v>GRAMO</v>
          </cell>
          <cell r="E283">
            <v>3198.589746943192</v>
          </cell>
          <cell r="F283">
            <v>3.1985897469431919</v>
          </cell>
          <cell r="G283">
            <v>28.689440516707077</v>
          </cell>
          <cell r="H283">
            <v>2.8689440516707077E-2</v>
          </cell>
          <cell r="I283">
            <v>402.68474645994223</v>
          </cell>
          <cell r="J283">
            <v>0.40268474645994223</v>
          </cell>
        </row>
        <row r="284">
          <cell r="A284" t="str">
            <v>96487</v>
          </cell>
          <cell r="B284" t="str">
            <v>EMPANADA CARNE C/ACEITUNAS STB (UND)</v>
          </cell>
          <cell r="C284" t="str">
            <v>UND</v>
          </cell>
          <cell r="D284" t="str">
            <v>UND</v>
          </cell>
          <cell r="E284">
            <v>217.7416789246596</v>
          </cell>
          <cell r="F284">
            <v>217.7416789246596</v>
          </cell>
          <cell r="G284">
            <v>9.7033764771825393</v>
          </cell>
          <cell r="H284">
            <v>9.7033764771825393</v>
          </cell>
          <cell r="I284">
            <v>53.724237322997112</v>
          </cell>
          <cell r="J284">
            <v>53.724237322997112</v>
          </cell>
        </row>
        <row r="285">
          <cell r="A285" t="str">
            <v>904000013</v>
          </cell>
          <cell r="B285" t="str">
            <v>EMPAQUE MAYONESA (3000g)</v>
          </cell>
          <cell r="C285" t="str">
            <v>TANDA</v>
          </cell>
          <cell r="D285" t="str">
            <v>GRAMO</v>
          </cell>
          <cell r="E285">
            <v>38618.906589806043</v>
          </cell>
          <cell r="F285">
            <v>1.0325910852889317</v>
          </cell>
          <cell r="G285">
            <v>6.4795834880450069</v>
          </cell>
          <cell r="H285">
            <v>1.7325089540227293E-4</v>
          </cell>
          <cell r="I285">
            <v>2242.5316455696202</v>
          </cell>
          <cell r="J285">
            <v>5.996073918635348E-2</v>
          </cell>
        </row>
        <row r="286">
          <cell r="A286" t="str">
            <v>96488</v>
          </cell>
          <cell r="B286" t="str">
            <v>ROSQUETE CUADRADO TRES LECHES (330g)</v>
          </cell>
          <cell r="C286" t="str">
            <v>UND</v>
          </cell>
          <cell r="D286" t="str">
            <v>UND</v>
          </cell>
          <cell r="E286">
            <v>329.13105196412442</v>
          </cell>
          <cell r="F286">
            <v>329.13105196412442</v>
          </cell>
          <cell r="G286">
            <v>1.2382540299524487</v>
          </cell>
          <cell r="H286">
            <v>1.2382540299524487</v>
          </cell>
          <cell r="I286">
            <v>28.483709579011595</v>
          </cell>
          <cell r="J286">
            <v>28.483709579011595</v>
          </cell>
        </row>
        <row r="287">
          <cell r="A287" t="str">
            <v>95356</v>
          </cell>
          <cell r="B287" t="str">
            <v>ROSQUETE TRES LECHES (1000g)</v>
          </cell>
          <cell r="C287" t="str">
            <v>UND</v>
          </cell>
          <cell r="D287" t="str">
            <v>UND</v>
          </cell>
          <cell r="E287">
            <v>733.13104330022384</v>
          </cell>
          <cell r="F287">
            <v>733.13104330022384</v>
          </cell>
          <cell r="G287">
            <v>11.238521567375347</v>
          </cell>
          <cell r="H287">
            <v>11.238521567375347</v>
          </cell>
          <cell r="I287">
            <v>48.803930968360504</v>
          </cell>
          <cell r="J287">
            <v>48.803930968360504</v>
          </cell>
        </row>
        <row r="288">
          <cell r="A288" t="str">
            <v>96389</v>
          </cell>
          <cell r="B288" t="str">
            <v>MOUSSE P/POSTRE COOKIES AND CREAM (1800g)</v>
          </cell>
          <cell r="C288" t="str">
            <v>KILO</v>
          </cell>
          <cell r="D288" t="str">
            <v>GRAMO</v>
          </cell>
          <cell r="E288">
            <v>3412.0520363595087</v>
          </cell>
          <cell r="F288">
            <v>3.4120520363595088</v>
          </cell>
          <cell r="G288">
            <v>9.090277777777777E-3</v>
          </cell>
          <cell r="H288">
            <v>9.0902777777777772E-6</v>
          </cell>
          <cell r="I288">
            <v>157.77243589743591</v>
          </cell>
          <cell r="J288">
            <v>0.15777243589743592</v>
          </cell>
        </row>
        <row r="289">
          <cell r="A289" t="str">
            <v>96390</v>
          </cell>
          <cell r="B289" t="str">
            <v>BASE CHOCOLATE Y ALMENDRAS P/MINI POSTRE (1000g)</v>
          </cell>
          <cell r="C289" t="str">
            <v>KILO</v>
          </cell>
          <cell r="D289" t="str">
            <v>GRAMO</v>
          </cell>
          <cell r="E289">
            <v>4564.1309955584647</v>
          </cell>
          <cell r="F289">
            <v>4.5641309955584646</v>
          </cell>
          <cell r="G289">
            <v>0.4859724379484196</v>
          </cell>
          <cell r="H289">
            <v>4.859724379484196E-4</v>
          </cell>
          <cell r="I289">
            <v>195.95549738219896</v>
          </cell>
          <cell r="J289">
            <v>0.19595549738219895</v>
          </cell>
        </row>
        <row r="290">
          <cell r="A290" t="str">
            <v>96391</v>
          </cell>
          <cell r="B290" t="str">
            <v>MOUSSE CHOCOLATE DARK C/COBERTURA (6000g)</v>
          </cell>
          <cell r="C290" t="str">
            <v>KILO</v>
          </cell>
          <cell r="D290" t="str">
            <v>GRAMO</v>
          </cell>
          <cell r="E290">
            <v>3291.487916666666</v>
          </cell>
          <cell r="F290">
            <v>3.2914879166666662</v>
          </cell>
          <cell r="G290">
            <v>6.3433650000000004</v>
          </cell>
          <cell r="H290">
            <v>6.3433650000000001E-3</v>
          </cell>
          <cell r="I290">
            <v>140</v>
          </cell>
          <cell r="J290">
            <v>0.14000000000000001</v>
          </cell>
        </row>
        <row r="291">
          <cell r="A291" t="str">
            <v>95584</v>
          </cell>
          <cell r="B291" t="str">
            <v>RELLENO QUESO P/CHESSE CAKE HORNEADO (12800g)</v>
          </cell>
          <cell r="C291" t="str">
            <v>KILO</v>
          </cell>
          <cell r="D291" t="str">
            <v>GRAMO</v>
          </cell>
          <cell r="E291">
            <v>2306.3680384765626</v>
          </cell>
          <cell r="F291">
            <v>2.3063680384765624</v>
          </cell>
          <cell r="G291">
            <v>0</v>
          </cell>
          <cell r="H291">
            <v>0</v>
          </cell>
          <cell r="I291">
            <v>25.78125</v>
          </cell>
          <cell r="J291">
            <v>2.5781249999999999E-2</v>
          </cell>
        </row>
        <row r="292">
          <cell r="A292" t="str">
            <v>95702</v>
          </cell>
          <cell r="B292" t="str">
            <v>RELLENO QUESO BASE P/CHESSE CAKE SPOON (7.8 Kg)</v>
          </cell>
          <cell r="C292" t="str">
            <v>KILO</v>
          </cell>
          <cell r="D292" t="str">
            <v>GRAMO</v>
          </cell>
          <cell r="E292">
            <v>1798.4060811282054</v>
          </cell>
          <cell r="F292">
            <v>1.7984060811282054</v>
          </cell>
          <cell r="G292">
            <v>0</v>
          </cell>
          <cell r="H292">
            <v>0</v>
          </cell>
          <cell r="I292">
            <v>105.76923076923077</v>
          </cell>
          <cell r="J292">
            <v>0.10576923076923077</v>
          </cell>
        </row>
        <row r="293">
          <cell r="A293" t="str">
            <v>95833</v>
          </cell>
          <cell r="B293" t="str">
            <v>ROSQUETE MELOCOTON PURATOS (300g)</v>
          </cell>
          <cell r="C293" t="str">
            <v>UND</v>
          </cell>
          <cell r="D293" t="str">
            <v>UND</v>
          </cell>
          <cell r="E293">
            <v>354.48884494634626</v>
          </cell>
          <cell r="F293">
            <v>354.48884494634626</v>
          </cell>
          <cell r="G293">
            <v>9.2045736593345016</v>
          </cell>
          <cell r="H293">
            <v>9.2045736593345016</v>
          </cell>
          <cell r="I293">
            <v>18.692332962886429</v>
          </cell>
          <cell r="J293">
            <v>18.692332962886429</v>
          </cell>
        </row>
        <row r="294">
          <cell r="A294" t="str">
            <v>95857</v>
          </cell>
          <cell r="B294" t="str">
            <v>ROSQUETE CHOCOLATE SPOON RED. (320g)</v>
          </cell>
          <cell r="C294" t="str">
            <v>UND</v>
          </cell>
          <cell r="D294" t="str">
            <v>UND</v>
          </cell>
          <cell r="E294">
            <v>395.76817663200347</v>
          </cell>
          <cell r="F294">
            <v>395.76817663200347</v>
          </cell>
          <cell r="G294">
            <v>5.8299605890354398</v>
          </cell>
          <cell r="H294">
            <v>5.8299605890354398</v>
          </cell>
          <cell r="I294">
            <v>16.8969495634217</v>
          </cell>
          <cell r="J294">
            <v>16.8969495634217</v>
          </cell>
        </row>
        <row r="295">
          <cell r="A295" t="str">
            <v>96273</v>
          </cell>
          <cell r="B295" t="str">
            <v>CORTE GALLETA PEQ P/TORTA CHILENA (UND)</v>
          </cell>
          <cell r="C295" t="str">
            <v>UND</v>
          </cell>
          <cell r="D295" t="str">
            <v>UND</v>
          </cell>
          <cell r="E295">
            <v>91.259726746921174</v>
          </cell>
          <cell r="F295">
            <v>91.259726746921174</v>
          </cell>
          <cell r="G295">
            <v>0.71619935522714828</v>
          </cell>
          <cell r="H295">
            <v>0.71619935522714828</v>
          </cell>
          <cell r="I295">
            <v>21.555665024630542</v>
          </cell>
          <cell r="J295">
            <v>21.555665024630542</v>
          </cell>
        </row>
        <row r="296">
          <cell r="A296" t="str">
            <v>906000005</v>
          </cell>
          <cell r="B296" t="str">
            <v>EMPANADA DE POLLO PEQUEÑA  (UND)</v>
          </cell>
          <cell r="C296" t="str">
            <v>UND</v>
          </cell>
          <cell r="D296" t="str">
            <v>UND</v>
          </cell>
          <cell r="E296">
            <v>57.013804147782189</v>
          </cell>
          <cell r="F296">
            <v>57.013804147782189</v>
          </cell>
          <cell r="G296">
            <v>0.71571045852291038</v>
          </cell>
          <cell r="H296">
            <v>0.71571045852291038</v>
          </cell>
          <cell r="I296">
            <v>26.79662026328894</v>
          </cell>
          <cell r="J296">
            <v>26.79662026328894</v>
          </cell>
        </row>
        <row r="297">
          <cell r="A297" t="str">
            <v>96259</v>
          </cell>
          <cell r="B297" t="str">
            <v>EMPAQUE RELLENO QUESOS P/EMPANADA (3000g)</v>
          </cell>
          <cell r="C297" t="str">
            <v>TANDA</v>
          </cell>
          <cell r="D297" t="str">
            <v>GRAMO</v>
          </cell>
          <cell r="E297">
            <v>13997.971705098042</v>
          </cell>
          <cell r="F297">
            <v>4.6659905683660137</v>
          </cell>
          <cell r="G297">
            <v>29.327455069693023</v>
          </cell>
          <cell r="H297">
            <v>9.7758183565643409E-3</v>
          </cell>
          <cell r="I297">
            <v>386.37813211845105</v>
          </cell>
          <cell r="J297">
            <v>0.12879271070615034</v>
          </cell>
        </row>
        <row r="298">
          <cell r="A298" t="str">
            <v>96262</v>
          </cell>
          <cell r="B298" t="str">
            <v>EMPANADITA TRES QUESOS (UND)</v>
          </cell>
          <cell r="C298" t="str">
            <v>UND</v>
          </cell>
          <cell r="D298" t="str">
            <v>UND</v>
          </cell>
          <cell r="E298">
            <v>108.19885408972851</v>
          </cell>
          <cell r="F298">
            <v>108.19885408972851</v>
          </cell>
          <cell r="G298">
            <v>3.5195198379508806E-3</v>
          </cell>
          <cell r="H298">
            <v>3.5195198379508806E-3</v>
          </cell>
          <cell r="I298">
            <v>30.066935115202529</v>
          </cell>
          <cell r="J298">
            <v>30.066935115202529</v>
          </cell>
        </row>
        <row r="299">
          <cell r="A299" t="str">
            <v>95152</v>
          </cell>
          <cell r="B299" t="str">
            <v>EMPAQUE RELLENO JAMON P/ ARROLLADO (2000g)</v>
          </cell>
          <cell r="C299" t="str">
            <v>KILO</v>
          </cell>
          <cell r="D299" t="str">
            <v>GRAMO</v>
          </cell>
          <cell r="E299">
            <v>3053.0307908769746</v>
          </cell>
          <cell r="F299">
            <v>3.0530307908769747</v>
          </cell>
          <cell r="G299">
            <v>6.1319432886334617</v>
          </cell>
          <cell r="H299">
            <v>6.1319432886334617E-3</v>
          </cell>
          <cell r="I299">
            <v>74.597701149425291</v>
          </cell>
          <cell r="J299">
            <v>7.4597701149425294E-2</v>
          </cell>
        </row>
        <row r="300">
          <cell r="A300" t="str">
            <v>95230</v>
          </cell>
          <cell r="B300" t="str">
            <v>ARROLLADO DE JAMON (UND)</v>
          </cell>
          <cell r="C300" t="str">
            <v>UND</v>
          </cell>
          <cell r="D300" t="str">
            <v>UND</v>
          </cell>
          <cell r="E300">
            <v>122.67460640985297</v>
          </cell>
          <cell r="F300">
            <v>122.67460640985297</v>
          </cell>
          <cell r="G300">
            <v>1.2535177289265251</v>
          </cell>
          <cell r="H300">
            <v>1.2535177289265251</v>
          </cell>
          <cell r="I300">
            <v>33.979038314581437</v>
          </cell>
          <cell r="J300">
            <v>33.979038314581437</v>
          </cell>
        </row>
        <row r="301">
          <cell r="A301" t="str">
            <v>95475</v>
          </cell>
          <cell r="B301" t="str">
            <v>PAÑUELO ESPINACA C/RICOTTA (UND)</v>
          </cell>
          <cell r="C301" t="str">
            <v>UND</v>
          </cell>
          <cell r="D301" t="str">
            <v>UND</v>
          </cell>
          <cell r="E301">
            <v>137.21388281956311</v>
          </cell>
          <cell r="F301">
            <v>137.21388281956311</v>
          </cell>
          <cell r="G301">
            <v>0.72944441322726261</v>
          </cell>
          <cell r="H301">
            <v>0.72944441322726261</v>
          </cell>
          <cell r="I301">
            <v>36.400315884852304</v>
          </cell>
          <cell r="J301">
            <v>36.400315884852304</v>
          </cell>
        </row>
        <row r="302">
          <cell r="A302" t="str">
            <v>95446</v>
          </cell>
          <cell r="B302" t="str">
            <v>CANASTITA DULCE S/RELLENO (UND)</v>
          </cell>
          <cell r="C302" t="str">
            <v>UND</v>
          </cell>
          <cell r="D302" t="str">
            <v>UND</v>
          </cell>
          <cell r="E302">
            <v>24.2312115887846</v>
          </cell>
          <cell r="F302">
            <v>24.2312115887846</v>
          </cell>
          <cell r="G302">
            <v>0.13405430483116884</v>
          </cell>
          <cell r="H302">
            <v>0.13405430483116884</v>
          </cell>
          <cell r="I302">
            <v>13.337333333333333</v>
          </cell>
          <cell r="J302">
            <v>13.337333333333333</v>
          </cell>
        </row>
        <row r="303">
          <cell r="A303" t="str">
            <v>95253</v>
          </cell>
          <cell r="B303" t="str">
            <v>PLANCHA BROWNIE (1950g)</v>
          </cell>
          <cell r="C303" t="str">
            <v>UND</v>
          </cell>
          <cell r="D303" t="str">
            <v>UND</v>
          </cell>
          <cell r="E303">
            <v>3077.5122504999999</v>
          </cell>
          <cell r="F303">
            <v>3077.5122504999999</v>
          </cell>
          <cell r="G303">
            <v>33.108337615277776</v>
          </cell>
          <cell r="H303">
            <v>33.108337615277776</v>
          </cell>
          <cell r="I303">
            <v>184.57847222222222</v>
          </cell>
          <cell r="J303">
            <v>184.57847222222222</v>
          </cell>
        </row>
        <row r="304">
          <cell r="A304" t="str">
            <v>95519</v>
          </cell>
          <cell r="B304" t="str">
            <v>ROSQUETE VAINILLA BUCCA (1200g)</v>
          </cell>
          <cell r="C304" t="str">
            <v>UND</v>
          </cell>
          <cell r="D304" t="str">
            <v>UND</v>
          </cell>
          <cell r="E304">
            <v>1223.9160074044096</v>
          </cell>
          <cell r="F304">
            <v>1223.9160074044096</v>
          </cell>
          <cell r="G304">
            <v>24.193430851167854</v>
          </cell>
          <cell r="H304">
            <v>24.193430851167854</v>
          </cell>
          <cell r="I304">
            <v>40.990017742806444</v>
          </cell>
          <cell r="J304">
            <v>40.990017742806444</v>
          </cell>
        </row>
        <row r="305">
          <cell r="A305" t="str">
            <v>96235</v>
          </cell>
          <cell r="B305" t="str">
            <v>CANASTA REDONDA (30g)</v>
          </cell>
          <cell r="C305" t="str">
            <v>UND</v>
          </cell>
          <cell r="D305" t="str">
            <v>UND</v>
          </cell>
          <cell r="E305">
            <v>55.485211661052638</v>
          </cell>
          <cell r="F305">
            <v>55.485211661052638</v>
          </cell>
          <cell r="G305">
            <v>0.41374383057644121</v>
          </cell>
          <cell r="H305">
            <v>0.41374383057644121</v>
          </cell>
          <cell r="I305">
            <v>20.223076923076921</v>
          </cell>
          <cell r="J305">
            <v>20.223076923076921</v>
          </cell>
        </row>
        <row r="306">
          <cell r="A306" t="str">
            <v>96285</v>
          </cell>
          <cell r="B306" t="str">
            <v>ROSQUETE CHOCOLATE (50g)</v>
          </cell>
          <cell r="C306" t="str">
            <v>UND</v>
          </cell>
          <cell r="D306" t="str">
            <v>UND</v>
          </cell>
          <cell r="E306">
            <v>64.920020827704391</v>
          </cell>
          <cell r="F306">
            <v>64.920020827704391</v>
          </cell>
          <cell r="G306">
            <v>1.6945652336553261</v>
          </cell>
          <cell r="H306">
            <v>1.6945652336553261</v>
          </cell>
          <cell r="I306">
            <v>8.6622596368573692</v>
          </cell>
          <cell r="J306">
            <v>8.6622596368573692</v>
          </cell>
        </row>
        <row r="307">
          <cell r="A307" t="str">
            <v>95372</v>
          </cell>
          <cell r="B307" t="str">
            <v>BASE PREMEZCLA TURRON ALMENDRA (3047g)</v>
          </cell>
          <cell r="C307" t="str">
            <v>TANDA</v>
          </cell>
          <cell r="D307" t="str">
            <v>GRAMO</v>
          </cell>
          <cell r="E307">
            <v>1537.6218530000001</v>
          </cell>
          <cell r="F307">
            <v>0.50463467443386945</v>
          </cell>
          <cell r="G307">
            <v>21.822725555555557</v>
          </cell>
          <cell r="H307">
            <v>7.1620366116033991E-3</v>
          </cell>
          <cell r="I307">
            <v>110</v>
          </cell>
          <cell r="J307">
            <v>3.6101083032490974E-2</v>
          </cell>
        </row>
        <row r="308">
          <cell r="A308" t="str">
            <v>96358</v>
          </cell>
          <cell r="B308" t="str">
            <v>BATIDO P/TURRON ALMENDRAS (5760g)</v>
          </cell>
          <cell r="C308" t="str">
            <v>KILO</v>
          </cell>
          <cell r="D308" t="str">
            <v>GRAMO</v>
          </cell>
          <cell r="E308">
            <v>2349.0428222222222</v>
          </cell>
          <cell r="F308">
            <v>2.3490428222222222</v>
          </cell>
          <cell r="G308">
            <v>3.7886732253086417</v>
          </cell>
          <cell r="H308">
            <v>3.7886732253086417E-3</v>
          </cell>
          <cell r="I308">
            <v>76.736111111111114</v>
          </cell>
          <cell r="J308">
            <v>7.6736111111111116E-2</v>
          </cell>
        </row>
        <row r="309">
          <cell r="A309" t="str">
            <v>95103</v>
          </cell>
          <cell r="B309" t="str">
            <v>MEDIA LUNA CUBIERTA CHOCOLATE LECHE (UND)</v>
          </cell>
          <cell r="C309" t="str">
            <v>UND</v>
          </cell>
          <cell r="D309" t="str">
            <v>UND</v>
          </cell>
          <cell r="E309">
            <v>25.479206085055701</v>
          </cell>
          <cell r="F309">
            <v>25.479206085055701</v>
          </cell>
          <cell r="G309">
            <v>0.23606913072852082</v>
          </cell>
          <cell r="H309">
            <v>0.23606913072852082</v>
          </cell>
          <cell r="I309">
            <v>4.1430462944096549</v>
          </cell>
          <cell r="J309">
            <v>4.1430462944096549</v>
          </cell>
        </row>
        <row r="310">
          <cell r="A310" t="str">
            <v>95369</v>
          </cell>
          <cell r="B310" t="str">
            <v>BASE PREMEZCLA QUEQUE SECO (3320g)</v>
          </cell>
          <cell r="C310" t="str">
            <v>TANDA</v>
          </cell>
          <cell r="D310" t="str">
            <v>GRAMO</v>
          </cell>
          <cell r="E310">
            <v>5308.8964000000005</v>
          </cell>
          <cell r="F310">
            <v>1.5990651807228917</v>
          </cell>
          <cell r="G310">
            <v>21.822757777777777</v>
          </cell>
          <cell r="H310">
            <v>6.5731198125836676E-3</v>
          </cell>
          <cell r="I310">
            <v>82.5</v>
          </cell>
          <cell r="J310">
            <v>2.4849397590361446E-2</v>
          </cell>
        </row>
        <row r="311">
          <cell r="A311" t="str">
            <v>95345</v>
          </cell>
          <cell r="B311" t="str">
            <v>ROSQUETE QQ SECO C/PASAS (750g)</v>
          </cell>
          <cell r="C311" t="str">
            <v>UND</v>
          </cell>
          <cell r="D311" t="str">
            <v>UND</v>
          </cell>
          <cell r="E311">
            <v>1556.3047986021254</v>
          </cell>
          <cell r="F311">
            <v>1556.3047986021254</v>
          </cell>
          <cell r="G311">
            <v>9.9305932012357498</v>
          </cell>
          <cell r="H311">
            <v>9.9305932012357498</v>
          </cell>
          <cell r="I311">
            <v>170.27037392138064</v>
          </cell>
          <cell r="J311">
            <v>170.27037392138064</v>
          </cell>
        </row>
        <row r="312">
          <cell r="A312" t="str">
            <v>95112</v>
          </cell>
          <cell r="B312" t="str">
            <v>ROSQUETE VAINILLA PERSONAL BUCCA (200g)</v>
          </cell>
          <cell r="C312" t="str">
            <v>UND</v>
          </cell>
          <cell r="D312" t="str">
            <v>UND</v>
          </cell>
          <cell r="E312">
            <v>203.19643881318322</v>
          </cell>
          <cell r="F312">
            <v>203.19643881318322</v>
          </cell>
          <cell r="G312">
            <v>4.392269724166896</v>
          </cell>
          <cell r="H312">
            <v>4.392269724166896</v>
          </cell>
          <cell r="I312">
            <v>10.814359975068081</v>
          </cell>
          <cell r="J312">
            <v>10.814359975068081</v>
          </cell>
        </row>
        <row r="313">
          <cell r="A313" t="str">
            <v>96185</v>
          </cell>
          <cell r="B313" t="str">
            <v>BASE PREMEZCLA SOUFLE (6.035 Kg)</v>
          </cell>
          <cell r="C313" t="str">
            <v>TANDA</v>
          </cell>
          <cell r="D313" t="str">
            <v>GRAMO</v>
          </cell>
          <cell r="E313">
            <v>10445.845386000001</v>
          </cell>
          <cell r="F313">
            <v>1.7311642999668546</v>
          </cell>
          <cell r="G313">
            <v>11.022725555555557</v>
          </cell>
          <cell r="H313">
            <v>1.8267692336021804E-3</v>
          </cell>
          <cell r="I313">
            <v>165</v>
          </cell>
          <cell r="J313">
            <v>2.7345044746436859E-2</v>
          </cell>
        </row>
        <row r="314">
          <cell r="A314" t="str">
            <v>96332</v>
          </cell>
          <cell r="B314" t="str">
            <v>BATIDO P/ROSQUETE SOUFFLE (11100g)</v>
          </cell>
          <cell r="C314" t="str">
            <v>KILO</v>
          </cell>
          <cell r="D314" t="str">
            <v>GRAMO</v>
          </cell>
          <cell r="E314">
            <v>1603.841223963964</v>
          </cell>
          <cell r="F314">
            <v>1.6038412239639641</v>
          </cell>
          <cell r="G314">
            <v>0.99303833833833832</v>
          </cell>
          <cell r="H314">
            <v>9.9303833833833837E-4</v>
          </cell>
          <cell r="I314">
            <v>49.549549549549553</v>
          </cell>
          <cell r="J314">
            <v>4.954954954954955E-2</v>
          </cell>
        </row>
        <row r="315">
          <cell r="A315" t="str">
            <v>90100142</v>
          </cell>
          <cell r="B315" t="str">
            <v>SAL (5000G)</v>
          </cell>
          <cell r="C315" t="str">
            <v>BOLSA</v>
          </cell>
          <cell r="D315" t="str">
            <v>GRAMO</v>
          </cell>
          <cell r="E315">
            <v>940</v>
          </cell>
          <cell r="F315">
            <v>0.188</v>
          </cell>
          <cell r="G315">
            <v>13.475999999999999</v>
          </cell>
          <cell r="H315">
            <v>2.6952E-3</v>
          </cell>
          <cell r="I315">
            <v>55</v>
          </cell>
          <cell r="J315">
            <v>1.0999999999999999E-2</v>
          </cell>
        </row>
        <row r="316">
          <cell r="A316" t="str">
            <v>907000219</v>
          </cell>
          <cell r="B316" t="str">
            <v>Rosquete Brownie Menta 1000g</v>
          </cell>
          <cell r="C316" t="str">
            <v>UND</v>
          </cell>
          <cell r="D316" t="str">
            <v>UND</v>
          </cell>
          <cell r="E316">
            <v>3608.2294588235295</v>
          </cell>
          <cell r="F316">
            <v>3608.2294588235295</v>
          </cell>
          <cell r="G316">
            <v>54.990309948412701</v>
          </cell>
          <cell r="H316">
            <v>54.990309948412701</v>
          </cell>
          <cell r="I316">
            <v>120.3125</v>
          </cell>
          <cell r="J316">
            <v>120.3125</v>
          </cell>
        </row>
        <row r="317">
          <cell r="A317" t="str">
            <v>907000217</v>
          </cell>
          <cell r="B317" t="str">
            <v>RELLENO CHOCOMENTA</v>
          </cell>
          <cell r="C317" t="str">
            <v>KILO</v>
          </cell>
          <cell r="D317" t="str">
            <v>KILO</v>
          </cell>
          <cell r="E317">
            <v>3261.1301544444445</v>
          </cell>
          <cell r="F317">
            <v>3.2611301544444444</v>
          </cell>
          <cell r="G317">
            <v>0</v>
          </cell>
          <cell r="H317">
            <v>0</v>
          </cell>
          <cell r="I317">
            <v>275</v>
          </cell>
          <cell r="J317">
            <v>0.27500000000000002</v>
          </cell>
        </row>
        <row r="318">
          <cell r="A318" t="str">
            <v>910000005</v>
          </cell>
          <cell r="B318" t="str">
            <v>MEZCLA DULCE LECHE CON AGUA</v>
          </cell>
          <cell r="C318" t="str">
            <v>TANDA</v>
          </cell>
          <cell r="D318" t="str">
            <v>GRAMO</v>
          </cell>
          <cell r="E318">
            <v>897.49288799999999</v>
          </cell>
          <cell r="F318">
            <v>1.49582148</v>
          </cell>
          <cell r="G318">
            <v>49.681000000000004</v>
          </cell>
          <cell r="H318">
            <v>8.2801666666666676E-2</v>
          </cell>
          <cell r="I318">
            <v>55</v>
          </cell>
          <cell r="J318">
            <v>9.166666666666666E-2</v>
          </cell>
        </row>
        <row r="319">
          <cell r="A319" t="str">
            <v>902000066</v>
          </cell>
          <cell r="B319" t="str">
            <v>SUSPIRO QUEBRADO 7650 g</v>
          </cell>
          <cell r="C319" t="str">
            <v>TANDA</v>
          </cell>
          <cell r="D319" t="str">
            <v>GRAMO</v>
          </cell>
          <cell r="E319">
            <v>19353.380484982161</v>
          </cell>
          <cell r="F319">
            <v>2.5298536581676028</v>
          </cell>
          <cell r="G319">
            <v>28.481995768033212</v>
          </cell>
          <cell r="H319">
            <v>3.7231367017036879E-3</v>
          </cell>
          <cell r="I319">
            <v>2470.4311925180209</v>
          </cell>
          <cell r="J319">
            <v>0.32293218202849949</v>
          </cell>
        </row>
        <row r="320">
          <cell r="A320" t="str">
            <v>90100115</v>
          </cell>
          <cell r="B320" t="str">
            <v>SALSA NARANJA (TANDA= 500 g)</v>
          </cell>
          <cell r="C320" t="str">
            <v>TANDA</v>
          </cell>
          <cell r="D320" t="str">
            <v>GRAMO</v>
          </cell>
          <cell r="E320">
            <v>17252.58664899736</v>
          </cell>
          <cell r="F320">
            <v>1.3802069319197887</v>
          </cell>
          <cell r="G320">
            <v>0</v>
          </cell>
          <cell r="H320">
            <v>0</v>
          </cell>
          <cell r="I320">
            <v>440</v>
          </cell>
          <cell r="J320">
            <v>3.5200000000000002E-2</v>
          </cell>
        </row>
        <row r="321">
          <cell r="A321" t="str">
            <v>907000226</v>
          </cell>
          <cell r="B321" t="str">
            <v>ROSQUETE CHOCOLATE BUCCA 800G</v>
          </cell>
          <cell r="C321" t="str">
            <v>UND</v>
          </cell>
          <cell r="D321" t="str">
            <v>UND</v>
          </cell>
          <cell r="E321">
            <v>612.44387157698372</v>
          </cell>
          <cell r="F321">
            <v>612.44387157698372</v>
          </cell>
          <cell r="G321">
            <v>13.45860305381556</v>
          </cell>
          <cell r="H321">
            <v>13.45860305381556</v>
          </cell>
          <cell r="I321">
            <v>43.217561521252797</v>
          </cell>
          <cell r="J321">
            <v>43.217561521252797</v>
          </cell>
        </row>
        <row r="322">
          <cell r="A322" t="str">
            <v>901000036</v>
          </cell>
          <cell r="B322" t="str">
            <v>PREMEZCLA VAINILLA RICH 170G</v>
          </cell>
          <cell r="C322" t="str">
            <v>TANDA</v>
          </cell>
          <cell r="D322" t="str">
            <v>GRAMO</v>
          </cell>
          <cell r="E322">
            <v>154.22406599999999</v>
          </cell>
          <cell r="F322">
            <v>0.90720038823529403</v>
          </cell>
          <cell r="G322">
            <v>7.5947800000000001</v>
          </cell>
          <cell r="H322">
            <v>4.4675176470588239E-2</v>
          </cell>
          <cell r="I322">
            <v>55</v>
          </cell>
          <cell r="J322">
            <v>0.3235294117647059</v>
          </cell>
        </row>
        <row r="323">
          <cell r="A323" t="str">
            <v>902000024</v>
          </cell>
          <cell r="B323" t="str">
            <v>Batido Vainilla Rich FAS 24000g</v>
          </cell>
          <cell r="C323" t="str">
            <v>TANDA</v>
          </cell>
          <cell r="D323" t="str">
            <v>GRAMO</v>
          </cell>
          <cell r="E323">
            <v>31287.540585694296</v>
          </cell>
          <cell r="F323">
            <v>1.3036475244039289</v>
          </cell>
          <cell r="G323">
            <v>7.594780000000001</v>
          </cell>
          <cell r="H323">
            <v>3.1644916666666669E-4</v>
          </cell>
          <cell r="I323">
            <v>495</v>
          </cell>
          <cell r="J323">
            <v>2.0625000000000001E-2</v>
          </cell>
        </row>
        <row r="324">
          <cell r="A324" t="str">
            <v>903000064</v>
          </cell>
          <cell r="B324" t="str">
            <v>ROSQUETE VAINILLA RICH 900G</v>
          </cell>
          <cell r="C324" t="str">
            <v>UND</v>
          </cell>
          <cell r="D324" t="str">
            <v>UND</v>
          </cell>
          <cell r="E324">
            <v>1215.8360731204052</v>
          </cell>
          <cell r="F324">
            <v>1215.8360731204052</v>
          </cell>
          <cell r="G324">
            <v>14.598128740836346</v>
          </cell>
          <cell r="H324">
            <v>14.598128740836346</v>
          </cell>
          <cell r="I324">
            <v>57.945921528136296</v>
          </cell>
          <cell r="J324">
            <v>57.945921528136296</v>
          </cell>
        </row>
        <row r="325">
          <cell r="A325" t="str">
            <v>901000005</v>
          </cell>
          <cell r="B325" t="str">
            <v xml:space="preserve">PREMEZCLA P/BATIDO CHOCO PASTELERO </v>
          </cell>
          <cell r="C325" t="str">
            <v>TANDA</v>
          </cell>
          <cell r="D325" t="str">
            <v>GRAMO</v>
          </cell>
          <cell r="E325">
            <v>4095.2116799999994</v>
          </cell>
          <cell r="F325">
            <v>1.2546604411764704</v>
          </cell>
          <cell r="G325">
            <v>51.239250509457278</v>
          </cell>
          <cell r="H325">
            <v>1.5698299788436666E-2</v>
          </cell>
          <cell r="I325">
            <v>110</v>
          </cell>
          <cell r="J325">
            <v>3.3700980392156861E-2</v>
          </cell>
        </row>
        <row r="326">
          <cell r="A326" t="str">
            <v>902000003</v>
          </cell>
          <cell r="B326" t="str">
            <v>BATIDO CHOCOLATE PASTELERO REAL 32400G</v>
          </cell>
          <cell r="C326" t="str">
            <v>TANDA</v>
          </cell>
          <cell r="D326" t="str">
            <v>GRAMO</v>
          </cell>
          <cell r="E326">
            <v>35227.057306764706</v>
          </cell>
          <cell r="F326">
            <v>1.0872548551470589</v>
          </cell>
          <cell r="G326">
            <v>328.81658736859441</v>
          </cell>
          <cell r="H326">
            <v>1.0148660103968964E-2</v>
          </cell>
          <cell r="I326">
            <v>1153.9007352941176</v>
          </cell>
          <cell r="J326">
            <v>3.5614220225127086E-2</v>
          </cell>
        </row>
        <row r="327">
          <cell r="A327" t="str">
            <v>907000204</v>
          </cell>
          <cell r="B327" t="str">
            <v>PLANCHA CHOCOLATE PASTELERO REAL 1300g</v>
          </cell>
          <cell r="C327" t="str">
            <v>UND</v>
          </cell>
          <cell r="D327" t="str">
            <v>UND</v>
          </cell>
          <cell r="E327">
            <v>1441.5558928626554</v>
          </cell>
          <cell r="F327">
            <v>1441.5558928626554</v>
          </cell>
          <cell r="G327">
            <v>13.796570919739926</v>
          </cell>
          <cell r="H327">
            <v>13.796570919739926</v>
          </cell>
          <cell r="I327">
            <v>132.30935985831189</v>
          </cell>
          <cell r="J327">
            <v>132.30935985831189</v>
          </cell>
        </row>
        <row r="328">
          <cell r="A328" t="str">
            <v>907000211</v>
          </cell>
          <cell r="B328" t="str">
            <v>ROSQUETE MELOCOTON MED 300G</v>
          </cell>
          <cell r="C328" t="str">
            <v>UND</v>
          </cell>
          <cell r="D328" t="str">
            <v>UND</v>
          </cell>
          <cell r="E328">
            <v>346.25307546532559</v>
          </cell>
          <cell r="F328">
            <v>346.25307546532559</v>
          </cell>
          <cell r="G328">
            <v>7.3045465006072225</v>
          </cell>
          <cell r="H328">
            <v>7.3045465006072225</v>
          </cell>
          <cell r="I328">
            <v>18.950701073484009</v>
          </cell>
          <cell r="J328">
            <v>18.950701073484009</v>
          </cell>
        </row>
        <row r="329">
          <cell r="A329" t="str">
            <v>90100219</v>
          </cell>
          <cell r="B329" t="str">
            <v>PREMEZCLA TORTA DE TRES LECHES RP 4527G</v>
          </cell>
          <cell r="C329" t="str">
            <v>TANDA</v>
          </cell>
          <cell r="D329" t="str">
            <v>GRAMO</v>
          </cell>
          <cell r="E329">
            <v>2138.8148460000007</v>
          </cell>
          <cell r="F329">
            <v>0.47245744333996037</v>
          </cell>
          <cell r="G329">
            <v>42.57118777777778</v>
          </cell>
          <cell r="H329">
            <v>9.4038409051861675E-3</v>
          </cell>
          <cell r="I329">
            <v>165</v>
          </cell>
          <cell r="J329">
            <v>3.6447978793903248E-2</v>
          </cell>
        </row>
        <row r="330">
          <cell r="A330" t="str">
            <v>90100220</v>
          </cell>
          <cell r="B330" t="str">
            <v>BATIDO TORTA DE TRES LECHES RP 9600G</v>
          </cell>
          <cell r="C330" t="str">
            <v>TANDA</v>
          </cell>
          <cell r="D330" t="str">
            <v>GRAMO</v>
          </cell>
          <cell r="E330">
            <v>5277.9678302260372</v>
          </cell>
          <cell r="F330">
            <v>0.54978831564854558</v>
          </cell>
          <cell r="G330">
            <v>165</v>
          </cell>
          <cell r="H330">
            <v>1.7187500000000001E-2</v>
          </cell>
          <cell r="I330">
            <v>1815</v>
          </cell>
          <cell r="J330">
            <v>0.18906249999999999</v>
          </cell>
        </row>
        <row r="331">
          <cell r="A331" t="str">
            <v>90100275</v>
          </cell>
          <cell r="B331" t="str">
            <v>ROSQUETE GUSTITO 4 LECHES 90g</v>
          </cell>
          <cell r="C331" t="str">
            <v>UND</v>
          </cell>
          <cell r="D331" t="str">
            <v>UND</v>
          </cell>
          <cell r="E331">
            <v>49.792149341755071</v>
          </cell>
          <cell r="F331">
            <v>49.792149341755071</v>
          </cell>
          <cell r="G331">
            <v>62.56504561844865</v>
          </cell>
          <cell r="H331">
            <v>62.56504561844865</v>
          </cell>
          <cell r="I331">
            <v>27.5</v>
          </cell>
          <cell r="J331">
            <v>27.5</v>
          </cell>
        </row>
        <row r="332">
          <cell r="A332" t="str">
            <v>90100161</v>
          </cell>
          <cell r="B332" t="str">
            <v>PREMEZCLA TORTA QQ CRISTAL (8176g)</v>
          </cell>
          <cell r="C332" t="str">
            <v>TANDA</v>
          </cell>
          <cell r="D332" t="str">
            <v>GRAMO</v>
          </cell>
          <cell r="E332">
            <v>3492.2954479999999</v>
          </cell>
          <cell r="F332">
            <v>0.42713985420743639</v>
          </cell>
          <cell r="G332">
            <v>62.945187777777775</v>
          </cell>
          <cell r="H332">
            <v>7.6987754131332894E-3</v>
          </cell>
          <cell r="I332">
            <v>192.5</v>
          </cell>
          <cell r="J332">
            <v>2.3544520547945206E-2</v>
          </cell>
        </row>
        <row r="333">
          <cell r="A333" t="str">
            <v>90100225</v>
          </cell>
          <cell r="B333" t="str">
            <v>BATIDO CHOCOLATE 27500g</v>
          </cell>
          <cell r="C333" t="str">
            <v>TANDA</v>
          </cell>
          <cell r="D333" t="str">
            <v>GRAMO</v>
          </cell>
          <cell r="E333">
            <v>38581.311737905038</v>
          </cell>
          <cell r="F333">
            <v>1.4029567904692741</v>
          </cell>
          <cell r="G333">
            <v>0</v>
          </cell>
          <cell r="H333">
            <v>0</v>
          </cell>
          <cell r="I333">
            <v>440</v>
          </cell>
          <cell r="J333">
            <v>1.6E-2</v>
          </cell>
        </row>
        <row r="334">
          <cell r="A334" t="str">
            <v>90100226</v>
          </cell>
          <cell r="B334" t="str">
            <v>ROSQUETE DE CHOCOLATE 1100g</v>
          </cell>
          <cell r="C334" t="str">
            <v>UND</v>
          </cell>
          <cell r="D334" t="str">
            <v>UND</v>
          </cell>
          <cell r="E334">
            <v>1564.0343487108323</v>
          </cell>
          <cell r="F334">
            <v>1564.0343487108323</v>
          </cell>
          <cell r="G334">
            <v>0.28353251677852354</v>
          </cell>
          <cell r="H334">
            <v>0.28353251677852354</v>
          </cell>
          <cell r="I334">
            <v>95.98422818791947</v>
          </cell>
          <cell r="J334">
            <v>95.98422818791947</v>
          </cell>
        </row>
        <row r="335">
          <cell r="A335" t="str">
            <v>90100233</v>
          </cell>
          <cell r="B335" t="str">
            <v>BORONA CHOCOLATE ROSTI POLLOS 3900G</v>
          </cell>
          <cell r="C335" t="str">
            <v>TANDA</v>
          </cell>
          <cell r="D335" t="str">
            <v>GRAMO</v>
          </cell>
          <cell r="E335">
            <v>6256.1373948433293</v>
          </cell>
          <cell r="F335">
            <v>1.6041377935495715</v>
          </cell>
          <cell r="G335">
            <v>79.289130067114101</v>
          </cell>
          <cell r="H335">
            <v>2.0330546171054897E-2</v>
          </cell>
          <cell r="I335">
            <v>1153.9369127516779</v>
          </cell>
          <cell r="J335">
            <v>0.29588125967991741</v>
          </cell>
        </row>
        <row r="336">
          <cell r="A336" t="str">
            <v>90100234</v>
          </cell>
          <cell r="B336" t="str">
            <v>BATIDO QUEQUE ARCOIRIS 33930</v>
          </cell>
          <cell r="C336" t="str">
            <v>TANDA</v>
          </cell>
          <cell r="D336" t="str">
            <v>GRAMO</v>
          </cell>
          <cell r="E336">
            <v>40764.431855714094</v>
          </cell>
          <cell r="F336">
            <v>1.2014274051197789</v>
          </cell>
          <cell r="G336">
            <v>79.289130067114101</v>
          </cell>
          <cell r="H336">
            <v>2.3368443874775746E-3</v>
          </cell>
          <cell r="I336">
            <v>1483.9369127516779</v>
          </cell>
          <cell r="J336">
            <v>4.3735246470724375E-2</v>
          </cell>
        </row>
        <row r="337">
          <cell r="A337" t="str">
            <v>901000106</v>
          </cell>
          <cell r="B337" t="str">
            <v>JAMON PAVO REBANADO 2870G</v>
          </cell>
          <cell r="C337" t="str">
            <v>TANDA</v>
          </cell>
          <cell r="D337" t="str">
            <v>GRAMO</v>
          </cell>
          <cell r="E337">
            <v>8490.6059999999998</v>
          </cell>
          <cell r="F337">
            <v>2.9583993031358884</v>
          </cell>
          <cell r="G337">
            <v>294.39000000000004</v>
          </cell>
          <cell r="H337">
            <v>0.10257491289198607</v>
          </cell>
          <cell r="I337">
            <v>440</v>
          </cell>
          <cell r="J337">
            <v>0.15331010452961671</v>
          </cell>
        </row>
        <row r="338">
          <cell r="A338" t="str">
            <v>90100221</v>
          </cell>
          <cell r="B338" t="str">
            <v>ROSQUETE TORTA DE TRES LECHES RP (960 gr)</v>
          </cell>
          <cell r="C338" t="str">
            <v>UND</v>
          </cell>
          <cell r="D338" t="str">
            <v>UND</v>
          </cell>
          <cell r="E338">
            <v>527.79678302260368</v>
          </cell>
          <cell r="F338">
            <v>527.79678302260368</v>
          </cell>
          <cell r="G338">
            <v>406.73166666666668</v>
          </cell>
          <cell r="H338">
            <v>406.73166666666668</v>
          </cell>
          <cell r="I338">
            <v>225.5</v>
          </cell>
          <cell r="J338">
            <v>225.5</v>
          </cell>
        </row>
        <row r="339">
          <cell r="A339" t="str">
            <v>90100222</v>
          </cell>
          <cell r="B339" t="str">
            <v>MEZCLA DE TRES LECHES RP</v>
          </cell>
          <cell r="C339" t="str">
            <v>TANDA</v>
          </cell>
          <cell r="D339" t="str">
            <v>MIlilitro</v>
          </cell>
          <cell r="E339">
            <v>12415.167355350066</v>
          </cell>
          <cell r="F339">
            <v>2.0691945592250112</v>
          </cell>
          <cell r="G339">
            <v>0</v>
          </cell>
          <cell r="H339">
            <v>0</v>
          </cell>
          <cell r="I339">
            <v>275</v>
          </cell>
          <cell r="J339">
            <v>4.583333333333333E-2</v>
          </cell>
        </row>
        <row r="340">
          <cell r="A340" t="str">
            <v>90100223</v>
          </cell>
          <cell r="B340" t="str">
            <v>MERENGUE PARA TRES LECHES RP</v>
          </cell>
          <cell r="C340" t="str">
            <v>TANDA</v>
          </cell>
          <cell r="D340" t="str">
            <v>GRAMO</v>
          </cell>
          <cell r="E340">
            <v>3761.7899899999998</v>
          </cell>
          <cell r="F340">
            <v>1.07479714</v>
          </cell>
          <cell r="G340">
            <v>3.0708489714285713E-4</v>
          </cell>
          <cell r="H340">
            <v>8.7738542040816329E-8</v>
          </cell>
          <cell r="I340">
            <v>1100</v>
          </cell>
          <cell r="J340">
            <v>0.31428571428571428</v>
          </cell>
        </row>
        <row r="341">
          <cell r="A341" t="str">
            <v>901000006</v>
          </cell>
          <cell r="B341" t="str">
            <v xml:space="preserve">BASE PREMEZCLA P/BATIDO VAINILLA PASTELERO </v>
          </cell>
          <cell r="C341" t="str">
            <v>TANDA</v>
          </cell>
          <cell r="D341" t="str">
            <v>GRAMO</v>
          </cell>
          <cell r="E341">
            <v>4095.2116799999999</v>
          </cell>
          <cell r="F341">
            <v>1.2546604411764706</v>
          </cell>
          <cell r="G341">
            <v>19.096393366600132</v>
          </cell>
          <cell r="H341">
            <v>5.8506107128064129E-3</v>
          </cell>
          <cell r="I341">
            <v>110</v>
          </cell>
          <cell r="J341">
            <v>3.3700980392156861E-2</v>
          </cell>
        </row>
        <row r="342">
          <cell r="A342" t="str">
            <v>905000094</v>
          </cell>
          <cell r="B342" t="str">
            <v>Ensamble media torta chocolate</v>
          </cell>
          <cell r="C342" t="str">
            <v>UND</v>
          </cell>
          <cell r="D342" t="str">
            <v>UND</v>
          </cell>
          <cell r="E342">
            <v>1050.4464617677095</v>
          </cell>
          <cell r="F342">
            <v>1050.4464617677095</v>
          </cell>
          <cell r="G342">
            <v>7.8435866075199412</v>
          </cell>
          <cell r="H342">
            <v>7.8435866075199412</v>
          </cell>
          <cell r="I342">
            <v>129.29891730862488</v>
          </cell>
          <cell r="J342">
            <v>129.29891730862488</v>
          </cell>
        </row>
        <row r="343">
          <cell r="A343" t="str">
            <v>905000095</v>
          </cell>
          <cell r="B343" t="str">
            <v>Ensamble media torta melocoton</v>
          </cell>
          <cell r="C343" t="str">
            <v xml:space="preserve">UND </v>
          </cell>
          <cell r="D343" t="str">
            <v>UND</v>
          </cell>
          <cell r="E343">
            <v>1044.2221005121608</v>
          </cell>
          <cell r="F343">
            <v>1044.2221005121608</v>
          </cell>
          <cell r="G343">
            <v>8.0368646012000049</v>
          </cell>
          <cell r="H343">
            <v>8.0368646012000049</v>
          </cell>
          <cell r="I343">
            <v>145.09099221492735</v>
          </cell>
          <cell r="J343">
            <v>145.09099221492735</v>
          </cell>
        </row>
        <row r="344">
          <cell r="A344" t="str">
            <v>95342</v>
          </cell>
          <cell r="B344" t="str">
            <v>BASE Premezcla Batidos para Rosquete Super esponja</v>
          </cell>
          <cell r="C344" t="str">
            <v>TANDA</v>
          </cell>
          <cell r="D344" t="str">
            <v>GRAMO</v>
          </cell>
          <cell r="E344">
            <v>536.52239999999995</v>
          </cell>
          <cell r="F344">
            <v>4.4710199999999993</v>
          </cell>
          <cell r="G344">
            <v>4.421616766467066</v>
          </cell>
          <cell r="H344">
            <v>3.6846806387225553E-2</v>
          </cell>
          <cell r="I344">
            <v>27.5</v>
          </cell>
          <cell r="J344">
            <v>0.22916666666666666</v>
          </cell>
        </row>
        <row r="345">
          <cell r="A345" t="str">
            <v>95343</v>
          </cell>
          <cell r="B345" t="str">
            <v>BATIDO Super Esponja (40120g</v>
          </cell>
          <cell r="C345" t="str">
            <v>TANDA</v>
          </cell>
          <cell r="D345" t="str">
            <v>GRAMO</v>
          </cell>
          <cell r="E345">
            <v>53885.640047058827</v>
          </cell>
          <cell r="F345">
            <v>1.3431116661779368</v>
          </cell>
          <cell r="G345">
            <v>4.421616766467066</v>
          </cell>
          <cell r="H345">
            <v>1.1020978979229976E-4</v>
          </cell>
          <cell r="I345">
            <v>467.5</v>
          </cell>
          <cell r="J345">
            <v>1.1652542372881356E-2</v>
          </cell>
        </row>
        <row r="346">
          <cell r="A346" t="str">
            <v>907000111</v>
          </cell>
          <cell r="B346" t="str">
            <v>Rosquete Super Esponja 380g</v>
          </cell>
          <cell r="C346" t="str">
            <v>UND</v>
          </cell>
          <cell r="D346" t="str">
            <v>UND</v>
          </cell>
          <cell r="E346">
            <v>524.38269974552782</v>
          </cell>
          <cell r="F346">
            <v>524.38269974552782</v>
          </cell>
          <cell r="G346">
            <v>4.6211066985275187</v>
          </cell>
          <cell r="H346">
            <v>4.6211066985275187</v>
          </cell>
          <cell r="I346">
            <v>18.483375539635087</v>
          </cell>
          <cell r="J346">
            <v>18.483375539635087</v>
          </cell>
        </row>
        <row r="347">
          <cell r="A347" t="str">
            <v>907000200</v>
          </cell>
          <cell r="B347" t="str">
            <v>BATIDO P/ARROLLADO DULCE LECHE 3600G</v>
          </cell>
          <cell r="C347" t="str">
            <v>TANDA</v>
          </cell>
          <cell r="D347" t="str">
            <v>GRAMO</v>
          </cell>
          <cell r="E347">
            <v>3846.8646231243679</v>
          </cell>
          <cell r="F347">
            <v>1.0685735064234356</v>
          </cell>
          <cell r="G347">
            <v>20.782431036855929</v>
          </cell>
          <cell r="H347">
            <v>5.7728975102377582E-3</v>
          </cell>
          <cell r="I347">
            <v>342.14751426242867</v>
          </cell>
          <cell r="J347">
            <v>9.5040976184007961E-2</v>
          </cell>
        </row>
        <row r="348">
          <cell r="A348" t="str">
            <v>903000154</v>
          </cell>
          <cell r="B348" t="str">
            <v>RUEDA HOJALDRE EMPANADA DE POLLO PEQUEÑA</v>
          </cell>
          <cell r="C348" t="str">
            <v>UND</v>
          </cell>
          <cell r="D348" t="str">
            <v>UND</v>
          </cell>
          <cell r="E348">
            <v>17.692668599069446</v>
          </cell>
          <cell r="F348">
            <v>17.692668599069446</v>
          </cell>
          <cell r="G348">
            <v>7.3629137208274437E-2</v>
          </cell>
          <cell r="H348">
            <v>7.3629137208274437E-2</v>
          </cell>
          <cell r="I348">
            <v>11.189039828684258</v>
          </cell>
          <cell r="J348">
            <v>11.189039828684258</v>
          </cell>
        </row>
        <row r="349">
          <cell r="A349" t="str">
            <v>90100281</v>
          </cell>
          <cell r="B349" t="str">
            <v>Crema de Garbanzos 10000G</v>
          </cell>
          <cell r="C349" t="str">
            <v>TANDA</v>
          </cell>
          <cell r="D349" t="str">
            <v>GRAMO</v>
          </cell>
          <cell r="E349">
            <v>13062.089689729972</v>
          </cell>
          <cell r="F349">
            <v>1.3062089689729972</v>
          </cell>
          <cell r="G349">
            <v>69.513032603681182</v>
          </cell>
          <cell r="H349">
            <v>6.9513032603681184E-3</v>
          </cell>
          <cell r="I349">
            <v>1383.7719279201042</v>
          </cell>
          <cell r="J349">
            <v>0.13837719279201041</v>
          </cell>
        </row>
        <row r="350">
          <cell r="A350" t="str">
            <v>901000051</v>
          </cell>
          <cell r="B350" t="str">
            <v>Premezcla Pasta Piña(5262g) Spoon</v>
          </cell>
          <cell r="C350" t="str">
            <v>TANDA</v>
          </cell>
          <cell r="D350" t="str">
            <v>GRAMO</v>
          </cell>
          <cell r="E350">
            <v>4629.7639655999992</v>
          </cell>
          <cell r="F350">
            <v>0.87984872018243998</v>
          </cell>
          <cell r="G350">
            <v>28.572730555555559</v>
          </cell>
          <cell r="H350">
            <v>5.4300134085054274E-3</v>
          </cell>
          <cell r="I350">
            <v>275</v>
          </cell>
          <cell r="J350">
            <v>5.2261497529456483E-2</v>
          </cell>
        </row>
        <row r="351">
          <cell r="A351" t="str">
            <v>95466</v>
          </cell>
          <cell r="B351" t="str">
            <v>Pasta para empanada de piña</v>
          </cell>
          <cell r="C351" t="str">
            <v>TANDA</v>
          </cell>
          <cell r="D351" t="str">
            <v>GRAMO</v>
          </cell>
          <cell r="E351">
            <v>7170.5829880570664</v>
          </cell>
          <cell r="F351">
            <v>1.1636778623916044</v>
          </cell>
          <cell r="G351">
            <v>64.415063888888895</v>
          </cell>
          <cell r="H351">
            <v>1.0453596866096867E-2</v>
          </cell>
          <cell r="I351">
            <v>825</v>
          </cell>
          <cell r="J351">
            <v>0.13388510223953262</v>
          </cell>
        </row>
        <row r="352">
          <cell r="A352" t="str">
            <v>907000050</v>
          </cell>
          <cell r="B352" t="str">
            <v>ROSQUETE ARROLLADO 1000G</v>
          </cell>
          <cell r="C352" t="str">
            <v>UND</v>
          </cell>
          <cell r="D352" t="str">
            <v>UND</v>
          </cell>
          <cell r="E352">
            <v>1078.5488084368583</v>
          </cell>
          <cell r="F352">
            <v>1078.5488084368583</v>
          </cell>
          <cell r="G352">
            <v>64.069821784958108</v>
          </cell>
          <cell r="H352">
            <v>64.069821784958108</v>
          </cell>
          <cell r="I352">
            <v>150.70540571420932</v>
          </cell>
          <cell r="J352">
            <v>150.70540571420932</v>
          </cell>
        </row>
        <row r="353">
          <cell r="A353" t="str">
            <v>90100280</v>
          </cell>
          <cell r="B353" t="str">
            <v>SALSA POMODORO 15000</v>
          </cell>
          <cell r="C353" t="str">
            <v>TANDA</v>
          </cell>
          <cell r="D353" t="str">
            <v>GRAMO</v>
          </cell>
          <cell r="E353">
            <v>21018.911828324784</v>
          </cell>
          <cell r="F353">
            <v>1.4012607885549857</v>
          </cell>
          <cell r="G353">
            <v>0</v>
          </cell>
          <cell r="H353"/>
          <cell r="I353">
            <v>1925</v>
          </cell>
          <cell r="J353">
            <v>0.12833333333333333</v>
          </cell>
        </row>
        <row r="354">
          <cell r="A354" t="str">
            <v>95969</v>
          </cell>
          <cell r="B354" t="str">
            <v>CALDO POLLO C/CARCASA 47000</v>
          </cell>
          <cell r="C354" t="str">
            <v>TANDA</v>
          </cell>
          <cell r="D354" t="str">
            <v>GRAMO</v>
          </cell>
          <cell r="E354">
            <v>25962.644746666661</v>
          </cell>
          <cell r="F354">
            <v>0.55239669673758851</v>
          </cell>
          <cell r="G354">
            <v>231.47791333333333</v>
          </cell>
          <cell r="H354">
            <v>4.9250619858156024E-3</v>
          </cell>
          <cell r="I354">
            <v>1650</v>
          </cell>
          <cell r="J354">
            <v>3.5106382978723406E-2</v>
          </cell>
        </row>
        <row r="355">
          <cell r="A355" t="str">
            <v>90100129</v>
          </cell>
          <cell r="B355" t="str">
            <v>ALMIDON MODIFICADO (BOLSA:5000g)</v>
          </cell>
          <cell r="C355" t="str">
            <v>TANDA</v>
          </cell>
          <cell r="D355" t="str">
            <v>GRAMO</v>
          </cell>
          <cell r="E355">
            <v>5716.2</v>
          </cell>
          <cell r="F355">
            <v>1.14324</v>
          </cell>
          <cell r="G355">
            <v>35.609333333333339</v>
          </cell>
          <cell r="H355">
            <v>7.1218666666666682E-3</v>
          </cell>
          <cell r="I355">
            <v>55</v>
          </cell>
          <cell r="J355">
            <v>1.0999999999999999E-2</v>
          </cell>
        </row>
        <row r="356">
          <cell r="A356" t="str">
            <v>90100279</v>
          </cell>
          <cell r="B356" t="str">
            <v>SALSA CULANTRO 2000G</v>
          </cell>
          <cell r="C356" t="str">
            <v>TANDA</v>
          </cell>
          <cell r="D356" t="str">
            <v>GRAMO</v>
          </cell>
          <cell r="E356">
            <v>3002.3665583193829</v>
          </cell>
          <cell r="F356">
            <v>1.5011832791596915</v>
          </cell>
          <cell r="G356">
            <v>9.5495689134751789</v>
          </cell>
          <cell r="H356">
            <v>4.7747844567375894E-3</v>
          </cell>
          <cell r="I356">
            <v>600.18293617021277</v>
          </cell>
          <cell r="J356">
            <v>0.30009146808510639</v>
          </cell>
        </row>
        <row r="357">
          <cell r="A357" t="str">
            <v>90100126</v>
          </cell>
          <cell r="B357" t="str">
            <v>RELLENO LOMO SALTEADO 3150G</v>
          </cell>
          <cell r="C357" t="str">
            <v>TANDA</v>
          </cell>
          <cell r="D357" t="str">
            <v>GRAMO</v>
          </cell>
          <cell r="E357">
            <v>24248.467874774124</v>
          </cell>
          <cell r="F357">
            <v>7.6979263094521029</v>
          </cell>
          <cell r="G357">
            <v>66.339104999999989</v>
          </cell>
          <cell r="H357">
            <v>2.1060033333333329E-2</v>
          </cell>
          <cell r="I357">
            <v>440</v>
          </cell>
          <cell r="J357">
            <v>0.13968253968253969</v>
          </cell>
        </row>
        <row r="358">
          <cell r="A358" t="str">
            <v>90100127</v>
          </cell>
          <cell r="B358" t="str">
            <v>SALSA DE AJI 1400G</v>
          </cell>
          <cell r="C358" t="str">
            <v>TANDA</v>
          </cell>
          <cell r="D358" t="str">
            <v>GRAMO</v>
          </cell>
          <cell r="E358">
            <v>2818.5643070588239</v>
          </cell>
          <cell r="F358">
            <v>2.0132602193277314</v>
          </cell>
          <cell r="G358">
            <v>29.188105</v>
          </cell>
          <cell r="H358">
            <v>2.084864642857143E-2</v>
          </cell>
          <cell r="I358">
            <v>275</v>
          </cell>
          <cell r="J358">
            <v>0.19642857142857142</v>
          </cell>
        </row>
        <row r="359">
          <cell r="A359" t="str">
            <v>95970</v>
          </cell>
          <cell r="B359" t="str">
            <v>MEZCLA GALLO PINTO BUCCA 4000G</v>
          </cell>
          <cell r="C359" t="str">
            <v>TANDA</v>
          </cell>
          <cell r="D359" t="str">
            <v>GRAMO</v>
          </cell>
          <cell r="E359">
            <v>3180.8075313185109</v>
          </cell>
          <cell r="F359">
            <v>0.79520188282962767</v>
          </cell>
          <cell r="G359">
            <v>47.385759144413669</v>
          </cell>
          <cell r="H359">
            <v>1.1846439786103417E-2</v>
          </cell>
          <cell r="I359">
            <v>952.70875711626547</v>
          </cell>
          <cell r="J359">
            <v>0.23817718927906636</v>
          </cell>
        </row>
        <row r="360">
          <cell r="A360" t="str">
            <v>90100249</v>
          </cell>
          <cell r="B360" t="str">
            <v>COCCION POLLO DIABLA TIA FLORITA 9600G</v>
          </cell>
          <cell r="C360" t="str">
            <v>TANDA</v>
          </cell>
          <cell r="D360" t="str">
            <v>GRAMO</v>
          </cell>
          <cell r="E360">
            <v>38900.07380369032</v>
          </cell>
          <cell r="F360">
            <v>4.0520910212177421</v>
          </cell>
          <cell r="G360">
            <v>0</v>
          </cell>
          <cell r="H360">
            <v>0</v>
          </cell>
          <cell r="I360">
            <v>1650</v>
          </cell>
          <cell r="J360">
            <v>0.171875</v>
          </cell>
        </row>
        <row r="361">
          <cell r="A361" t="str">
            <v>90100250</v>
          </cell>
          <cell r="B361" t="str">
            <v>SALSA DIABLA TIA FLORITA 10025G</v>
          </cell>
          <cell r="C361" t="str">
            <v>TANDA</v>
          </cell>
          <cell r="D361" t="str">
            <v>GRAMO</v>
          </cell>
          <cell r="E361">
            <v>25339.183771707376</v>
          </cell>
          <cell r="F361">
            <v>2.5275993787239277</v>
          </cell>
          <cell r="G361">
            <v>2.5212961383779827E-4</v>
          </cell>
          <cell r="H361">
            <v>2.515008616835893E-8</v>
          </cell>
          <cell r="I361">
            <v>1375</v>
          </cell>
          <cell r="J361">
            <v>0.13715710723192021</v>
          </cell>
        </row>
        <row r="362">
          <cell r="A362" t="str">
            <v>90100247</v>
          </cell>
          <cell r="B362" t="str">
            <v>COCCION SALSA BOLOGNESA TIA FLORITA 8495</v>
          </cell>
          <cell r="C362" t="str">
            <v>TANDA</v>
          </cell>
          <cell r="D362" t="str">
            <v>GRAMO</v>
          </cell>
          <cell r="E362">
            <v>22006.831315487259</v>
          </cell>
          <cell r="F362">
            <v>2.5905628387860222</v>
          </cell>
          <cell r="G362">
            <v>3.0495148190535869E-4</v>
          </cell>
          <cell r="H362">
            <v>3.5897761260195255E-8</v>
          </cell>
          <cell r="I362">
            <v>1925</v>
          </cell>
          <cell r="J362">
            <v>0.22660388463802236</v>
          </cell>
        </row>
        <row r="363">
          <cell r="A363" t="str">
            <v>90100251</v>
          </cell>
          <cell r="B363" t="str">
            <v>COCCION CARNE STROGANOFF TIA FLORITA 7000G</v>
          </cell>
          <cell r="C363" t="str">
            <v>TANDA</v>
          </cell>
          <cell r="D363" t="str">
            <v>GRAMO</v>
          </cell>
          <cell r="E363">
            <v>55566.766594321198</v>
          </cell>
          <cell r="F363">
            <v>7.9381095134744566</v>
          </cell>
          <cell r="G363">
            <v>1.1340156447820651E-3</v>
          </cell>
          <cell r="H363">
            <v>1.6200223496886646E-7</v>
          </cell>
          <cell r="I363">
            <v>3850</v>
          </cell>
          <cell r="J363">
            <v>0.55000000000000004</v>
          </cell>
        </row>
        <row r="364">
          <cell r="A364" t="str">
            <v>90100252</v>
          </cell>
          <cell r="B364" t="str">
            <v>SALSA STROGANOFF TIA FLORITA 5400G</v>
          </cell>
          <cell r="C364" t="str">
            <v>TANDA</v>
          </cell>
          <cell r="D364" t="str">
            <v>GRAMO</v>
          </cell>
          <cell r="E364">
            <v>14656.3663</v>
          </cell>
          <cell r="F364">
            <v>2.7141419074074071</v>
          </cell>
          <cell r="G364">
            <v>5.0261887174211245E-4</v>
          </cell>
          <cell r="H364">
            <v>9.3077568841131936E-8</v>
          </cell>
          <cell r="I364">
            <v>1100</v>
          </cell>
          <cell r="J364">
            <v>0.20370370370370369</v>
          </cell>
        </row>
        <row r="365">
          <cell r="A365" t="str">
            <v>90100244</v>
          </cell>
          <cell r="B365" t="str">
            <v>ESTOFADO RES TIA FLORITA</v>
          </cell>
          <cell r="C365" t="str">
            <v>TANDA</v>
          </cell>
          <cell r="D365" t="str">
            <v>GRAMO</v>
          </cell>
          <cell r="E365">
            <v>20782.546792963221</v>
          </cell>
          <cell r="F365">
            <v>3.1637306733084518</v>
          </cell>
          <cell r="G365">
            <v>4.8161526462299465E-4</v>
          </cell>
          <cell r="H365">
            <v>7.3316374581061756E-8</v>
          </cell>
          <cell r="I365">
            <v>4950</v>
          </cell>
          <cell r="J365">
            <v>0.75353935149946716</v>
          </cell>
        </row>
        <row r="366">
          <cell r="A366" t="str">
            <v>90100117</v>
          </cell>
          <cell r="B366" t="str">
            <v>RELLENO ESPINACA-POLLO 9200G</v>
          </cell>
          <cell r="C366" t="str">
            <v>TANDA</v>
          </cell>
          <cell r="D366" t="str">
            <v>GRAMO</v>
          </cell>
          <cell r="E366">
            <v>34639.842823397303</v>
          </cell>
          <cell r="F366">
            <v>3.7652003068910114</v>
          </cell>
          <cell r="G366">
            <v>28.8983727040243</v>
          </cell>
          <cell r="H366">
            <v>3.1411274678287285E-3</v>
          </cell>
          <cell r="I366">
            <v>2320.3334390085506</v>
          </cell>
          <cell r="J366">
            <v>0.25221015641397287</v>
          </cell>
        </row>
        <row r="367">
          <cell r="A367" t="str">
            <v>902000009</v>
          </cell>
          <cell r="B367" t="str">
            <v>BATIDO MELOCOTON FROM SCRATCH 21600</v>
          </cell>
          <cell r="C367" t="str">
            <v>TANDA</v>
          </cell>
          <cell r="D367" t="str">
            <v>GRAMO</v>
          </cell>
          <cell r="E367">
            <v>23324.529458823534</v>
          </cell>
          <cell r="F367">
            <v>1.0798393267973858</v>
          </cell>
          <cell r="G367">
            <v>0</v>
          </cell>
          <cell r="H367">
            <v>0</v>
          </cell>
          <cell r="I367">
            <v>440</v>
          </cell>
          <cell r="J367">
            <v>2.0370370370370372E-2</v>
          </cell>
        </row>
        <row r="368">
          <cell r="A368" t="str">
            <v>907000233</v>
          </cell>
          <cell r="B368" t="str">
            <v>ROSQUETE MELOCOTON PERSONAL 180G</v>
          </cell>
          <cell r="C368" t="str">
            <v>UND</v>
          </cell>
          <cell r="D368" t="str">
            <v>UND</v>
          </cell>
          <cell r="E368">
            <v>208.40697893340794</v>
          </cell>
          <cell r="F368">
            <v>208.40697893340794</v>
          </cell>
          <cell r="G368">
            <v>0.90565200671140944</v>
          </cell>
          <cell r="H368">
            <v>0.90565200671140944</v>
          </cell>
          <cell r="I368">
            <v>10.744987571464083</v>
          </cell>
          <cell r="J368">
            <v>10.744987571464083</v>
          </cell>
        </row>
        <row r="369">
          <cell r="A369" t="str">
            <v>902000085</v>
          </cell>
          <cell r="B369" t="str">
            <v>RELLENO LIMON PLANTA 2000G</v>
          </cell>
          <cell r="C369" t="str">
            <v>TANDA</v>
          </cell>
          <cell r="D369" t="str">
            <v>GRAMO</v>
          </cell>
          <cell r="E369">
            <v>41745.107599999996</v>
          </cell>
          <cell r="F369">
            <v>2.0872553799999998</v>
          </cell>
          <cell r="G369">
            <v>442.81700000000006</v>
          </cell>
          <cell r="H369">
            <v>0.22140850000000004</v>
          </cell>
          <cell r="I369">
            <v>440</v>
          </cell>
          <cell r="J369">
            <v>0.22</v>
          </cell>
        </row>
        <row r="370">
          <cell r="A370" t="str">
            <v>90100131</v>
          </cell>
          <cell r="B370" t="str">
            <v>AZUCAR BLANCO INDUSTRIAL</v>
          </cell>
          <cell r="C370" t="str">
            <v>TANDA</v>
          </cell>
          <cell r="D370" t="str">
            <v>GRAMO</v>
          </cell>
          <cell r="E370">
            <v>585.51</v>
          </cell>
          <cell r="F370">
            <v>0.39034000000000002</v>
          </cell>
          <cell r="G370">
            <v>35.609333333333339</v>
          </cell>
          <cell r="H370">
            <v>2.3739555555555559E-2</v>
          </cell>
          <cell r="I370">
            <v>55</v>
          </cell>
          <cell r="J370">
            <v>3.6666666666666667E-2</v>
          </cell>
        </row>
        <row r="371">
          <cell r="A371" t="str">
            <v>90100286</v>
          </cell>
          <cell r="B371" t="str">
            <v>TOPPING MELOCOTON PLANTA 10000G</v>
          </cell>
          <cell r="C371" t="str">
            <v>TANDA</v>
          </cell>
          <cell r="D371" t="str">
            <v>GRAMO</v>
          </cell>
          <cell r="E371">
            <v>12376.555990909092</v>
          </cell>
          <cell r="F371">
            <v>1.2376555990909091</v>
          </cell>
          <cell r="G371">
            <v>73.45082882676769</v>
          </cell>
          <cell r="H371">
            <v>7.3450828826767687E-3</v>
          </cell>
          <cell r="I371">
            <v>1205.3583333333333</v>
          </cell>
          <cell r="J371">
            <v>0.12053583333333333</v>
          </cell>
        </row>
        <row r="372">
          <cell r="A372" t="str">
            <v>20100117</v>
          </cell>
          <cell r="B372" t="str">
            <v>EMPAQUE TOPPING MELOCOTON PLANTA 2000G</v>
          </cell>
          <cell r="C372" t="str">
            <v>BOLSA</v>
          </cell>
          <cell r="D372" t="str">
            <v>GRAMO</v>
          </cell>
          <cell r="E372">
            <v>2475.3111981818179</v>
          </cell>
          <cell r="F372">
            <v>1.2376555990909088</v>
          </cell>
          <cell r="G372">
            <v>26.73494576535354</v>
          </cell>
          <cell r="H372">
            <v>1.336747288267677E-2</v>
          </cell>
          <cell r="I372">
            <v>296.07166666666666</v>
          </cell>
          <cell r="J372">
            <v>0.14803583333333334</v>
          </cell>
        </row>
        <row r="373">
          <cell r="A373" t="str">
            <v>20500039</v>
          </cell>
          <cell r="B373" t="str">
            <v>TOPPING MELOCOON C/TOPPING 8000G PLANTA</v>
          </cell>
          <cell r="C373" t="str">
            <v>TANDA</v>
          </cell>
          <cell r="D373" t="str">
            <v>GRAMO</v>
          </cell>
          <cell r="E373">
            <v>11210.111968745454</v>
          </cell>
          <cell r="F373">
            <v>1.4012639960931816</v>
          </cell>
          <cell r="G373">
            <v>38.222176783227283</v>
          </cell>
          <cell r="H373">
            <v>4.7777720979034106E-3</v>
          </cell>
          <cell r="I373">
            <v>674.69675000000007</v>
          </cell>
          <cell r="J373">
            <v>8.4337093750000008E-2</v>
          </cell>
        </row>
        <row r="374">
          <cell r="A374" t="str">
            <v>90100056</v>
          </cell>
          <cell r="B374" t="str">
            <v>SALSA TOMATE NUEVAPLANTA 5950G</v>
          </cell>
          <cell r="C374" t="str">
            <v>TANDA</v>
          </cell>
          <cell r="D374" t="str">
            <v>GRAMO</v>
          </cell>
          <cell r="E374">
            <v>9784.4693420111053</v>
          </cell>
          <cell r="F374">
            <v>1.6444486289094296</v>
          </cell>
          <cell r="G374">
            <v>0</v>
          </cell>
          <cell r="H374">
            <v>0</v>
          </cell>
          <cell r="I374">
            <v>1100</v>
          </cell>
          <cell r="J374">
            <v>0.18487394957983194</v>
          </cell>
        </row>
        <row r="375">
          <cell r="A375" t="str">
            <v>90100232</v>
          </cell>
          <cell r="B375" t="str">
            <v>STRIPS RP 15850G</v>
          </cell>
          <cell r="C375" t="str">
            <v>TANDA</v>
          </cell>
          <cell r="D375" t="str">
            <v>GRAMO</v>
          </cell>
          <cell r="E375">
            <v>68056.679166666669</v>
          </cell>
          <cell r="F375">
            <v>4.2937967928496317</v>
          </cell>
          <cell r="G375">
            <v>0</v>
          </cell>
          <cell r="H375">
            <v>0</v>
          </cell>
          <cell r="I375">
            <v>4400</v>
          </cell>
          <cell r="J375">
            <v>0.27760252365930599</v>
          </cell>
        </row>
        <row r="376">
          <cell r="A376" t="str">
            <v>90100159</v>
          </cell>
          <cell r="B376" t="str">
            <v>PATACONES RP UND</v>
          </cell>
          <cell r="C376" t="str">
            <v>UND</v>
          </cell>
          <cell r="D376" t="str">
            <v>UND</v>
          </cell>
          <cell r="E376">
            <v>60.769213483146068</v>
          </cell>
          <cell r="F376">
            <v>60.769213483146068</v>
          </cell>
          <cell r="G376">
            <v>1.3627415730337077E-3</v>
          </cell>
          <cell r="H376">
            <v>1.3627415730337077E-3</v>
          </cell>
          <cell r="I376">
            <v>5.5673595505617977</v>
          </cell>
          <cell r="J376">
            <v>5.5673595505617977</v>
          </cell>
        </row>
        <row r="377">
          <cell r="A377" t="str">
            <v>90100196</v>
          </cell>
          <cell r="B377" t="str">
            <v>REPOLLO RALLADO ROTIPOLLOS 14500G</v>
          </cell>
          <cell r="C377" t="str">
            <v>TANDA</v>
          </cell>
          <cell r="D377" t="str">
            <v>GRAMO</v>
          </cell>
          <cell r="E377">
            <v>6080</v>
          </cell>
          <cell r="F377">
            <v>0.41931034482758622</v>
          </cell>
          <cell r="G377">
            <v>0</v>
          </cell>
          <cell r="H377">
            <v>0</v>
          </cell>
          <cell r="I377">
            <v>385</v>
          </cell>
          <cell r="J377">
            <v>2.6551724137931033E-2</v>
          </cell>
        </row>
        <row r="378">
          <cell r="A378" t="str">
            <v>90100197</v>
          </cell>
          <cell r="B378" t="str">
            <v>ZANAHORIA RALLADA ROSTIPOLLOS 3700G</v>
          </cell>
          <cell r="C378" t="str">
            <v>TANDA</v>
          </cell>
          <cell r="D378" t="str">
            <v>GRAMO</v>
          </cell>
          <cell r="E378">
            <v>2460</v>
          </cell>
          <cell r="F378">
            <v>0.66486486486486485</v>
          </cell>
          <cell r="G378">
            <v>0</v>
          </cell>
          <cell r="H378">
            <v>0</v>
          </cell>
          <cell r="I378">
            <v>385</v>
          </cell>
          <cell r="J378">
            <v>0.10405405405405406</v>
          </cell>
        </row>
        <row r="379">
          <cell r="A379" t="str">
            <v>90100287</v>
          </cell>
          <cell r="B379" t="str">
            <v>CHILE RALLADO RP 2400G</v>
          </cell>
          <cell r="C379" t="str">
            <v>TANDA</v>
          </cell>
          <cell r="D379" t="str">
            <v>GRAMO</v>
          </cell>
          <cell r="E379">
            <v>3285</v>
          </cell>
          <cell r="F379">
            <v>1.3687499999999999</v>
          </cell>
          <cell r="G379">
            <v>0</v>
          </cell>
          <cell r="H379">
            <v>0</v>
          </cell>
          <cell r="I379">
            <v>385</v>
          </cell>
          <cell r="J379">
            <v>0.16041666666666668</v>
          </cell>
        </row>
        <row r="380">
          <cell r="A380" t="str">
            <v>90100276</v>
          </cell>
          <cell r="B380" t="str">
            <v>BATIDO DE VAINILLA RP 27500G</v>
          </cell>
          <cell r="C380" t="str">
            <v>TANDA</v>
          </cell>
          <cell r="D380" t="str">
            <v>GRAMO</v>
          </cell>
          <cell r="E380">
            <v>34551.182990282527</v>
          </cell>
          <cell r="F380">
            <v>1.256406654192092</v>
          </cell>
          <cell r="G380">
            <v>4.5687514697894255E-5</v>
          </cell>
          <cell r="H380">
            <v>1.6613641708325183E-9</v>
          </cell>
          <cell r="I380">
            <v>440</v>
          </cell>
          <cell r="J380">
            <v>1.6E-2</v>
          </cell>
        </row>
        <row r="381">
          <cell r="A381" t="str">
            <v>90100277</v>
          </cell>
          <cell r="B381" t="str">
            <v>ROSQUETE DE VAINILLA RP (1100G)</v>
          </cell>
          <cell r="C381" t="str">
            <v>UND</v>
          </cell>
          <cell r="D381" t="str">
            <v>UND</v>
          </cell>
          <cell r="E381">
            <v>1382.8785947790864</v>
          </cell>
          <cell r="F381">
            <v>1382.8785947790864</v>
          </cell>
          <cell r="G381">
            <v>1.1341300671140942E-2</v>
          </cell>
          <cell r="H381">
            <v>1.1341300671140942E-2</v>
          </cell>
          <cell r="I381">
            <v>94.655369127516792</v>
          </cell>
          <cell r="J381">
            <v>94.655369127516792</v>
          </cell>
        </row>
        <row r="382">
          <cell r="A382" t="str">
            <v>90100278</v>
          </cell>
          <cell r="B382" t="str">
            <v>ENSAMBLE TORTA VAINILLA RP</v>
          </cell>
          <cell r="C382" t="str">
            <v>UND</v>
          </cell>
          <cell r="D382" t="str">
            <v>UND</v>
          </cell>
          <cell r="E382">
            <v>4249.5394535523583</v>
          </cell>
          <cell r="F382">
            <v>4249.5394535523583</v>
          </cell>
          <cell r="G382">
            <v>275.0164492263159</v>
          </cell>
          <cell r="H382">
            <v>275.0164492263159</v>
          </cell>
          <cell r="I382">
            <v>4249.5394535523583</v>
          </cell>
          <cell r="J382">
            <v>456.13340346148783</v>
          </cell>
        </row>
        <row r="383">
          <cell r="A383" t="str">
            <v>90100288</v>
          </cell>
          <cell r="B383" t="str">
            <v>RELLENO MELOCOTON BUCCA  16000G</v>
          </cell>
          <cell r="C383" t="str">
            <v>TANDA</v>
          </cell>
          <cell r="D383" t="str">
            <v>GRAMO</v>
          </cell>
          <cell r="E383">
            <v>22739.972676923077</v>
          </cell>
          <cell r="F383">
            <v>1.4212482923076923</v>
          </cell>
          <cell r="G383">
            <v>0</v>
          </cell>
          <cell r="H383">
            <v>0</v>
          </cell>
          <cell r="I383">
            <v>825</v>
          </cell>
          <cell r="J383">
            <v>5.1562499999999997E-2</v>
          </cell>
        </row>
        <row r="384">
          <cell r="A384" t="str">
            <v>90100289</v>
          </cell>
          <cell r="B384" t="str">
            <v>EMPAQUE RELLENO MELOCOTON BUCCA 4000G</v>
          </cell>
          <cell r="C384" t="str">
            <v>TANDA</v>
          </cell>
          <cell r="D384" t="str">
            <v>GRAMO</v>
          </cell>
          <cell r="E384">
            <v>5684.9931692307691</v>
          </cell>
          <cell r="F384">
            <v>1.4212482923076923</v>
          </cell>
          <cell r="G384">
            <v>12.027854444444444</v>
          </cell>
          <cell r="H384">
            <v>3.006963611111111E-3</v>
          </cell>
          <cell r="I384">
            <v>261.25</v>
          </cell>
          <cell r="J384">
            <v>6.5312499999999996E-2</v>
          </cell>
        </row>
        <row r="385">
          <cell r="A385" t="str">
            <v>907000088</v>
          </cell>
          <cell r="B385" t="str">
            <v>ROSQUETE SUPER ESPONJA 250G</v>
          </cell>
          <cell r="C385" t="str">
            <v>UND</v>
          </cell>
          <cell r="D385" t="str">
            <v>UND</v>
          </cell>
          <cell r="E385">
            <v>342.19956566918029</v>
          </cell>
          <cell r="F385">
            <v>342.19956566918029</v>
          </cell>
          <cell r="G385">
            <v>3.225383877796784</v>
          </cell>
          <cell r="H385">
            <v>3.225383877796784</v>
          </cell>
          <cell r="I385">
            <v>12.772742170347644</v>
          </cell>
          <cell r="J385">
            <v>12.772742170347644</v>
          </cell>
        </row>
        <row r="386">
          <cell r="A386" t="str">
            <v>907000005</v>
          </cell>
          <cell r="B386" t="str">
            <v>MEZCLA FLAN COCO SPOON 14000G</v>
          </cell>
          <cell r="C386" t="str">
            <v>TANDA</v>
          </cell>
          <cell r="D386" t="str">
            <v>GRAMO</v>
          </cell>
          <cell r="E386">
            <v>28505.621473458821</v>
          </cell>
          <cell r="F386">
            <v>2.0361158195327729</v>
          </cell>
          <cell r="G386">
            <v>1.4543684425234092E-4</v>
          </cell>
          <cell r="H386">
            <v>1.0388346018024351E-8</v>
          </cell>
          <cell r="I386">
            <v>550</v>
          </cell>
          <cell r="J386">
            <v>3.9285714285714285E-2</v>
          </cell>
        </row>
        <row r="387">
          <cell r="A387" t="str">
            <v>906000051</v>
          </cell>
          <cell r="B387" t="str">
            <v>SOMBRERO PALMITO FROLA 65G</v>
          </cell>
          <cell r="C387" t="str">
            <v>UND</v>
          </cell>
          <cell r="D387" t="str">
            <v>UND</v>
          </cell>
          <cell r="E387">
            <v>91.65801588330207</v>
          </cell>
          <cell r="F387">
            <v>91.65801588330207</v>
          </cell>
          <cell r="G387">
            <v>1.9184015901103857</v>
          </cell>
          <cell r="H387">
            <v>1.9184015901103857</v>
          </cell>
          <cell r="I387">
            <v>38.22613334084074</v>
          </cell>
          <cell r="J387">
            <v>38.22613334084074</v>
          </cell>
        </row>
        <row r="388">
          <cell r="A388" t="str">
            <v>903000155</v>
          </cell>
          <cell r="B388" t="str">
            <v>CUADRO HOJALDRE ENCHILADA PAPA</v>
          </cell>
          <cell r="C388" t="str">
            <v>UND</v>
          </cell>
          <cell r="D388" t="str">
            <v>UND</v>
          </cell>
          <cell r="E388">
            <v>28.199774758511111</v>
          </cell>
          <cell r="F388">
            <v>28.199774758511111</v>
          </cell>
          <cell r="G388">
            <v>0.11780661953323908</v>
          </cell>
          <cell r="H388">
            <v>0.11780661953323908</v>
          </cell>
          <cell r="I388">
            <v>12.402463725894815</v>
          </cell>
          <cell r="J388">
            <v>12.402463725894815</v>
          </cell>
        </row>
        <row r="389">
          <cell r="A389" t="str">
            <v>903000127</v>
          </cell>
          <cell r="B389" t="str">
            <v>ENCHILADA PAPA Y CARNE</v>
          </cell>
          <cell r="C389" t="str">
            <v>UND</v>
          </cell>
          <cell r="D389" t="str">
            <v>UND</v>
          </cell>
          <cell r="E389">
            <v>188.15803653845248</v>
          </cell>
          <cell r="F389">
            <v>188.15803653845248</v>
          </cell>
          <cell r="G389">
            <v>0.41355966518192949</v>
          </cell>
          <cell r="H389">
            <v>0.41355966518192949</v>
          </cell>
          <cell r="I389">
            <v>32.825871204054749</v>
          </cell>
          <cell r="J389">
            <v>32.825871204054749</v>
          </cell>
        </row>
        <row r="390">
          <cell r="A390" t="str">
            <v>905000073</v>
          </cell>
          <cell r="B390" t="str">
            <v>RELLENO PAPA CON CARNE ENCHILADA</v>
          </cell>
          <cell r="C390" t="str">
            <v>TANDA</v>
          </cell>
          <cell r="D390" t="str">
            <v>GRAMO</v>
          </cell>
          <cell r="E390">
            <v>14483.312060873948</v>
          </cell>
          <cell r="F390">
            <v>2.4138853434789915</v>
          </cell>
          <cell r="G390">
            <v>3.4014410714285717</v>
          </cell>
          <cell r="H390">
            <v>5.6690684523809528E-4</v>
          </cell>
          <cell r="I390">
            <v>1008.3333333333333</v>
          </cell>
          <cell r="J390">
            <v>0.16805555555555554</v>
          </cell>
        </row>
        <row r="391">
          <cell r="A391" t="str">
            <v>903000173</v>
          </cell>
          <cell r="B391" t="str">
            <v>CIRCULO HOJALDRE 6 CM</v>
          </cell>
          <cell r="C391" t="str">
            <v>UND</v>
          </cell>
          <cell r="D391" t="str">
            <v>UND</v>
          </cell>
          <cell r="E391">
            <v>15.178328251236945</v>
          </cell>
          <cell r="F391">
            <v>15.178328251236945</v>
          </cell>
          <cell r="G391">
            <v>6.0375892510785033E-2</v>
          </cell>
          <cell r="H391">
            <v>6.0375892510785033E-2</v>
          </cell>
          <cell r="I391">
            <v>5.5083459928544265</v>
          </cell>
          <cell r="J391">
            <v>5.5083459928544265</v>
          </cell>
        </row>
        <row r="392">
          <cell r="A392" t="str">
            <v>903000174</v>
          </cell>
          <cell r="B392" t="str">
            <v>ARREGLADO MINI</v>
          </cell>
          <cell r="C392" t="str">
            <v>UND</v>
          </cell>
          <cell r="D392" t="str">
            <v>UND</v>
          </cell>
          <cell r="E392">
            <v>16.938328251236943</v>
          </cell>
          <cell r="F392">
            <v>16.938328251236943</v>
          </cell>
          <cell r="G392">
            <v>0.36531751251078504</v>
          </cell>
          <cell r="H392">
            <v>0.36531751251078504</v>
          </cell>
          <cell r="I392">
            <v>6.0583459928544263</v>
          </cell>
          <cell r="J392">
            <v>6.0583459928544263</v>
          </cell>
        </row>
        <row r="393">
          <cell r="A393" t="str">
            <v>907000221</v>
          </cell>
          <cell r="B393" t="str">
            <v>BATIDO BROWNIE BLONDIE</v>
          </cell>
          <cell r="C393" t="str">
            <v>TANDA</v>
          </cell>
          <cell r="D393" t="str">
            <v>GRAMO</v>
          </cell>
          <cell r="E393">
            <v>19788.55594117647</v>
          </cell>
          <cell r="F393">
            <v>1.9788555941176469</v>
          </cell>
          <cell r="G393">
            <v>0</v>
          </cell>
          <cell r="H393">
            <v>0</v>
          </cell>
          <cell r="I393">
            <v>275</v>
          </cell>
          <cell r="J393">
            <v>2.75E-2</v>
          </cell>
        </row>
        <row r="394">
          <cell r="A394" t="str">
            <v>907000222</v>
          </cell>
          <cell r="B394" t="str">
            <v>PLANCHA BROWNIE BLONDIE</v>
          </cell>
          <cell r="C394" t="str">
            <v>UND</v>
          </cell>
          <cell r="D394" t="str">
            <v>UND</v>
          </cell>
          <cell r="E394">
            <v>4190.6290235294118</v>
          </cell>
          <cell r="F394">
            <v>4190.6290235294118</v>
          </cell>
          <cell r="G394">
            <v>111.21710400000001</v>
          </cell>
          <cell r="H394">
            <v>111.21710400000001</v>
          </cell>
          <cell r="I394">
            <v>55</v>
          </cell>
          <cell r="J394">
            <v>55</v>
          </cell>
        </row>
        <row r="395">
          <cell r="A395" t="str">
            <v>96333</v>
          </cell>
          <cell r="B395" t="str">
            <v>MEZCLA TRES LECHES CON DULCE LECHE</v>
          </cell>
          <cell r="C395" t="str">
            <v>TANDA</v>
          </cell>
          <cell r="D395" t="str">
            <v>GRAMO</v>
          </cell>
          <cell r="E395">
            <v>7978.930311008</v>
          </cell>
          <cell r="F395">
            <v>1.5957860622016</v>
          </cell>
          <cell r="G395">
            <v>5.3780174999999995</v>
          </cell>
          <cell r="H395">
            <v>1.0756034999999998E-3</v>
          </cell>
          <cell r="I395">
            <v>153.56</v>
          </cell>
          <cell r="J395">
            <v>3.0712E-2</v>
          </cell>
        </row>
        <row r="396">
          <cell r="A396" t="str">
            <v>905000061</v>
          </cell>
          <cell r="B396" t="str">
            <v>Crema Chantilly Fucsia</v>
          </cell>
          <cell r="C396" t="str">
            <v>TANDA</v>
          </cell>
          <cell r="D396" t="str">
            <v>GRAMO</v>
          </cell>
          <cell r="E396">
            <v>18642.174413199999</v>
          </cell>
          <cell r="F396">
            <v>1.9022626952244897</v>
          </cell>
          <cell r="G396">
            <v>0</v>
          </cell>
          <cell r="H396">
            <v>0</v>
          </cell>
          <cell r="I396">
            <v>550</v>
          </cell>
          <cell r="J396">
            <v>5.6122448979591837E-2</v>
          </cell>
        </row>
        <row r="397">
          <cell r="A397" t="str">
            <v>95237</v>
          </cell>
          <cell r="B397" t="str">
            <v>PASTEL PALMITO PEQ</v>
          </cell>
          <cell r="C397" t="str">
            <v>UND</v>
          </cell>
          <cell r="D397" t="str">
            <v>UND</v>
          </cell>
          <cell r="E397">
            <v>184.50862978491162</v>
          </cell>
          <cell r="F397">
            <v>184.50862978491162</v>
          </cell>
          <cell r="G397">
            <v>3.0933846334028137</v>
          </cell>
          <cell r="H397">
            <v>3.0933846334028137</v>
          </cell>
          <cell r="I397">
            <v>59.574693822721429</v>
          </cell>
          <cell r="J397">
            <v>59.574693822721429</v>
          </cell>
        </row>
        <row r="398">
          <cell r="A398" t="str">
            <v>90100098</v>
          </cell>
          <cell r="B398" t="str">
            <v>RELLENO PASTEL ALMENDRAS 7500G</v>
          </cell>
          <cell r="C398" t="str">
            <v>TANDA</v>
          </cell>
          <cell r="D398" t="str">
            <v>GRAMO</v>
          </cell>
          <cell r="E398">
            <v>15080.066657318017</v>
          </cell>
          <cell r="F398">
            <v>2.0106755543090689</v>
          </cell>
          <cell r="G398">
            <v>34.418857142857149</v>
          </cell>
          <cell r="H398">
            <v>4.5891809523809536E-3</v>
          </cell>
          <cell r="I398">
            <v>550</v>
          </cell>
          <cell r="J398">
            <v>7.3333333333333334E-2</v>
          </cell>
        </row>
        <row r="399">
          <cell r="A399" t="str">
            <v>90100099</v>
          </cell>
          <cell r="B399" t="str">
            <v>PIE ALMENDRAS Y PECANAS PERSONAL</v>
          </cell>
          <cell r="C399" t="str">
            <v>UND</v>
          </cell>
          <cell r="D399" t="str">
            <v>UND</v>
          </cell>
          <cell r="E399">
            <v>223.11516382003214</v>
          </cell>
          <cell r="F399">
            <v>223.11516382003214</v>
          </cell>
          <cell r="G399">
            <v>1.0054282854078063</v>
          </cell>
          <cell r="H399">
            <v>1.0054282854078063</v>
          </cell>
          <cell r="I399">
            <v>54.949213516922292</v>
          </cell>
          <cell r="J399">
            <v>54.949213516922292</v>
          </cell>
        </row>
        <row r="400">
          <cell r="A400" t="str">
            <v>903000162</v>
          </cell>
          <cell r="B400" t="str">
            <v>RUEDA PASTA FROLA EMPANA POLLO Y CEBOLLA</v>
          </cell>
          <cell r="C400" t="str">
            <v>UND</v>
          </cell>
          <cell r="D400" t="str">
            <v>UND</v>
          </cell>
          <cell r="E400">
            <v>35.299909185482043</v>
          </cell>
          <cell r="F400">
            <v>35.299909185482043</v>
          </cell>
          <cell r="G400">
            <v>0.14620371576944172</v>
          </cell>
          <cell r="H400">
            <v>0.14620371576944172</v>
          </cell>
          <cell r="I400">
            <v>13.078384887484008</v>
          </cell>
          <cell r="J400">
            <v>13.078384887484008</v>
          </cell>
        </row>
        <row r="401">
          <cell r="A401" t="str">
            <v>902000013</v>
          </cell>
          <cell r="B401" t="str">
            <v>RELLENO POLLO Y CEBOLLA 400G</v>
          </cell>
          <cell r="C401" t="str">
            <v>PAQ</v>
          </cell>
          <cell r="D401" t="str">
            <v>GRAMO</v>
          </cell>
          <cell r="E401">
            <v>1554.2800282203368</v>
          </cell>
          <cell r="F401">
            <v>3.885700070550842</v>
          </cell>
          <cell r="G401">
            <v>16.491913485116637</v>
          </cell>
          <cell r="H401">
            <v>4.1229783712791596E-2</v>
          </cell>
          <cell r="I401">
            <v>94.590803754408284</v>
          </cell>
          <cell r="J401">
            <v>0.2364770093860207</v>
          </cell>
        </row>
        <row r="402">
          <cell r="A402" t="str">
            <v>903000100</v>
          </cell>
          <cell r="B402" t="str">
            <v>EMPANADA POLLO Y CEBOLLA 72G</v>
          </cell>
          <cell r="C402" t="str">
            <v>UND</v>
          </cell>
          <cell r="D402" t="str">
            <v>UND</v>
          </cell>
          <cell r="E402">
            <v>192.72245786881328</v>
          </cell>
          <cell r="F402">
            <v>192.72245786881328</v>
          </cell>
          <cell r="G402">
            <v>2.305521314392962</v>
          </cell>
          <cell r="H402">
            <v>2.305521314392962</v>
          </cell>
          <cell r="I402">
            <v>31.713360117510963</v>
          </cell>
          <cell r="J402">
            <v>31.713360117510963</v>
          </cell>
        </row>
        <row r="403">
          <cell r="A403" t="str">
            <v>906000086</v>
          </cell>
          <cell r="B403" t="str">
            <v>EMPANADA PIÑA Y COCO 85G</v>
          </cell>
          <cell r="C403" t="str">
            <v>UND</v>
          </cell>
          <cell r="D403" t="str">
            <v>UND</v>
          </cell>
          <cell r="E403">
            <v>123.83184685326725</v>
          </cell>
          <cell r="F403">
            <v>123.83184685326725</v>
          </cell>
          <cell r="G403">
            <v>0.95754501644058276</v>
          </cell>
          <cell r="H403">
            <v>0.95754501644058276</v>
          </cell>
          <cell r="I403">
            <v>20.467087348334118</v>
          </cell>
          <cell r="J403">
            <v>20.467087348334118</v>
          </cell>
        </row>
        <row r="404">
          <cell r="A404" t="str">
            <v>901000182</v>
          </cell>
          <cell r="B404" t="str">
            <v>ADEREZO CULANTRO 2400G</v>
          </cell>
          <cell r="C404" t="str">
            <v>TANDA</v>
          </cell>
          <cell r="D404" t="str">
            <v>GRAMO</v>
          </cell>
          <cell r="E404">
            <v>4534.0574728730599</v>
          </cell>
          <cell r="F404">
            <v>1.8891906136971082</v>
          </cell>
          <cell r="G404">
            <v>14.437899462426836</v>
          </cell>
          <cell r="H404">
            <v>6.0157914426778487E-3</v>
          </cell>
          <cell r="I404">
            <v>205.6984989507886</v>
          </cell>
          <cell r="J404">
            <v>8.5707707896161917E-2</v>
          </cell>
        </row>
        <row r="405">
          <cell r="A405" t="str">
            <v>907000064</v>
          </cell>
          <cell r="B405" t="str">
            <v>ROSQUETE ZANAHORIA RECT (900g)</v>
          </cell>
          <cell r="C405" t="str">
            <v>UND</v>
          </cell>
          <cell r="D405" t="str">
            <v>UND</v>
          </cell>
          <cell r="E405">
            <v>1486.4085368633203</v>
          </cell>
          <cell r="F405">
            <v>1486.4085368633203</v>
          </cell>
          <cell r="G405">
            <v>11.738226791491613</v>
          </cell>
          <cell r="H405">
            <v>11.738226791491613</v>
          </cell>
          <cell r="I405">
            <v>142.08472634928557</v>
          </cell>
          <cell r="J405">
            <v>142.08472634928557</v>
          </cell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CREMA"/>
      <sheetName val="COSTEO CREMA"/>
      <sheetName val="REC ENSAMBLE"/>
      <sheetName val="COSTEO ENSAMBLE"/>
      <sheetName val="PRECIO"/>
      <sheetName val="WM"/>
    </sheetNames>
    <sheetDataSet>
      <sheetData sheetId="0"/>
      <sheetData sheetId="1"/>
      <sheetData sheetId="2"/>
      <sheetData sheetId="3">
        <row r="12">
          <cell r="E12">
            <v>1.6296909809523807</v>
          </cell>
        </row>
        <row r="26">
          <cell r="E26">
            <v>2.6666666666666668E-2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0B51-34D4-4195-B6FB-D2FBB0B227ED}">
  <dimension ref="A1:I58"/>
  <sheetViews>
    <sheetView tabSelected="1" view="pageBreakPreview" zoomScale="60" zoomScaleNormal="85" workbookViewId="0">
      <selection activeCell="Q14" sqref="Q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250"/>
      <c r="B1" s="251"/>
      <c r="C1" s="256" t="s">
        <v>0</v>
      </c>
      <c r="D1" s="256"/>
      <c r="E1" s="256"/>
      <c r="F1" s="256"/>
      <c r="G1" s="256"/>
      <c r="H1" s="1" t="s">
        <v>1</v>
      </c>
      <c r="I1" s="15" t="s">
        <v>181</v>
      </c>
    </row>
    <row r="2" spans="1:9" ht="16.5" thickBot="1" x14ac:dyDescent="0.3">
      <c r="A2" s="252"/>
      <c r="B2" s="253"/>
      <c r="C2" s="257" t="s">
        <v>2</v>
      </c>
      <c r="D2" s="257"/>
      <c r="E2" s="257"/>
      <c r="F2" s="257"/>
      <c r="G2" s="257"/>
      <c r="H2" s="2" t="s">
        <v>3</v>
      </c>
      <c r="I2" s="14" t="s">
        <v>158</v>
      </c>
    </row>
    <row r="3" spans="1:9" ht="15.95" customHeight="1" thickBot="1" x14ac:dyDescent="0.25">
      <c r="A3" s="252"/>
      <c r="B3" s="253"/>
      <c r="C3" s="258" t="s">
        <v>157</v>
      </c>
      <c r="D3" s="259"/>
      <c r="E3" s="259"/>
      <c r="F3" s="259"/>
      <c r="G3" s="260"/>
      <c r="H3" s="261" t="s">
        <v>4</v>
      </c>
      <c r="I3" s="241">
        <v>45609</v>
      </c>
    </row>
    <row r="4" spans="1:9" ht="13.5" x14ac:dyDescent="0.25">
      <c r="A4" s="252"/>
      <c r="B4" s="253"/>
      <c r="C4" s="3" t="s">
        <v>5</v>
      </c>
      <c r="D4" s="244" t="s">
        <v>153</v>
      </c>
      <c r="E4" s="245"/>
      <c r="F4" s="245"/>
      <c r="G4" s="246"/>
      <c r="H4" s="262"/>
      <c r="I4" s="242"/>
    </row>
    <row r="5" spans="1:9" ht="14.25" thickBot="1" x14ac:dyDescent="0.3">
      <c r="A5" s="254"/>
      <c r="B5" s="255"/>
      <c r="C5" s="4" t="s">
        <v>6</v>
      </c>
      <c r="D5" s="247" t="s">
        <v>159</v>
      </c>
      <c r="E5" s="248"/>
      <c r="F5" s="248"/>
      <c r="G5" s="249"/>
      <c r="H5" s="263"/>
      <c r="I5" s="243"/>
    </row>
    <row r="6" spans="1:9" ht="18.75" thickBot="1" x14ac:dyDescent="0.3">
      <c r="A6" s="264" t="s">
        <v>154</v>
      </c>
      <c r="B6" s="264"/>
      <c r="C6" s="264"/>
      <c r="D6" s="265" t="s">
        <v>155</v>
      </c>
      <c r="E6" s="265"/>
      <c r="F6" s="265"/>
      <c r="G6" s="266" t="s">
        <v>156</v>
      </c>
      <c r="H6" s="266"/>
      <c r="I6" s="169" t="s">
        <v>155</v>
      </c>
    </row>
    <row r="7" spans="1:9" x14ac:dyDescent="0.2">
      <c r="A7" s="267" t="s">
        <v>7</v>
      </c>
      <c r="B7" s="269" t="s">
        <v>160</v>
      </c>
      <c r="C7" s="271" t="s">
        <v>8</v>
      </c>
      <c r="D7" s="271" t="s">
        <v>9</v>
      </c>
      <c r="E7" s="271" t="s">
        <v>10</v>
      </c>
      <c r="F7" s="271"/>
      <c r="G7" s="271" t="s">
        <v>161</v>
      </c>
      <c r="H7" s="271"/>
      <c r="I7" s="170" t="s">
        <v>162</v>
      </c>
    </row>
    <row r="8" spans="1:9" ht="26.25" thickBot="1" x14ac:dyDescent="0.25">
      <c r="A8" s="268"/>
      <c r="B8" s="270"/>
      <c r="C8" s="272"/>
      <c r="D8" s="272"/>
      <c r="E8" s="171" t="s">
        <v>12</v>
      </c>
      <c r="F8" s="172" t="s">
        <v>13</v>
      </c>
      <c r="G8" s="171" t="s">
        <v>12</v>
      </c>
      <c r="H8" s="172" t="s">
        <v>13</v>
      </c>
      <c r="I8" s="173" t="s">
        <v>163</v>
      </c>
    </row>
    <row r="9" spans="1:9" ht="15" x14ac:dyDescent="0.25">
      <c r="A9" s="174"/>
      <c r="B9" s="175"/>
      <c r="C9" s="176" t="s">
        <v>164</v>
      </c>
      <c r="D9" s="177"/>
      <c r="E9" s="178"/>
      <c r="F9" s="179"/>
      <c r="G9" s="178"/>
      <c r="H9" s="179"/>
      <c r="I9" s="180"/>
    </row>
    <row r="10" spans="1:9" ht="15.95" customHeight="1" x14ac:dyDescent="0.25">
      <c r="A10" s="12" t="s">
        <v>142</v>
      </c>
      <c r="B10" s="165" t="s">
        <v>143</v>
      </c>
      <c r="C10" s="161" t="s">
        <v>165</v>
      </c>
      <c r="D10" s="9" t="s">
        <v>152</v>
      </c>
      <c r="E10" s="6">
        <v>1560</v>
      </c>
      <c r="F10" s="7" t="s">
        <v>15</v>
      </c>
      <c r="G10" s="13">
        <v>12</v>
      </c>
      <c r="H10" s="181" t="s">
        <v>69</v>
      </c>
      <c r="I10" s="180"/>
    </row>
    <row r="11" spans="1:9" ht="15" x14ac:dyDescent="0.25">
      <c r="A11" s="12" t="s">
        <v>134</v>
      </c>
      <c r="B11" s="165" t="s">
        <v>137</v>
      </c>
      <c r="C11" s="8" t="s">
        <v>135</v>
      </c>
      <c r="D11" s="162" t="s">
        <v>166</v>
      </c>
      <c r="E11" s="6">
        <v>1800</v>
      </c>
      <c r="F11" s="7" t="s">
        <v>15</v>
      </c>
      <c r="G11" s="13">
        <v>200</v>
      </c>
      <c r="H11" s="181" t="s">
        <v>167</v>
      </c>
      <c r="I11" s="180"/>
    </row>
    <row r="12" spans="1:9" ht="15" x14ac:dyDescent="0.25">
      <c r="A12" s="163" t="s">
        <v>144</v>
      </c>
      <c r="B12" s="166" t="s">
        <v>145</v>
      </c>
      <c r="C12" s="164" t="s">
        <v>18</v>
      </c>
      <c r="D12" s="9" t="s">
        <v>152</v>
      </c>
      <c r="E12" s="5">
        <v>300</v>
      </c>
      <c r="F12" s="7" t="s">
        <v>15</v>
      </c>
      <c r="G12" s="6"/>
      <c r="H12" s="181"/>
      <c r="I12" s="180"/>
    </row>
    <row r="13" spans="1:9" ht="15" x14ac:dyDescent="0.25">
      <c r="A13" s="12" t="s">
        <v>134</v>
      </c>
      <c r="B13" s="165" t="s">
        <v>137</v>
      </c>
      <c r="C13" s="8" t="s">
        <v>135</v>
      </c>
      <c r="D13" s="9" t="s">
        <v>17</v>
      </c>
      <c r="E13" s="6">
        <v>120</v>
      </c>
      <c r="F13" s="7" t="s">
        <v>15</v>
      </c>
      <c r="G13" s="6">
        <f>+E11+E13+E14</f>
        <v>2040</v>
      </c>
      <c r="H13" s="181"/>
      <c r="I13" s="180"/>
    </row>
    <row r="14" spans="1:9" ht="15" x14ac:dyDescent="0.25">
      <c r="A14" s="12" t="s">
        <v>134</v>
      </c>
      <c r="B14" s="165" t="s">
        <v>137</v>
      </c>
      <c r="C14" s="8" t="s">
        <v>135</v>
      </c>
      <c r="D14" s="9" t="s">
        <v>17</v>
      </c>
      <c r="E14" s="6">
        <v>120</v>
      </c>
      <c r="F14" s="7" t="s">
        <v>15</v>
      </c>
      <c r="G14" s="6"/>
      <c r="H14" s="181"/>
      <c r="I14" s="180"/>
    </row>
    <row r="15" spans="1:9" ht="15" x14ac:dyDescent="0.25">
      <c r="A15" s="182"/>
      <c r="B15" s="183"/>
      <c r="C15" s="184"/>
      <c r="D15" s="9"/>
      <c r="E15" s="10"/>
      <c r="F15" s="11"/>
      <c r="G15" s="185"/>
      <c r="H15" s="181"/>
      <c r="I15" s="180"/>
    </row>
    <row r="16" spans="1:9" ht="15" x14ac:dyDescent="0.25">
      <c r="A16" s="182"/>
      <c r="B16" s="183"/>
      <c r="C16" s="184"/>
      <c r="D16" s="9"/>
      <c r="E16" s="10"/>
      <c r="F16" s="11"/>
      <c r="G16" s="185"/>
      <c r="H16" s="181"/>
      <c r="I16" s="180"/>
    </row>
    <row r="17" spans="1:9" ht="15" x14ac:dyDescent="0.25">
      <c r="A17" s="186"/>
      <c r="B17" s="186"/>
      <c r="C17" s="187"/>
      <c r="D17" s="162"/>
      <c r="E17" s="188"/>
      <c r="F17" s="189"/>
      <c r="G17" s="185"/>
      <c r="H17" s="181"/>
      <c r="I17" s="180"/>
    </row>
    <row r="18" spans="1:9" ht="15" x14ac:dyDescent="0.25">
      <c r="A18" s="159"/>
      <c r="B18" s="159"/>
      <c r="C18" s="160"/>
      <c r="D18" s="190"/>
      <c r="E18" s="191"/>
      <c r="F18" s="192"/>
      <c r="G18" s="193"/>
      <c r="H18" s="181"/>
      <c r="I18" s="180"/>
    </row>
    <row r="19" spans="1:9" ht="15" x14ac:dyDescent="0.25">
      <c r="A19" s="159"/>
      <c r="B19" s="159"/>
      <c r="C19" s="194"/>
      <c r="D19" s="195"/>
      <c r="E19" s="195"/>
      <c r="F19" s="196"/>
      <c r="G19" s="178"/>
      <c r="H19" s="197"/>
      <c r="I19" s="180"/>
    </row>
    <row r="20" spans="1:9" ht="15.75" x14ac:dyDescent="0.25">
      <c r="A20" s="198"/>
      <c r="B20" s="199"/>
      <c r="C20" s="200" t="s">
        <v>168</v>
      </c>
      <c r="D20" s="201" t="s">
        <v>169</v>
      </c>
      <c r="E20" s="202"/>
      <c r="F20" s="196"/>
      <c r="G20" s="178"/>
      <c r="H20" s="197"/>
      <c r="I20" s="180"/>
    </row>
    <row r="21" spans="1:9" ht="15.75" x14ac:dyDescent="0.25">
      <c r="A21" s="203"/>
      <c r="B21" s="159"/>
      <c r="C21" s="160"/>
      <c r="D21" s="204"/>
      <c r="E21" s="204"/>
      <c r="F21" s="204"/>
      <c r="G21" s="178"/>
      <c r="H21" s="197"/>
      <c r="I21" s="180"/>
    </row>
    <row r="22" spans="1:9" ht="15.75" x14ac:dyDescent="0.25">
      <c r="A22" s="203"/>
      <c r="B22" s="159"/>
      <c r="C22" s="160"/>
      <c r="D22" s="9"/>
      <c r="E22" s="204"/>
      <c r="F22" s="204"/>
      <c r="G22" s="178"/>
      <c r="H22" s="197"/>
      <c r="I22" s="180"/>
    </row>
    <row r="23" spans="1:9" ht="15.75" x14ac:dyDescent="0.25">
      <c r="A23" s="203"/>
      <c r="B23" s="159"/>
      <c r="C23" s="160"/>
      <c r="D23" s="9"/>
      <c r="E23" s="204"/>
      <c r="F23" s="204"/>
      <c r="G23" s="178"/>
      <c r="H23" s="197"/>
      <c r="I23" s="180"/>
    </row>
    <row r="24" spans="1:9" ht="15" x14ac:dyDescent="0.25">
      <c r="A24" s="159"/>
      <c r="B24" s="159"/>
      <c r="C24" s="194"/>
      <c r="D24" s="195"/>
      <c r="E24" s="201"/>
      <c r="F24" s="196"/>
      <c r="G24" s="178"/>
      <c r="H24" s="197"/>
      <c r="I24" s="180"/>
    </row>
    <row r="25" spans="1:9" ht="15" x14ac:dyDescent="0.25">
      <c r="A25" s="159"/>
      <c r="B25" s="159"/>
      <c r="C25" s="194"/>
      <c r="D25" s="205" t="s">
        <v>169</v>
      </c>
      <c r="E25" s="206"/>
      <c r="F25" s="207"/>
      <c r="G25" s="178"/>
      <c r="H25" s="197"/>
      <c r="I25" s="180"/>
    </row>
    <row r="26" spans="1:9" ht="15.75" x14ac:dyDescent="0.25">
      <c r="A26" s="208"/>
      <c r="B26" s="209"/>
      <c r="C26" s="210" t="s">
        <v>170</v>
      </c>
      <c r="D26" s="211" t="s">
        <v>169</v>
      </c>
      <c r="E26" s="178"/>
      <c r="F26" s="179"/>
      <c r="G26" s="178"/>
      <c r="H26" s="197"/>
      <c r="I26" s="180"/>
    </row>
    <row r="27" spans="1:9" ht="15.75" x14ac:dyDescent="0.25">
      <c r="A27" s="212" t="s">
        <v>20</v>
      </c>
      <c r="B27" s="159" t="s">
        <v>138</v>
      </c>
      <c r="C27" s="159" t="s">
        <v>21</v>
      </c>
      <c r="D27" s="165" t="s">
        <v>169</v>
      </c>
      <c r="E27" s="213">
        <v>4</v>
      </c>
      <c r="F27" s="214" t="s">
        <v>22</v>
      </c>
      <c r="G27" s="185"/>
      <c r="H27" s="197" t="str">
        <f>UPPER(D27)</f>
        <v/>
      </c>
      <c r="I27" s="180"/>
    </row>
    <row r="28" spans="1:9" ht="15.75" x14ac:dyDescent="0.25">
      <c r="A28" s="159" t="s">
        <v>23</v>
      </c>
      <c r="B28" s="159" t="s">
        <v>139</v>
      </c>
      <c r="C28" s="160" t="s">
        <v>24</v>
      </c>
      <c r="D28" s="204" t="s">
        <v>169</v>
      </c>
      <c r="E28" s="213">
        <v>10</v>
      </c>
      <c r="F28" s="215" t="s">
        <v>25</v>
      </c>
      <c r="G28" s="216"/>
      <c r="H28" s="197"/>
      <c r="I28" s="180"/>
    </row>
    <row r="29" spans="1:9" ht="15.75" x14ac:dyDescent="0.25">
      <c r="A29" s="217" t="s">
        <v>26</v>
      </c>
      <c r="B29" s="217" t="s">
        <v>146</v>
      </c>
      <c r="C29" s="8" t="s">
        <v>27</v>
      </c>
      <c r="D29" s="204" t="s">
        <v>171</v>
      </c>
      <c r="E29" s="204">
        <v>28</v>
      </c>
      <c r="F29" s="215" t="s">
        <v>22</v>
      </c>
      <c r="G29" s="178"/>
      <c r="H29" s="197"/>
      <c r="I29" s="180"/>
    </row>
    <row r="30" spans="1:9" ht="15.75" x14ac:dyDescent="0.25">
      <c r="A30" s="168">
        <v>702012</v>
      </c>
      <c r="B30" s="159" t="s">
        <v>147</v>
      </c>
      <c r="C30" t="s">
        <v>172</v>
      </c>
      <c r="D30" s="204" t="s">
        <v>173</v>
      </c>
      <c r="E30" s="213">
        <v>28</v>
      </c>
      <c r="F30" s="11" t="s">
        <v>22</v>
      </c>
      <c r="G30" s="178"/>
      <c r="H30" s="197"/>
      <c r="I30" s="180"/>
    </row>
    <row r="31" spans="1:9" ht="15.75" x14ac:dyDescent="0.25">
      <c r="A31" s="12"/>
      <c r="B31" s="165" t="s">
        <v>150</v>
      </c>
      <c r="C31" s="8" t="s">
        <v>151</v>
      </c>
      <c r="D31" s="204" t="s">
        <v>174</v>
      </c>
      <c r="E31" s="213">
        <v>24</v>
      </c>
      <c r="F31" s="215" t="s">
        <v>22</v>
      </c>
      <c r="G31" s="178"/>
      <c r="H31" s="197"/>
      <c r="I31" s="180"/>
    </row>
    <row r="32" spans="1:9" ht="15.75" x14ac:dyDescent="0.25">
      <c r="A32" s="218" t="s">
        <v>148</v>
      </c>
      <c r="B32" s="168" t="s">
        <v>149</v>
      </c>
      <c r="C32" s="160" t="s">
        <v>175</v>
      </c>
      <c r="D32" s="204" t="s">
        <v>169</v>
      </c>
      <c r="E32" s="213">
        <v>24</v>
      </c>
      <c r="F32" s="215" t="s">
        <v>22</v>
      </c>
      <c r="G32" s="219"/>
      <c r="H32" s="197"/>
      <c r="I32" s="180"/>
    </row>
    <row r="33" spans="1:9" ht="15.75" x14ac:dyDescent="0.25">
      <c r="A33" s="159" t="s">
        <v>33</v>
      </c>
      <c r="B33" s="159" t="s">
        <v>140</v>
      </c>
      <c r="C33" s="160" t="s">
        <v>176</v>
      </c>
      <c r="D33" s="220" t="s">
        <v>169</v>
      </c>
      <c r="E33" s="213">
        <v>48</v>
      </c>
      <c r="F33" s="213" t="s">
        <v>22</v>
      </c>
      <c r="G33" s="195"/>
      <c r="H33" s="197"/>
      <c r="I33" s="180"/>
    </row>
    <row r="34" spans="1:9" ht="15.75" x14ac:dyDescent="0.25">
      <c r="A34" s="159" t="s">
        <v>34</v>
      </c>
      <c r="B34" s="159" t="s">
        <v>141</v>
      </c>
      <c r="C34" s="160" t="s">
        <v>177</v>
      </c>
      <c r="D34" s="220" t="s">
        <v>169</v>
      </c>
      <c r="E34" s="213">
        <v>2</v>
      </c>
      <c r="F34" s="213" t="s">
        <v>22</v>
      </c>
      <c r="G34" s="195"/>
      <c r="H34" s="197" t="str">
        <f t="shared" ref="H34" si="0">UPPER(D34)</f>
        <v/>
      </c>
      <c r="I34" s="180"/>
    </row>
    <row r="35" spans="1:9" ht="15.75" x14ac:dyDescent="0.25">
      <c r="A35" s="159"/>
      <c r="B35" s="168"/>
      <c r="C35" s="160"/>
      <c r="D35" s="204"/>
      <c r="E35" s="213"/>
      <c r="F35" s="11"/>
      <c r="G35" s="195"/>
      <c r="H35" s="201"/>
      <c r="I35" s="180"/>
    </row>
    <row r="36" spans="1:9" ht="15.75" x14ac:dyDescent="0.25">
      <c r="A36" s="198"/>
      <c r="B36" s="199"/>
      <c r="C36" s="221"/>
      <c r="D36" s="201"/>
      <c r="E36" s="201"/>
      <c r="F36" s="196"/>
      <c r="G36" s="222"/>
      <c r="H36" s="222"/>
      <c r="I36" s="180"/>
    </row>
    <row r="37" spans="1:9" ht="14.25" thickBot="1" x14ac:dyDescent="0.3">
      <c r="A37" s="223"/>
      <c r="B37" s="224"/>
      <c r="C37" s="225"/>
      <c r="D37" s="225"/>
      <c r="E37" s="226"/>
      <c r="F37" s="227"/>
      <c r="G37" s="225"/>
      <c r="H37" s="225"/>
      <c r="I37" s="228"/>
    </row>
    <row r="38" spans="1:9" ht="14.25" thickBot="1" x14ac:dyDescent="0.3">
      <c r="A38" s="229"/>
      <c r="B38" s="230"/>
      <c r="C38" s="231"/>
      <c r="D38" s="232" t="s">
        <v>12</v>
      </c>
      <c r="E38" s="233" t="s">
        <v>11</v>
      </c>
      <c r="F38" s="234"/>
      <c r="G38" s="231"/>
      <c r="H38" s="231"/>
      <c r="I38" s="235"/>
    </row>
    <row r="39" spans="1:9" ht="13.5" x14ac:dyDescent="0.25">
      <c r="A39" s="273" t="s">
        <v>35</v>
      </c>
      <c r="B39" s="274"/>
      <c r="C39" s="275"/>
      <c r="D39" s="236">
        <v>3840</v>
      </c>
      <c r="E39" s="237" t="s">
        <v>15</v>
      </c>
      <c r="F39" s="276" t="s">
        <v>178</v>
      </c>
      <c r="G39" s="276"/>
      <c r="H39" s="277"/>
      <c r="I39" s="278"/>
    </row>
    <row r="40" spans="1:9" ht="13.5" x14ac:dyDescent="0.25">
      <c r="A40" s="279" t="s">
        <v>36</v>
      </c>
      <c r="B40" s="280"/>
      <c r="C40" s="281"/>
      <c r="D40" s="238">
        <v>35</v>
      </c>
      <c r="E40" s="167" t="s">
        <v>37</v>
      </c>
      <c r="F40" s="282" t="s">
        <v>38</v>
      </c>
      <c r="G40" s="282"/>
      <c r="H40" s="283"/>
      <c r="I40" s="284"/>
    </row>
    <row r="41" spans="1:9" ht="13.5" x14ac:dyDescent="0.25">
      <c r="A41" s="279" t="s">
        <v>39</v>
      </c>
      <c r="B41" s="280"/>
      <c r="C41" s="281"/>
      <c r="D41" s="167">
        <v>4</v>
      </c>
      <c r="E41" s="167" t="s">
        <v>40</v>
      </c>
      <c r="F41" s="282" t="s">
        <v>179</v>
      </c>
      <c r="G41" s="282"/>
      <c r="H41" s="283"/>
      <c r="I41" s="284"/>
    </row>
    <row r="42" spans="1:9" ht="13.5" x14ac:dyDescent="0.25">
      <c r="A42" s="279" t="s">
        <v>41</v>
      </c>
      <c r="B42" s="280"/>
      <c r="C42" s="281"/>
      <c r="D42" s="167">
        <v>960</v>
      </c>
      <c r="E42" s="167" t="s">
        <v>15</v>
      </c>
      <c r="F42" s="288" t="s">
        <v>180</v>
      </c>
      <c r="G42" s="289"/>
      <c r="H42" s="283"/>
      <c r="I42" s="284"/>
    </row>
    <row r="43" spans="1:9" ht="14.25" thickBot="1" x14ac:dyDescent="0.3">
      <c r="A43" s="290" t="s">
        <v>42</v>
      </c>
      <c r="B43" s="291"/>
      <c r="C43" s="292"/>
      <c r="D43" s="239">
        <v>60</v>
      </c>
      <c r="E43" s="240" t="s">
        <v>15</v>
      </c>
      <c r="F43" s="293"/>
      <c r="G43" s="293"/>
      <c r="H43" s="294"/>
      <c r="I43" s="295"/>
    </row>
    <row r="44" spans="1:9" ht="13.5" thickBot="1" x14ac:dyDescent="0.25">
      <c r="A44" s="296" t="s">
        <v>43</v>
      </c>
      <c r="B44" s="297"/>
      <c r="C44" s="297"/>
      <c r="D44" s="297"/>
      <c r="E44" s="297"/>
      <c r="F44" s="297"/>
      <c r="G44" s="297"/>
      <c r="H44" s="297"/>
      <c r="I44" s="298"/>
    </row>
    <row r="45" spans="1:9" ht="14.45" customHeight="1" x14ac:dyDescent="0.25">
      <c r="A45" s="299" t="s">
        <v>44</v>
      </c>
      <c r="B45" s="300"/>
      <c r="C45" s="300"/>
      <c r="D45" s="300"/>
      <c r="E45" s="300"/>
      <c r="F45" s="300"/>
      <c r="G45" s="300"/>
      <c r="H45" s="300"/>
      <c r="I45" s="301"/>
    </row>
    <row r="46" spans="1:9" ht="14.45" customHeight="1" x14ac:dyDescent="0.25">
      <c r="A46" s="285" t="s">
        <v>45</v>
      </c>
      <c r="B46" s="286"/>
      <c r="C46" s="286"/>
      <c r="D46" s="286"/>
      <c r="E46" s="286"/>
      <c r="F46" s="286"/>
      <c r="G46" s="286"/>
      <c r="H46" s="286"/>
      <c r="I46" s="287"/>
    </row>
    <row r="47" spans="1:9" ht="14.45" customHeight="1" x14ac:dyDescent="0.25">
      <c r="A47" s="285" t="s">
        <v>46</v>
      </c>
      <c r="B47" s="286"/>
      <c r="C47" s="286"/>
      <c r="D47" s="286"/>
      <c r="E47" s="286"/>
      <c r="F47" s="286"/>
      <c r="G47" s="286"/>
      <c r="H47" s="286"/>
      <c r="I47" s="287"/>
    </row>
    <row r="48" spans="1:9" ht="13.5" x14ac:dyDescent="0.25">
      <c r="A48" s="304" t="s">
        <v>47</v>
      </c>
      <c r="B48" s="305"/>
      <c r="C48" s="305"/>
      <c r="D48" s="305"/>
      <c r="E48" s="305"/>
      <c r="F48" s="305"/>
      <c r="G48" s="305"/>
      <c r="H48" s="305"/>
      <c r="I48" s="306"/>
    </row>
    <row r="49" spans="1:9" ht="13.5" x14ac:dyDescent="0.25">
      <c r="A49" s="304" t="s">
        <v>48</v>
      </c>
      <c r="B49" s="305"/>
      <c r="C49" s="305"/>
      <c r="D49" s="305"/>
      <c r="E49" s="305"/>
      <c r="F49" s="305"/>
      <c r="G49" s="305"/>
      <c r="H49" s="305"/>
      <c r="I49" s="306"/>
    </row>
    <row r="50" spans="1:9" ht="13.5" x14ac:dyDescent="0.25">
      <c r="A50" s="285" t="s">
        <v>49</v>
      </c>
      <c r="B50" s="286"/>
      <c r="C50" s="286"/>
      <c r="D50" s="286"/>
      <c r="E50" s="286"/>
      <c r="F50" s="286"/>
      <c r="G50" s="286"/>
      <c r="H50" s="286"/>
      <c r="I50" s="287"/>
    </row>
    <row r="51" spans="1:9" ht="13.5" x14ac:dyDescent="0.25">
      <c r="A51" s="304" t="s">
        <v>50</v>
      </c>
      <c r="B51" s="305"/>
      <c r="C51" s="305"/>
      <c r="D51" s="305"/>
      <c r="E51" s="305"/>
      <c r="F51" s="305"/>
      <c r="G51" s="305"/>
      <c r="H51" s="305"/>
      <c r="I51" s="306"/>
    </row>
    <row r="52" spans="1:9" ht="13.5" x14ac:dyDescent="0.25">
      <c r="A52" s="304" t="s">
        <v>51</v>
      </c>
      <c r="B52" s="305"/>
      <c r="C52" s="305"/>
      <c r="D52" s="305"/>
      <c r="E52" s="305"/>
      <c r="F52" s="305"/>
      <c r="G52" s="305"/>
      <c r="H52" s="305"/>
      <c r="I52" s="306"/>
    </row>
    <row r="53" spans="1:9" ht="18" customHeight="1" x14ac:dyDescent="0.25">
      <c r="A53" s="304" t="s">
        <v>52</v>
      </c>
      <c r="B53" s="305"/>
      <c r="C53" s="305"/>
      <c r="D53" s="305"/>
      <c r="E53" s="305"/>
      <c r="F53" s="305"/>
      <c r="G53" s="305"/>
      <c r="H53" s="305"/>
      <c r="I53" s="306"/>
    </row>
    <row r="54" spans="1:9" ht="13.5" x14ac:dyDescent="0.25">
      <c r="A54" s="304" t="s">
        <v>53</v>
      </c>
      <c r="B54" s="305"/>
      <c r="C54" s="305"/>
      <c r="D54" s="305"/>
      <c r="E54" s="305"/>
      <c r="F54" s="305"/>
      <c r="G54" s="305"/>
      <c r="H54" s="305"/>
      <c r="I54" s="306"/>
    </row>
    <row r="55" spans="1:9" ht="14.25" thickBot="1" x14ac:dyDescent="0.3">
      <c r="A55" s="307"/>
      <c r="B55" s="308"/>
      <c r="C55" s="308"/>
      <c r="D55" s="308"/>
      <c r="E55" s="308"/>
      <c r="F55" s="308"/>
      <c r="G55" s="308"/>
      <c r="H55" s="308"/>
      <c r="I55" s="309"/>
    </row>
    <row r="56" spans="1:9" x14ac:dyDescent="0.2">
      <c r="A56" s="310" t="s">
        <v>136</v>
      </c>
      <c r="B56" s="311"/>
      <c r="C56" s="311"/>
      <c r="D56" s="311"/>
      <c r="E56" s="311"/>
      <c r="F56" s="311"/>
      <c r="G56" s="311"/>
      <c r="H56" s="311"/>
      <c r="I56" s="311"/>
    </row>
    <row r="57" spans="1:9" ht="13.5" x14ac:dyDescent="0.25">
      <c r="A57" s="302"/>
      <c r="B57" s="303"/>
      <c r="C57" s="303"/>
      <c r="D57" s="303"/>
      <c r="E57" s="303"/>
      <c r="F57" s="303"/>
      <c r="G57" s="303"/>
      <c r="H57" s="303"/>
      <c r="I57" s="303"/>
    </row>
    <row r="58" spans="1:9" ht="13.5" x14ac:dyDescent="0.25">
      <c r="A58" s="302"/>
      <c r="B58" s="303"/>
      <c r="C58" s="303"/>
      <c r="D58" s="303"/>
      <c r="E58" s="303"/>
      <c r="F58" s="303"/>
      <c r="G58" s="303"/>
      <c r="H58" s="303"/>
      <c r="I58" s="303"/>
    </row>
  </sheetData>
  <mergeCells count="47"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7"/>
  <sheetViews>
    <sheetView topLeftCell="A15" workbookViewId="0">
      <selection activeCell="E27" sqref="E27"/>
    </sheetView>
  </sheetViews>
  <sheetFormatPr baseColWidth="10" defaultColWidth="8.42578125" defaultRowHeight="12.75" x14ac:dyDescent="0.2"/>
  <cols>
    <col min="1" max="1" width="10" style="22" bestFit="1" customWidth="1"/>
    <col min="2" max="2" width="44.28515625" style="22" bestFit="1" customWidth="1"/>
    <col min="3" max="3" width="10.42578125" style="22" bestFit="1" customWidth="1"/>
    <col min="4" max="4" width="10.42578125" style="22" customWidth="1"/>
    <col min="5" max="5" width="9.7109375" style="22" bestFit="1" customWidth="1"/>
    <col min="6" max="6" width="9.5703125" style="22" bestFit="1" customWidth="1"/>
    <col min="7" max="7" width="9.5703125" style="102" bestFit="1" customWidth="1"/>
    <col min="8" max="8" width="10.42578125" style="93" bestFit="1" customWidth="1"/>
    <col min="9" max="9" width="4.5703125" style="93" customWidth="1"/>
    <col min="10" max="10" width="1.7109375" style="21" customWidth="1"/>
    <col min="11" max="11" width="7" style="22" bestFit="1" customWidth="1"/>
    <col min="12" max="12" width="6.28515625" style="22" customWidth="1"/>
    <col min="13" max="13" width="20.42578125" style="22" customWidth="1"/>
    <col min="14" max="14" width="6.42578125" style="22" bestFit="1" customWidth="1"/>
    <col min="15" max="15" width="9.7109375" style="22" customWidth="1"/>
    <col min="16" max="16" width="8.42578125" style="22"/>
    <col min="17" max="17" width="3.28515625" style="22" customWidth="1"/>
    <col min="18" max="16384" width="8.42578125" style="22"/>
  </cols>
  <sheetData>
    <row r="1" spans="1:10" ht="27.75" customHeight="1" x14ac:dyDescent="0.2">
      <c r="A1" s="17"/>
      <c r="B1" s="17"/>
      <c r="C1" s="17"/>
      <c r="D1" s="17"/>
      <c r="E1" s="18" t="s">
        <v>54</v>
      </c>
      <c r="F1" s="19" t="s">
        <v>55</v>
      </c>
      <c r="G1" s="19" t="s">
        <v>56</v>
      </c>
      <c r="H1" s="19" t="s">
        <v>57</v>
      </c>
      <c r="I1" s="20"/>
    </row>
    <row r="2" spans="1:10" ht="30.75" customHeight="1" x14ac:dyDescent="0.2">
      <c r="A2" s="17"/>
      <c r="B2" s="17"/>
      <c r="C2" s="17"/>
      <c r="D2" s="17"/>
      <c r="E2" s="23">
        <f>IFERROR(O58,"")</f>
        <v>3685.4122095696366</v>
      </c>
      <c r="F2" s="23">
        <f>IFERROR(H49,"")</f>
        <v>1503.4056163481582</v>
      </c>
      <c r="G2" s="23">
        <f>IFERROR(H50,"")</f>
        <v>741.70573483187547</v>
      </c>
      <c r="H2" s="23">
        <f>IFERROR(H52,"")</f>
        <v>540.37064736122238</v>
      </c>
      <c r="I2" s="24"/>
    </row>
    <row r="3" spans="1:10" ht="15" customHeight="1" x14ac:dyDescent="0.2">
      <c r="A3" s="17"/>
      <c r="B3" s="17"/>
      <c r="C3" s="17"/>
      <c r="D3" s="17"/>
      <c r="E3" s="17"/>
      <c r="F3" s="25"/>
      <c r="G3" s="25"/>
      <c r="H3" s="25"/>
      <c r="I3" s="25"/>
    </row>
    <row r="4" spans="1:10" ht="24.75" customHeight="1" thickBot="1" x14ac:dyDescent="0.25">
      <c r="A4" s="312"/>
      <c r="B4" s="312"/>
      <c r="C4" s="312"/>
      <c r="D4" s="312"/>
      <c r="E4" s="312"/>
      <c r="F4" s="312"/>
      <c r="G4" s="312"/>
      <c r="H4" s="312"/>
      <c r="I4" s="26"/>
    </row>
    <row r="5" spans="1:10" ht="19.5" customHeight="1" thickBot="1" x14ac:dyDescent="0.25">
      <c r="A5" s="313" t="s">
        <v>58</v>
      </c>
      <c r="B5" s="314"/>
      <c r="C5" s="314"/>
      <c r="D5" s="314"/>
      <c r="E5" s="314"/>
      <c r="F5" s="314"/>
      <c r="G5" s="314"/>
      <c r="H5" s="315"/>
      <c r="I5" s="27"/>
    </row>
    <row r="6" spans="1:10" ht="19.5" thickBot="1" x14ac:dyDescent="0.25">
      <c r="A6" s="27"/>
      <c r="B6" s="27"/>
      <c r="C6" s="27"/>
      <c r="D6" s="27"/>
      <c r="E6" s="27"/>
      <c r="F6" s="316" t="s">
        <v>59</v>
      </c>
      <c r="G6" s="316"/>
      <c r="H6" s="28">
        <f ca="1">TODAY()</f>
        <v>45745</v>
      </c>
      <c r="I6" s="28"/>
    </row>
    <row r="7" spans="1:10" ht="26.25" thickBot="1" x14ac:dyDescent="0.25">
      <c r="A7" s="29" t="s">
        <v>60</v>
      </c>
      <c r="B7" s="30" t="s">
        <v>61</v>
      </c>
      <c r="C7" s="30" t="s">
        <v>60</v>
      </c>
      <c r="D7" s="31" t="s">
        <v>62</v>
      </c>
      <c r="E7" s="31" t="s">
        <v>63</v>
      </c>
      <c r="F7" s="31" t="s">
        <v>64</v>
      </c>
      <c r="G7" s="31" t="s">
        <v>65</v>
      </c>
      <c r="H7" s="32" t="s">
        <v>66</v>
      </c>
      <c r="I7" s="33"/>
    </row>
    <row r="8" spans="1:10" ht="13.5" x14ac:dyDescent="0.25">
      <c r="A8" s="34">
        <v>2040</v>
      </c>
      <c r="B8" s="22" t="str">
        <f>IFERROR(VLOOKUP($H8,'[1]MP PLANTA'!$A$2:$F$500,2,0),"")</f>
        <v>MANJAR DE LECHE CONDENSADA ( 4.5 KG )</v>
      </c>
      <c r="C8" s="35">
        <f>+A8</f>
        <v>2040</v>
      </c>
      <c r="D8" s="36" t="str">
        <f>IFERROR(VLOOKUP($H8,'[1]MP PLANTA'!$A$2:$F$500,5,0),"")</f>
        <v>Gramo</v>
      </c>
      <c r="E8" s="36">
        <f>IFERROR(VLOOKUP($H8,'[1]MP PLANTA'!$A$2:$F$500,6,0),"")</f>
        <v>1.978960853</v>
      </c>
      <c r="F8" s="36">
        <f>IFERROR(C8*E8,"")</f>
        <v>4037.0801401200001</v>
      </c>
      <c r="G8" s="37">
        <f>IFERROR(F8/$F$62,"")</f>
        <v>0.36522080823458164</v>
      </c>
      <c r="H8" s="38" t="s">
        <v>16</v>
      </c>
      <c r="I8" s="38"/>
      <c r="J8" s="39"/>
    </row>
    <row r="9" spans="1:10" ht="13.5" hidden="1" x14ac:dyDescent="0.25">
      <c r="A9" s="34"/>
      <c r="B9" s="22" t="str">
        <f>IFERROR(VLOOKUP($H9,'[1]MP PLANTA'!$A$2:$F$500,2,0),"")</f>
        <v/>
      </c>
      <c r="C9" s="35">
        <f t="shared" ref="C9:C14" si="0">+A9</f>
        <v>0</v>
      </c>
      <c r="D9" s="36" t="str">
        <f>IFERROR(VLOOKUP($H9,'[1]MP PLANTA'!$A$2:$F$500,5,0),"")</f>
        <v/>
      </c>
      <c r="E9" s="36" t="str">
        <f>IFERROR(VLOOKUP($H9,'[1]MP PLANTA'!$A$2:$F$500,6,0),"")</f>
        <v/>
      </c>
      <c r="F9" s="36" t="str">
        <f t="shared" ref="F9:F14" si="1">IFERROR(C9*E9,"")</f>
        <v/>
      </c>
      <c r="G9" s="37" t="str">
        <f t="shared" ref="G9:G14" si="2">IFERROR(F9/$F$62,"")</f>
        <v/>
      </c>
      <c r="H9" s="38"/>
      <c r="I9" s="38"/>
      <c r="J9" s="39"/>
    </row>
    <row r="10" spans="1:10" ht="13.5" hidden="1" x14ac:dyDescent="0.25">
      <c r="A10" s="34"/>
      <c r="B10" s="22" t="str">
        <f>IFERROR(VLOOKUP($H10,'[1]MP PLANTA'!$A$2:$F$500,2,0),"")</f>
        <v/>
      </c>
      <c r="C10" s="35">
        <f t="shared" si="0"/>
        <v>0</v>
      </c>
      <c r="D10" s="36" t="str">
        <f>IFERROR(VLOOKUP($H10,'[1]MP PLANTA'!$A$2:$F$500,5,0),"")</f>
        <v/>
      </c>
      <c r="E10" s="36" t="str">
        <f>IFERROR(VLOOKUP($H10,'[1]MP PLANTA'!$A$2:$F$500,6,0),"")</f>
        <v/>
      </c>
      <c r="F10" s="36" t="str">
        <f t="shared" si="1"/>
        <v/>
      </c>
      <c r="G10" s="37" t="str">
        <f t="shared" si="2"/>
        <v/>
      </c>
      <c r="H10" s="38"/>
      <c r="I10" s="38"/>
      <c r="J10" s="39"/>
    </row>
    <row r="11" spans="1:10" ht="13.5" hidden="1" x14ac:dyDescent="0.25">
      <c r="A11" s="34"/>
      <c r="B11" s="22" t="str">
        <f>IFERROR(VLOOKUP($H11,'[1]MP PLANTA'!$A$2:$F$500,2,0),"")</f>
        <v/>
      </c>
      <c r="C11" s="35">
        <f t="shared" si="0"/>
        <v>0</v>
      </c>
      <c r="D11" s="36" t="str">
        <f>IFERROR(VLOOKUP($H11,'[1]MP PLANTA'!$A$2:$F$500,5,0),"")</f>
        <v/>
      </c>
      <c r="E11" s="36" t="str">
        <f>IFERROR(VLOOKUP($H11,'[1]MP PLANTA'!$A$2:$F$500,6,0),"")</f>
        <v/>
      </c>
      <c r="F11" s="36" t="str">
        <f t="shared" si="1"/>
        <v/>
      </c>
      <c r="G11" s="37" t="str">
        <f t="shared" si="2"/>
        <v/>
      </c>
      <c r="H11" s="38"/>
      <c r="I11" s="38"/>
      <c r="J11" s="39"/>
    </row>
    <row r="12" spans="1:10" ht="13.5" hidden="1" x14ac:dyDescent="0.25">
      <c r="A12" s="34"/>
      <c r="B12" s="22" t="str">
        <f>IFERROR(VLOOKUP($H12,'[1]MP PLANTA'!$A$2:$F$500,2,0),"")</f>
        <v/>
      </c>
      <c r="C12" s="35">
        <f t="shared" si="0"/>
        <v>0</v>
      </c>
      <c r="D12" s="36" t="str">
        <f>IFERROR(VLOOKUP($H12,'[1]MP PLANTA'!$A$2:$F$500,5,0),"")</f>
        <v/>
      </c>
      <c r="E12" s="36" t="str">
        <f>IFERROR(VLOOKUP($H12,'[1]MP PLANTA'!$A$2:$F$500,6,0),"")</f>
        <v/>
      </c>
      <c r="F12" s="36" t="str">
        <f t="shared" si="1"/>
        <v/>
      </c>
      <c r="G12" s="37" t="str">
        <f t="shared" si="2"/>
        <v/>
      </c>
      <c r="H12" s="38"/>
      <c r="I12" s="38"/>
      <c r="J12" s="39"/>
    </row>
    <row r="13" spans="1:10" ht="13.5" hidden="1" x14ac:dyDescent="0.25">
      <c r="A13" s="34"/>
      <c r="B13" s="22" t="str">
        <f>IFERROR(VLOOKUP($H13,'[1]MP PLANTA'!$A$2:$F$500,2,0),"")</f>
        <v/>
      </c>
      <c r="C13" s="35">
        <f t="shared" si="0"/>
        <v>0</v>
      </c>
      <c r="D13" s="36" t="str">
        <f>IFERROR(VLOOKUP($H13,'[1]MP PLANTA'!$A$2:$F$500,5,0),"")</f>
        <v/>
      </c>
      <c r="E13" s="36" t="str">
        <f>IFERROR(VLOOKUP($H13,'[1]MP PLANTA'!$A$2:$F$500,6,0),"")</f>
        <v/>
      </c>
      <c r="F13" s="36" t="str">
        <f t="shared" si="1"/>
        <v/>
      </c>
      <c r="G13" s="37" t="str">
        <f t="shared" si="2"/>
        <v/>
      </c>
      <c r="H13" s="38"/>
      <c r="I13" s="38"/>
      <c r="J13" s="39"/>
    </row>
    <row r="14" spans="1:10" ht="13.5" hidden="1" x14ac:dyDescent="0.25">
      <c r="A14" s="34"/>
      <c r="B14" s="22" t="str">
        <f>IFERROR(VLOOKUP($H14,'[1]MP PLANTA'!$A$2:$F$500,2,0),"")</f>
        <v/>
      </c>
      <c r="C14" s="35">
        <f t="shared" si="0"/>
        <v>0</v>
      </c>
      <c r="D14" s="36" t="str">
        <f>IFERROR(VLOOKUP($H14,'[1]MP PLANTA'!$A$2:$F$500,5,0),"")</f>
        <v/>
      </c>
      <c r="E14" s="36" t="str">
        <f>IFERROR(VLOOKUP($H14,'[1]MP PLANTA'!$A$2:$F$500,6,0),"")</f>
        <v/>
      </c>
      <c r="F14" s="36" t="str">
        <f t="shared" si="1"/>
        <v/>
      </c>
      <c r="G14" s="37" t="str">
        <f t="shared" si="2"/>
        <v/>
      </c>
      <c r="H14" s="38"/>
      <c r="I14" s="38"/>
      <c r="J14" s="39"/>
    </row>
    <row r="15" spans="1:10" ht="14.25" thickBot="1" x14ac:dyDescent="0.3">
      <c r="A15" s="34"/>
      <c r="C15" s="35"/>
      <c r="D15" s="36"/>
      <c r="E15" s="36"/>
      <c r="F15" s="36"/>
      <c r="G15" s="37"/>
      <c r="H15" s="38"/>
      <c r="I15" s="38"/>
      <c r="J15" s="39"/>
    </row>
    <row r="16" spans="1:10" ht="26.25" thickBot="1" x14ac:dyDescent="0.25">
      <c r="A16" s="29" t="s">
        <v>60</v>
      </c>
      <c r="B16" s="30" t="s">
        <v>67</v>
      </c>
      <c r="C16" s="30" t="s">
        <v>60</v>
      </c>
      <c r="D16" s="31" t="s">
        <v>62</v>
      </c>
      <c r="E16" s="31" t="s">
        <v>63</v>
      </c>
      <c r="F16" s="31" t="s">
        <v>64</v>
      </c>
      <c r="G16" s="31" t="s">
        <v>65</v>
      </c>
      <c r="H16" s="32" t="s">
        <v>66</v>
      </c>
      <c r="I16" s="33"/>
      <c r="J16" s="39"/>
    </row>
    <row r="17" spans="1:12" ht="13.5" x14ac:dyDescent="0.25">
      <c r="A17" s="34">
        <v>12</v>
      </c>
      <c r="B17" s="22" t="str">
        <f>IFERROR(VLOOKUP($H17,[1]SEMIELABORADOS!$A$1:$J$999,2,0),"")</f>
        <v>CORTE GALLETA GDE P/TORTA CHILENA (UND)</v>
      </c>
      <c r="C17" s="35">
        <f>+A17</f>
        <v>12</v>
      </c>
      <c r="D17" s="35" t="str">
        <f>IFERROR(VLOOKUP($H17,[1]SEMIELABORADOS!$A$1:$J$999,4,0),"")</f>
        <v>UND</v>
      </c>
      <c r="E17" s="36">
        <f>IFERROR(VLOOKUP($H17,[1]SEMIELABORADOS!$A$1:$J$999,6,0),"")</f>
        <v>125.51629951264256</v>
      </c>
      <c r="F17" s="36">
        <f>IFERROR(E17*C17,"")</f>
        <v>1506.1955941517108</v>
      </c>
      <c r="G17" s="37">
        <f>IFERROR(F17/$F$62,"")</f>
        <v>0.13626035480165188</v>
      </c>
      <c r="H17" s="38" t="s">
        <v>14</v>
      </c>
      <c r="I17" s="38"/>
      <c r="J17" s="39"/>
    </row>
    <row r="18" spans="1:12" ht="13.5" x14ac:dyDescent="0.25">
      <c r="A18" s="34">
        <v>300</v>
      </c>
      <c r="B18" s="22" t="s">
        <v>18</v>
      </c>
      <c r="C18" s="35">
        <f>+A18</f>
        <v>300</v>
      </c>
      <c r="D18" s="35" t="s">
        <v>68</v>
      </c>
      <c r="E18" s="36">
        <f>+'[2]COSTEO ENSAMBLE'!$E$12</f>
        <v>1.6296909809523807</v>
      </c>
      <c r="F18" s="36">
        <f>IFERROR(E18*C18,"")</f>
        <v>488.90729428571422</v>
      </c>
      <c r="G18" s="37">
        <f>IFERROR(F18/$F$62,"")</f>
        <v>4.4229767795866307E-2</v>
      </c>
      <c r="H18" s="38">
        <v>902000047</v>
      </c>
      <c r="I18" s="38"/>
      <c r="J18" s="39"/>
    </row>
    <row r="19" spans="1:12" ht="13.5" hidden="1" x14ac:dyDescent="0.25">
      <c r="A19" s="34"/>
      <c r="B19" s="22" t="str">
        <f>IFERROR(VLOOKUP($H19,[1]SEMIELABORADOS!$A$1:$J$999,2,0),"")</f>
        <v/>
      </c>
      <c r="C19" s="35">
        <f>+A19</f>
        <v>0</v>
      </c>
      <c r="D19" s="35" t="str">
        <f>IFERROR(VLOOKUP($H19,[1]SEMIELABORADOS!$A$1:$J$999,4,0),"")</f>
        <v/>
      </c>
      <c r="E19" s="36" t="str">
        <f>IFERROR(VLOOKUP($H19,[1]SEMIELABORADOS!$A$1:$J$999,6,0),"")</f>
        <v/>
      </c>
      <c r="F19" s="36" t="str">
        <f>IFERROR(E19*C19,"")</f>
        <v/>
      </c>
      <c r="G19" s="37" t="str">
        <f>IFERROR(F19/$F$62,"")</f>
        <v/>
      </c>
      <c r="H19" s="38"/>
      <c r="I19" s="38"/>
      <c r="J19" s="39"/>
    </row>
    <row r="20" spans="1:12" ht="13.5" hidden="1" x14ac:dyDescent="0.25">
      <c r="A20" s="34"/>
      <c r="B20" s="22" t="str">
        <f>IFERROR(VLOOKUP($H20,[1]SEMIELABORADOS!$A$1:$J$999,2,0),"")</f>
        <v/>
      </c>
      <c r="C20" s="35">
        <f>+A20</f>
        <v>0</v>
      </c>
      <c r="D20" s="35" t="str">
        <f>IFERROR(VLOOKUP($H20,[1]SEMIELABORADOS!$A$1:$J$999,4,0),"")</f>
        <v/>
      </c>
      <c r="E20" s="36" t="str">
        <f>IFERROR(VLOOKUP($H20,[1]SEMIELABORADOS!$A$1:$J$999,6,0),"")</f>
        <v/>
      </c>
      <c r="F20" s="36" t="str">
        <f>IFERROR(E20*C20,"")</f>
        <v/>
      </c>
      <c r="G20" s="37" t="str">
        <f>IFERROR(F20/$F$62,"")</f>
        <v/>
      </c>
      <c r="H20" s="38"/>
      <c r="I20" s="38"/>
      <c r="J20" s="39"/>
    </row>
    <row r="21" spans="1:12" ht="13.5" hidden="1" x14ac:dyDescent="0.25">
      <c r="A21" s="34"/>
      <c r="B21" s="22" t="str">
        <f>IFERROR(VLOOKUP($H21,[1]SEMIELABORADOS!$A$1:$J$999,2,0),"")</f>
        <v/>
      </c>
      <c r="C21" s="35">
        <f>+A21</f>
        <v>0</v>
      </c>
      <c r="D21" s="35" t="str">
        <f>IFERROR(VLOOKUP($H21,[1]SEMIELABORADOS!$A$1:$J$999,4,0),"")</f>
        <v/>
      </c>
      <c r="E21" s="36" t="str">
        <f>IFERROR(VLOOKUP($H21,[1]SEMIELABORADOS!$A$1:$J$999,6,0),"")</f>
        <v/>
      </c>
      <c r="F21" s="36" t="str">
        <f>IFERROR(E21*C21,"")</f>
        <v/>
      </c>
      <c r="G21" s="37" t="str">
        <f>IFERROR(F21/$F$62,"")</f>
        <v/>
      </c>
      <c r="H21" s="38"/>
      <c r="I21" s="38"/>
      <c r="J21" s="39"/>
    </row>
    <row r="22" spans="1:12" ht="14.25" thickBot="1" x14ac:dyDescent="0.3">
      <c r="A22" s="34"/>
      <c r="C22" s="35"/>
      <c r="D22" s="35"/>
      <c r="E22" s="36"/>
      <c r="F22" s="36"/>
      <c r="G22" s="37"/>
      <c r="H22" s="38"/>
      <c r="I22" s="38"/>
      <c r="J22" s="39"/>
    </row>
    <row r="23" spans="1:12" ht="26.25" thickBot="1" x14ac:dyDescent="0.25">
      <c r="A23" s="29" t="s">
        <v>60</v>
      </c>
      <c r="B23" s="30" t="s">
        <v>19</v>
      </c>
      <c r="C23" s="30" t="s">
        <v>60</v>
      </c>
      <c r="D23" s="31" t="s">
        <v>62</v>
      </c>
      <c r="E23" s="31" t="s">
        <v>63</v>
      </c>
      <c r="F23" s="31" t="s">
        <v>64</v>
      </c>
      <c r="G23" s="31" t="s">
        <v>65</v>
      </c>
      <c r="H23" s="32" t="s">
        <v>66</v>
      </c>
      <c r="I23" s="33"/>
    </row>
    <row r="24" spans="1:12" ht="13.5" x14ac:dyDescent="0.25">
      <c r="A24" s="34">
        <v>4</v>
      </c>
      <c r="B24" s="40" t="s">
        <v>21</v>
      </c>
      <c r="C24" s="35">
        <f>+A24</f>
        <v>4</v>
      </c>
      <c r="D24" s="36" t="s">
        <v>69</v>
      </c>
      <c r="E24" s="36">
        <v>360</v>
      </c>
      <c r="F24" s="36">
        <f>IFERROR(E24*C24,"")</f>
        <v>1440</v>
      </c>
      <c r="G24" s="37">
        <f>IFERROR(F24/$F$62,"")</f>
        <v>0.13027186620133951</v>
      </c>
      <c r="H24" s="41" t="s">
        <v>20</v>
      </c>
      <c r="I24" s="41"/>
      <c r="J24" s="39"/>
      <c r="K24" s="317"/>
      <c r="L24" s="317"/>
    </row>
    <row r="25" spans="1:12" ht="13.5" x14ac:dyDescent="0.25">
      <c r="A25" s="34">
        <v>10</v>
      </c>
      <c r="B25" s="40" t="s">
        <v>24</v>
      </c>
      <c r="C25" s="35">
        <f t="shared" ref="C25:C32" si="3">+A25</f>
        <v>10</v>
      </c>
      <c r="D25" s="36" t="s">
        <v>70</v>
      </c>
      <c r="E25" s="36">
        <v>0.15</v>
      </c>
      <c r="F25" s="36">
        <f t="shared" ref="F25:F32" si="4">IFERROR(E25*C25,"")</f>
        <v>1.5</v>
      </c>
      <c r="G25" s="37">
        <f t="shared" ref="G25:G32" si="5">IFERROR(F25/$F$62,"")</f>
        <v>1.3569986062639532E-4</v>
      </c>
      <c r="H25" s="41" t="s">
        <v>71</v>
      </c>
      <c r="I25" s="41"/>
      <c r="J25" s="39"/>
      <c r="K25" s="20"/>
      <c r="L25" s="20"/>
    </row>
    <row r="26" spans="1:12" ht="13.5" x14ac:dyDescent="0.25">
      <c r="A26" s="34">
        <v>28</v>
      </c>
      <c r="B26" s="40" t="str">
        <f>IFERROR(VLOOKUP($H26,'[1]EMP PLANTA'!$A$2:$F$500,2,0),"")</f>
        <v>ETIQUETA BLANCA 2 5/8X1 15/16 PRE BLANCA</v>
      </c>
      <c r="C26" s="35">
        <f t="shared" si="3"/>
        <v>28</v>
      </c>
      <c r="D26" s="36" t="str">
        <f>IFERROR(VLOOKUP($H26,'[1]EMP PLANTA'!$A$2:$F$500,5,0),"")</f>
        <v>UND</v>
      </c>
      <c r="E26" s="36">
        <f>IFERROR(VLOOKUP($H26,'[1]EMP PLANTA'!$A$2:$F$500,6,0),"")</f>
        <v>2.2759999999999998</v>
      </c>
      <c r="F26" s="36">
        <f t="shared" si="4"/>
        <v>63.727999999999994</v>
      </c>
      <c r="G26" s="37">
        <f t="shared" si="5"/>
        <v>5.76525381199928E-3</v>
      </c>
      <c r="H26" s="41" t="s">
        <v>26</v>
      </c>
      <c r="I26" s="41"/>
      <c r="J26" s="39"/>
      <c r="K26" s="20"/>
      <c r="L26" s="20"/>
    </row>
    <row r="27" spans="1:12" ht="13.5" x14ac:dyDescent="0.25">
      <c r="A27" s="34">
        <v>28</v>
      </c>
      <c r="B27" s="40" t="str">
        <f>IFERROR(VLOOKUP($H27,'[1]EMP PLANTA'!$A$2:$F$500,2,0),"")</f>
        <v>ETIQ.FECHA VENCIMIENTO VERDE</v>
      </c>
      <c r="C27" s="35">
        <f t="shared" si="3"/>
        <v>28</v>
      </c>
      <c r="D27" s="36" t="str">
        <f>IFERROR(VLOOKUP($H27,'[1]EMP PLANTA'!$A$2:$F$500,5,0),"")</f>
        <v>UND</v>
      </c>
      <c r="E27" s="36">
        <f>IFERROR(VLOOKUP($H27,'[1]EMP PLANTA'!$A$2:$F$500,6,0),"")</f>
        <v>0.21185444444444446</v>
      </c>
      <c r="F27" s="36">
        <f t="shared" si="4"/>
        <v>5.9319244444444443</v>
      </c>
      <c r="G27" s="37">
        <f t="shared" si="5"/>
        <v>5.3664088023827909E-4</v>
      </c>
      <c r="H27" s="41" t="s">
        <v>28</v>
      </c>
      <c r="I27" s="41"/>
      <c r="J27" s="39"/>
      <c r="K27" s="20"/>
      <c r="L27" s="20"/>
    </row>
    <row r="28" spans="1:12" ht="13.5" x14ac:dyDescent="0.25">
      <c r="A28" s="34">
        <v>24</v>
      </c>
      <c r="B28" s="40" t="s">
        <v>30</v>
      </c>
      <c r="C28" s="35">
        <f t="shared" si="3"/>
        <v>24</v>
      </c>
      <c r="D28" s="36" t="s">
        <v>69</v>
      </c>
      <c r="E28" s="36">
        <v>3.5</v>
      </c>
      <c r="F28" s="36">
        <f t="shared" si="4"/>
        <v>84</v>
      </c>
      <c r="G28" s="37">
        <f t="shared" si="5"/>
        <v>7.5991921950781379E-3</v>
      </c>
      <c r="H28" s="41" t="s">
        <v>29</v>
      </c>
      <c r="I28" s="41"/>
      <c r="J28" s="39"/>
      <c r="K28" s="317"/>
      <c r="L28" s="317"/>
    </row>
    <row r="29" spans="1:12" ht="13.5" x14ac:dyDescent="0.25">
      <c r="A29" s="34">
        <v>24</v>
      </c>
      <c r="B29" s="40" t="s">
        <v>32</v>
      </c>
      <c r="C29" s="35">
        <f t="shared" si="3"/>
        <v>24</v>
      </c>
      <c r="D29" s="36" t="s">
        <v>69</v>
      </c>
      <c r="E29" s="36">
        <v>45.04</v>
      </c>
      <c r="F29" s="36">
        <f t="shared" si="4"/>
        <v>1080.96</v>
      </c>
      <c r="G29" s="37">
        <f t="shared" si="5"/>
        <v>9.779074756180553E-2</v>
      </c>
      <c r="H29" s="41" t="s">
        <v>31</v>
      </c>
      <c r="I29" s="41"/>
      <c r="J29" s="39"/>
      <c r="K29" s="317"/>
      <c r="L29" s="317"/>
    </row>
    <row r="30" spans="1:12" ht="13.5" x14ac:dyDescent="0.25">
      <c r="A30" s="34">
        <v>48</v>
      </c>
      <c r="B30" s="40" t="str">
        <f>IFERROR(VLOOKUP($H30,'[1]EMP PLANTA'!$A$2:$F$500,2,0),"")</f>
        <v>ETIQUETA SELLO DE SEGURIDAD (ROLLO=1000 UND)</v>
      </c>
      <c r="C30" s="35">
        <f t="shared" si="3"/>
        <v>48</v>
      </c>
      <c r="D30" s="36" t="str">
        <f>IFERROR(VLOOKUP($H30,'[1]EMP PLANTA'!$A$2:$F$500,5,0),"")</f>
        <v>UND</v>
      </c>
      <c r="E30" s="36">
        <f>IFERROR(VLOOKUP($H30,'[1]EMP PLANTA'!$A$2:$F$500,6,0),"")</f>
        <v>5.8665159999999998</v>
      </c>
      <c r="F30" s="36">
        <f t="shared" si="4"/>
        <v>281.59276799999998</v>
      </c>
      <c r="G30" s="37">
        <f t="shared" si="5"/>
        <v>2.547473291400058E-2</v>
      </c>
      <c r="H30" s="41" t="s">
        <v>33</v>
      </c>
      <c r="I30" s="41"/>
      <c r="J30" s="39"/>
      <c r="K30" s="317"/>
      <c r="L30" s="317"/>
    </row>
    <row r="31" spans="1:12" ht="13.5" x14ac:dyDescent="0.25">
      <c r="A31" s="34">
        <v>2</v>
      </c>
      <c r="B31" s="40" t="str">
        <f>IFERROR(VLOOKUP($H31,'[1]EMP PLANTA'!$A$2:$F$500,2,0),"")</f>
        <v>BOLSA 8x12 TRANSP (KILO)</v>
      </c>
      <c r="C31" s="35">
        <f t="shared" si="3"/>
        <v>2</v>
      </c>
      <c r="D31" s="36" t="str">
        <f>IFERROR(VLOOKUP($H31,'[1]EMP PLANTA'!$A$2:$F$500,5,0),"")</f>
        <v>UND</v>
      </c>
      <c r="E31" s="36">
        <f>IFERROR(VLOOKUP($H31,'[1]EMP PLANTA'!$A$2:$F$500,6,0),"")</f>
        <v>6.75</v>
      </c>
      <c r="F31" s="36">
        <f t="shared" si="4"/>
        <v>13.5</v>
      </c>
      <c r="G31" s="37">
        <f t="shared" si="5"/>
        <v>1.2212987456375578E-3</v>
      </c>
      <c r="H31" s="41" t="s">
        <v>34</v>
      </c>
      <c r="I31" s="41"/>
      <c r="J31" s="39"/>
      <c r="K31" s="42"/>
      <c r="L31" s="43"/>
    </row>
    <row r="32" spans="1:12" ht="13.5" x14ac:dyDescent="0.25">
      <c r="A32" s="34"/>
      <c r="B32" s="40" t="str">
        <f>IFERROR(VLOOKUP($H32,'[1]EMP PLANTA'!$A$2:$F$500,2,0),"")</f>
        <v/>
      </c>
      <c r="C32" s="35">
        <f t="shared" si="3"/>
        <v>0</v>
      </c>
      <c r="D32" s="36" t="str">
        <f>IFERROR(VLOOKUP($H32,'[1]EMP PLANTA'!$A$2:$F$500,5,0),"")</f>
        <v/>
      </c>
      <c r="E32" s="36" t="str">
        <f>IFERROR(VLOOKUP($H32,'[1]EMP PLANTA'!$A$2:$F$500,6,0),"")</f>
        <v/>
      </c>
      <c r="F32" s="36" t="str">
        <f t="shared" si="4"/>
        <v/>
      </c>
      <c r="G32" s="37" t="str">
        <f t="shared" si="5"/>
        <v/>
      </c>
      <c r="H32" s="41"/>
      <c r="I32" s="41"/>
      <c r="J32" s="39"/>
    </row>
    <row r="33" spans="1:10" ht="14.25" thickBot="1" x14ac:dyDescent="0.3">
      <c r="A33" s="34"/>
      <c r="B33" s="40"/>
      <c r="C33" s="35"/>
      <c r="D33" s="36"/>
      <c r="E33" s="36"/>
      <c r="F33" s="36"/>
      <c r="G33" s="37"/>
      <c r="H33" s="41"/>
      <c r="I33" s="41"/>
      <c r="J33" s="39"/>
    </row>
    <row r="34" spans="1:10" ht="26.25" thickBot="1" x14ac:dyDescent="0.25">
      <c r="A34" s="29" t="s">
        <v>60</v>
      </c>
      <c r="B34" s="30" t="s">
        <v>72</v>
      </c>
      <c r="C34" s="30" t="s">
        <v>60</v>
      </c>
      <c r="D34" s="31" t="s">
        <v>62</v>
      </c>
      <c r="E34" s="31" t="s">
        <v>63</v>
      </c>
      <c r="F34" s="31" t="s">
        <v>64</v>
      </c>
      <c r="G34" s="31" t="s">
        <v>65</v>
      </c>
      <c r="H34" s="32" t="s">
        <v>66</v>
      </c>
      <c r="I34" s="33"/>
      <c r="J34" s="39"/>
    </row>
    <row r="35" spans="1:10" ht="13.5" x14ac:dyDescent="0.25">
      <c r="A35" s="34">
        <f>+A17</f>
        <v>12</v>
      </c>
      <c r="B35" s="40" t="s">
        <v>73</v>
      </c>
      <c r="C35" s="35">
        <f>+A35</f>
        <v>12</v>
      </c>
      <c r="D35" s="36" t="s">
        <v>74</v>
      </c>
      <c r="E35" s="36">
        <f>IFERROR(VLOOKUP($H35,[1]SEMIELABORADOS!$A$1:$J$999,8,0),"")</f>
        <v>0.39725898390898567</v>
      </c>
      <c r="F35" s="36">
        <f>IFERROR(E35*C35,"")</f>
        <v>4.7671078069078279</v>
      </c>
      <c r="G35" s="37">
        <f>IFERROR(F35/$F$61,"")</f>
        <v>2.4764196399521183E-3</v>
      </c>
      <c r="H35" s="41" t="s">
        <v>14</v>
      </c>
      <c r="I35" s="41"/>
      <c r="J35" s="39"/>
    </row>
    <row r="36" spans="1:10" ht="13.5" x14ac:dyDescent="0.25">
      <c r="A36" s="34">
        <f>+A18</f>
        <v>300</v>
      </c>
      <c r="B36" s="40" t="s">
        <v>18</v>
      </c>
      <c r="C36" s="35">
        <f>+A36</f>
        <v>300</v>
      </c>
      <c r="D36" s="36" t="s">
        <v>74</v>
      </c>
      <c r="E36" s="36">
        <v>0</v>
      </c>
      <c r="F36" s="36">
        <f>IFERROR(E36*C36,"")</f>
        <v>0</v>
      </c>
      <c r="G36" s="37">
        <f>IFERROR(F36/$F$61,"")</f>
        <v>0</v>
      </c>
      <c r="H36" s="41"/>
      <c r="I36" s="41"/>
      <c r="J36" s="39"/>
    </row>
    <row r="37" spans="1:10" ht="13.5" hidden="1" x14ac:dyDescent="0.25">
      <c r="A37" s="34">
        <f>+A19</f>
        <v>0</v>
      </c>
      <c r="B37" s="40"/>
      <c r="C37" s="35">
        <f>+A37</f>
        <v>0</v>
      </c>
      <c r="D37" s="36" t="s">
        <v>74</v>
      </c>
      <c r="E37" s="36" t="str">
        <f>IFERROR(VLOOKUP($H37,[1]SEMIELABORADOS!$A$1:$J$999,8,0),"")</f>
        <v/>
      </c>
      <c r="F37" s="36" t="str">
        <f>IFERROR(E37*C37,"")</f>
        <v/>
      </c>
      <c r="G37" s="37" t="str">
        <f>IFERROR(F37/$F$61,"")</f>
        <v/>
      </c>
      <c r="H37" s="41"/>
      <c r="I37" s="41"/>
      <c r="J37" s="39"/>
    </row>
    <row r="38" spans="1:10" ht="13.5" hidden="1" x14ac:dyDescent="0.25">
      <c r="A38" s="34">
        <f>+A20</f>
        <v>0</v>
      </c>
      <c r="B38" s="40"/>
      <c r="C38" s="35">
        <f>+A38</f>
        <v>0</v>
      </c>
      <c r="D38" s="36" t="s">
        <v>74</v>
      </c>
      <c r="E38" s="36" t="str">
        <f>IFERROR(VLOOKUP($H38,[1]SEMIELABORADOS!$A$1:$J$999,8,0),"")</f>
        <v/>
      </c>
      <c r="F38" s="36" t="str">
        <f>IFERROR(E38*C38,"")</f>
        <v/>
      </c>
      <c r="G38" s="37" t="str">
        <f>IFERROR(F38/$F$61,"")</f>
        <v/>
      </c>
      <c r="H38" s="41"/>
      <c r="I38" s="41"/>
      <c r="J38" s="39"/>
    </row>
    <row r="39" spans="1:10" ht="13.5" hidden="1" x14ac:dyDescent="0.25">
      <c r="A39" s="34">
        <f>+A21</f>
        <v>0</v>
      </c>
      <c r="B39" s="40"/>
      <c r="C39" s="35">
        <f>+A39</f>
        <v>0</v>
      </c>
      <c r="D39" s="36" t="s">
        <v>74</v>
      </c>
      <c r="E39" s="36" t="str">
        <f>IFERROR(VLOOKUP($H39,[1]SEMIELABORADOS!$A$1:$J$999,8,0),"")</f>
        <v/>
      </c>
      <c r="F39" s="36" t="str">
        <f>IFERROR(E39*C39,"")</f>
        <v/>
      </c>
      <c r="G39" s="37" t="str">
        <f>IFERROR(F39/$F$61,"")</f>
        <v/>
      </c>
      <c r="H39" s="41"/>
      <c r="I39" s="41"/>
      <c r="J39" s="39"/>
    </row>
    <row r="40" spans="1:10" ht="14.25" thickBot="1" x14ac:dyDescent="0.3">
      <c r="A40" s="34"/>
      <c r="B40" s="40"/>
      <c r="C40" s="35"/>
      <c r="D40" s="36"/>
      <c r="E40" s="36"/>
      <c r="F40" s="36"/>
      <c r="G40" s="37"/>
      <c r="H40" s="41"/>
      <c r="I40" s="41"/>
      <c r="J40" s="39"/>
    </row>
    <row r="41" spans="1:10" ht="26.25" thickBot="1" x14ac:dyDescent="0.25">
      <c r="A41" s="29" t="s">
        <v>60</v>
      </c>
      <c r="B41" s="30" t="s">
        <v>75</v>
      </c>
      <c r="C41" s="30" t="s">
        <v>60</v>
      </c>
      <c r="D41" s="30"/>
      <c r="E41" s="31" t="s">
        <v>63</v>
      </c>
      <c r="F41" s="31" t="s">
        <v>64</v>
      </c>
      <c r="G41" s="31" t="s">
        <v>65</v>
      </c>
      <c r="H41" s="32" t="s">
        <v>66</v>
      </c>
      <c r="I41" s="33"/>
      <c r="J41" s="39"/>
    </row>
    <row r="42" spans="1:10" ht="13.5" x14ac:dyDescent="0.25">
      <c r="A42" s="34">
        <f>+A17</f>
        <v>12</v>
      </c>
      <c r="B42" s="16" t="s">
        <v>73</v>
      </c>
      <c r="C42" s="35">
        <f t="shared" ref="C42:C47" si="6">+A42</f>
        <v>12</v>
      </c>
      <c r="D42" s="35" t="s">
        <v>74</v>
      </c>
      <c r="E42" s="36">
        <f>IFERROR(VLOOKUP($H42,[1]SEMIELABORADOS!$A$1:$J$999,10,0),"")</f>
        <v>19.596152667075415</v>
      </c>
      <c r="F42" s="36">
        <f t="shared" ref="F42:F47" si="7">IFERROR(C42*E42,"")</f>
        <v>235.15383200490498</v>
      </c>
      <c r="G42" s="37">
        <f t="shared" ref="G42:G47" si="8">IFERROR(F42/$F$62,"")</f>
        <v>2.1273561485885589E-2</v>
      </c>
      <c r="H42" s="44" t="s">
        <v>14</v>
      </c>
      <c r="I42" s="44"/>
      <c r="J42" s="39"/>
    </row>
    <row r="43" spans="1:10" ht="13.5" x14ac:dyDescent="0.25">
      <c r="A43" s="34">
        <f>+A18</f>
        <v>300</v>
      </c>
      <c r="B43" s="16" t="s">
        <v>18</v>
      </c>
      <c r="C43" s="35">
        <f t="shared" si="6"/>
        <v>300</v>
      </c>
      <c r="D43" s="35" t="s">
        <v>74</v>
      </c>
      <c r="E43" s="36">
        <f>+'[2]COSTEO ENSAMBLE'!$E$26</f>
        <v>2.6666666666666668E-2</v>
      </c>
      <c r="F43" s="36">
        <f t="shared" si="7"/>
        <v>8</v>
      </c>
      <c r="G43" s="37">
        <f t="shared" si="8"/>
        <v>7.2373259000744171E-4</v>
      </c>
      <c r="H43" s="44"/>
      <c r="I43" s="44"/>
      <c r="J43" s="39"/>
    </row>
    <row r="44" spans="1:10" ht="13.5" hidden="1" x14ac:dyDescent="0.25">
      <c r="A44" s="34">
        <f>+A19</f>
        <v>0</v>
      </c>
      <c r="B44" s="16"/>
      <c r="C44" s="35">
        <f t="shared" si="6"/>
        <v>0</v>
      </c>
      <c r="D44" s="35" t="s">
        <v>74</v>
      </c>
      <c r="E44" s="36" t="str">
        <f>IFERROR(VLOOKUP($H44,[1]SEMIELABORADOS!$A$1:$J$999,10,0),"")</f>
        <v/>
      </c>
      <c r="F44" s="36" t="str">
        <f t="shared" si="7"/>
        <v/>
      </c>
      <c r="G44" s="37" t="str">
        <f t="shared" si="8"/>
        <v/>
      </c>
      <c r="H44" s="44"/>
      <c r="I44" s="44"/>
      <c r="J44" s="39"/>
    </row>
    <row r="45" spans="1:10" ht="13.5" hidden="1" x14ac:dyDescent="0.25">
      <c r="A45" s="34">
        <f>+A20</f>
        <v>0</v>
      </c>
      <c r="B45" s="16"/>
      <c r="C45" s="35">
        <f t="shared" si="6"/>
        <v>0</v>
      </c>
      <c r="D45" s="35" t="s">
        <v>74</v>
      </c>
      <c r="E45" s="36" t="str">
        <f>IFERROR(VLOOKUP($H45,[1]SEMIELABORADOS!$A$1:$J$999,10,0),"")</f>
        <v/>
      </c>
      <c r="F45" s="36" t="str">
        <f t="shared" si="7"/>
        <v/>
      </c>
      <c r="G45" s="37" t="str">
        <f t="shared" si="8"/>
        <v/>
      </c>
      <c r="H45" s="44"/>
      <c r="I45" s="44"/>
      <c r="J45" s="39"/>
    </row>
    <row r="46" spans="1:10" ht="13.5" hidden="1" x14ac:dyDescent="0.25">
      <c r="A46" s="34">
        <f>+A21</f>
        <v>0</v>
      </c>
      <c r="B46" s="16"/>
      <c r="C46" s="35">
        <f t="shared" si="6"/>
        <v>0</v>
      </c>
      <c r="D46" s="35" t="s">
        <v>74</v>
      </c>
      <c r="E46" s="36" t="str">
        <f>IFERROR(VLOOKUP($H46,[1]SEMIELABORADOS!$A$1:$J$999,10,0),"")</f>
        <v/>
      </c>
      <c r="F46" s="36" t="str">
        <f t="shared" si="7"/>
        <v/>
      </c>
      <c r="G46" s="37" t="str">
        <f t="shared" si="8"/>
        <v/>
      </c>
      <c r="H46" s="44"/>
      <c r="I46" s="44"/>
      <c r="J46" s="39"/>
    </row>
    <row r="47" spans="1:10" ht="13.5" x14ac:dyDescent="0.25">
      <c r="A47" s="34">
        <v>1</v>
      </c>
      <c r="B47" s="40" t="s">
        <v>76</v>
      </c>
      <c r="C47" s="35">
        <f t="shared" si="6"/>
        <v>1</v>
      </c>
      <c r="D47" s="35" t="s">
        <v>74</v>
      </c>
      <c r="E47" s="36">
        <f>+F61</f>
        <v>1925</v>
      </c>
      <c r="F47" s="36">
        <f t="shared" si="7"/>
        <v>1925</v>
      </c>
      <c r="G47" s="37">
        <f t="shared" si="8"/>
        <v>0.17414815447054066</v>
      </c>
      <c r="H47" s="44"/>
      <c r="I47" s="44"/>
      <c r="J47" s="39"/>
    </row>
    <row r="48" spans="1:10" ht="14.25" thickBot="1" x14ac:dyDescent="0.3">
      <c r="A48" s="34"/>
      <c r="B48" s="40"/>
      <c r="C48" s="35"/>
      <c r="D48" s="35"/>
      <c r="E48" s="36"/>
      <c r="F48" s="36"/>
      <c r="G48" s="37"/>
      <c r="H48" s="44"/>
      <c r="I48" s="44"/>
      <c r="J48" s="39"/>
    </row>
    <row r="49" spans="1:17" ht="13.5" thickBot="1" x14ac:dyDescent="0.25">
      <c r="A49" s="45"/>
      <c r="B49" s="318" t="s">
        <v>77</v>
      </c>
      <c r="C49" s="318"/>
      <c r="D49" s="318"/>
      <c r="E49" s="318"/>
      <c r="F49" s="47">
        <f>SUM(F8:F14,F17:F21)</f>
        <v>6032.1830285574251</v>
      </c>
      <c r="G49" s="37">
        <f>+F49/$F$62</f>
        <v>0.54571093083209987</v>
      </c>
      <c r="H49" s="48">
        <f>+F49/$D$56</f>
        <v>1503.4056163481582</v>
      </c>
      <c r="I49" s="48"/>
      <c r="J49" s="49"/>
      <c r="K49" s="50"/>
      <c r="L49" s="50"/>
      <c r="M49" s="50"/>
      <c r="N49" s="50"/>
      <c r="O49" s="50"/>
      <c r="P49" s="50"/>
      <c r="Q49" s="51"/>
    </row>
    <row r="50" spans="1:17" x14ac:dyDescent="0.2">
      <c r="A50" s="45"/>
      <c r="B50" s="318" t="s">
        <v>78</v>
      </c>
      <c r="C50" s="318"/>
      <c r="D50" s="318"/>
      <c r="E50" s="318"/>
      <c r="F50" s="47">
        <f>SUM(F24:F32,F35:F39)</f>
        <v>2975.9798002513521</v>
      </c>
      <c r="G50" s="37">
        <f>+F50/$F$62</f>
        <v>0.26922669608071753</v>
      </c>
      <c r="H50" s="48">
        <f>+F50/$D$56</f>
        <v>741.70573483187547</v>
      </c>
      <c r="I50" s="48"/>
      <c r="J50" s="52"/>
      <c r="K50" s="319" t="s">
        <v>79</v>
      </c>
      <c r="L50" s="320"/>
      <c r="M50" s="320"/>
      <c r="N50" s="320"/>
      <c r="O50" s="53">
        <f>+F51</f>
        <v>9008.1628288087777</v>
      </c>
      <c r="P50" s="53"/>
      <c r="Q50" s="54"/>
    </row>
    <row r="51" spans="1:17" x14ac:dyDescent="0.2">
      <c r="A51" s="45"/>
      <c r="B51" s="318" t="s">
        <v>80</v>
      </c>
      <c r="C51" s="318"/>
      <c r="D51" s="318"/>
      <c r="E51" s="318"/>
      <c r="F51" s="47">
        <f>+F49+F50</f>
        <v>9008.1628288087777</v>
      </c>
      <c r="G51" s="37">
        <f>+F51/$F$62</f>
        <v>0.81493762691281746</v>
      </c>
      <c r="H51" s="48">
        <f>+F51/$D$56</f>
        <v>2245.1113511800336</v>
      </c>
      <c r="I51" s="48"/>
      <c r="J51" s="55"/>
      <c r="K51" s="56"/>
      <c r="L51" s="321" t="s">
        <v>81</v>
      </c>
      <c r="M51" s="321"/>
      <c r="N51" s="321"/>
      <c r="O51" s="53">
        <f>+F52</f>
        <v>2168.1538320049049</v>
      </c>
      <c r="P51" s="53"/>
      <c r="Q51" s="54"/>
    </row>
    <row r="52" spans="1:17" ht="13.5" thickBot="1" x14ac:dyDescent="0.25">
      <c r="A52" s="45"/>
      <c r="B52" s="46"/>
      <c r="C52" s="318" t="s">
        <v>82</v>
      </c>
      <c r="D52" s="318"/>
      <c r="E52" s="318"/>
      <c r="F52" s="47">
        <f>SUM(F42:F47)</f>
        <v>2168.1538320049049</v>
      </c>
      <c r="G52" s="37">
        <f>+F52/$F$62</f>
        <v>0.19614544854643368</v>
      </c>
      <c r="H52" s="48">
        <f>+F52/$D$56</f>
        <v>540.37064736122238</v>
      </c>
      <c r="I52" s="48"/>
      <c r="J52" s="55"/>
      <c r="K52" s="56"/>
      <c r="L52" s="56"/>
      <c r="M52" s="56" t="s">
        <v>83</v>
      </c>
      <c r="N52" s="57">
        <v>0.01</v>
      </c>
      <c r="O52" s="53">
        <f>O50*N52</f>
        <v>90.081628288087785</v>
      </c>
      <c r="P52" s="53"/>
      <c r="Q52" s="54"/>
    </row>
    <row r="53" spans="1:17" ht="13.5" thickBot="1" x14ac:dyDescent="0.25">
      <c r="A53" s="45"/>
      <c r="B53" s="58"/>
      <c r="C53" s="58"/>
      <c r="D53" s="58"/>
      <c r="E53" s="58"/>
      <c r="F53" s="59"/>
      <c r="G53" s="37"/>
      <c r="H53" s="60"/>
      <c r="I53" s="48"/>
      <c r="J53" s="55"/>
      <c r="K53" s="61"/>
      <c r="M53" s="62" t="s">
        <v>84</v>
      </c>
      <c r="N53" s="63"/>
      <c r="O53" s="64">
        <f>SUM(O50:O52)</f>
        <v>11266.398289101769</v>
      </c>
      <c r="P53" s="65"/>
      <c r="Q53" s="54"/>
    </row>
    <row r="54" spans="1:17" x14ac:dyDescent="0.2">
      <c r="B54" s="322" t="s">
        <v>85</v>
      </c>
      <c r="C54" s="322"/>
      <c r="D54" s="66">
        <v>3900</v>
      </c>
      <c r="E54" s="67"/>
      <c r="G54" s="37"/>
      <c r="H54" s="60"/>
      <c r="I54" s="68"/>
      <c r="J54" s="55"/>
      <c r="K54" s="61"/>
      <c r="L54" s="56"/>
      <c r="M54" s="56" t="s">
        <v>86</v>
      </c>
      <c r="N54" s="69">
        <v>0.25</v>
      </c>
      <c r="O54" s="53">
        <f>+O53*N54</f>
        <v>2816.5995722754424</v>
      </c>
      <c r="P54" s="53"/>
      <c r="Q54" s="54"/>
    </row>
    <row r="55" spans="1:17" x14ac:dyDescent="0.2">
      <c r="B55" s="322" t="s">
        <v>87</v>
      </c>
      <c r="C55" s="322"/>
      <c r="D55" s="70">
        <v>972</v>
      </c>
      <c r="E55" s="67"/>
      <c r="G55" s="37"/>
      <c r="H55" s="60"/>
      <c r="I55" s="68"/>
      <c r="J55" s="55"/>
      <c r="K55" s="61"/>
      <c r="L55" s="56"/>
      <c r="M55" s="321" t="s">
        <v>84</v>
      </c>
      <c r="N55" s="321"/>
      <c r="O55" s="53">
        <f>SUM(O53:O54)</f>
        <v>14082.997861377211</v>
      </c>
      <c r="P55" s="53"/>
      <c r="Q55" s="54"/>
    </row>
    <row r="56" spans="1:17" ht="13.5" thickBot="1" x14ac:dyDescent="0.25">
      <c r="B56" s="323" t="s">
        <v>88</v>
      </c>
      <c r="C56" s="323"/>
      <c r="D56" s="66">
        <f>+D54/D55</f>
        <v>4.0123456790123457</v>
      </c>
      <c r="E56" s="67"/>
      <c r="F56" s="71"/>
      <c r="G56" s="37"/>
      <c r="H56" s="60"/>
      <c r="I56" s="68"/>
      <c r="J56" s="55"/>
      <c r="K56" s="61"/>
      <c r="L56" s="321" t="s">
        <v>89</v>
      </c>
      <c r="M56" s="321"/>
      <c r="N56" s="69">
        <v>0.05</v>
      </c>
      <c r="O56" s="53">
        <f>+O55*N56</f>
        <v>704.14989306886059</v>
      </c>
      <c r="P56" s="53"/>
      <c r="Q56" s="54"/>
    </row>
    <row r="57" spans="1:17" ht="13.5" thickBot="1" x14ac:dyDescent="0.25">
      <c r="B57" s="323" t="s">
        <v>90</v>
      </c>
      <c r="C57" s="323"/>
      <c r="D57" s="72"/>
      <c r="E57" s="67"/>
      <c r="F57" s="71"/>
      <c r="G57" s="37"/>
      <c r="H57" s="60"/>
      <c r="I57" s="68"/>
      <c r="J57" s="55"/>
      <c r="K57" s="324" t="s">
        <v>91</v>
      </c>
      <c r="L57" s="325"/>
      <c r="M57" s="325"/>
      <c r="N57" s="326"/>
      <c r="O57" s="64">
        <f>SUM(O55:O56)</f>
        <v>14787.147754446072</v>
      </c>
      <c r="P57" s="73" t="s">
        <v>92</v>
      </c>
      <c r="Q57" s="54"/>
    </row>
    <row r="58" spans="1:17" ht="13.5" thickBot="1" x14ac:dyDescent="0.25">
      <c r="C58" s="45" t="s">
        <v>93</v>
      </c>
      <c r="D58" s="74"/>
      <c r="E58" s="20" t="s">
        <v>94</v>
      </c>
      <c r="F58" s="75" t="s">
        <v>95</v>
      </c>
      <c r="G58" s="37"/>
      <c r="H58" s="60"/>
      <c r="I58" s="68"/>
      <c r="J58" s="76"/>
      <c r="K58" s="77"/>
      <c r="L58" s="327" t="s">
        <v>96</v>
      </c>
      <c r="M58" s="327"/>
      <c r="N58" s="327"/>
      <c r="O58" s="78">
        <f>+O57/D56</f>
        <v>3685.4122095696366</v>
      </c>
      <c r="P58" s="79">
        <f>+O58/D55</f>
        <v>3.7915763472938648</v>
      </c>
      <c r="Q58" s="80"/>
    </row>
    <row r="59" spans="1:17" ht="13.5" thickBot="1" x14ac:dyDescent="0.25">
      <c r="B59" s="328" t="s">
        <v>80</v>
      </c>
      <c r="C59" s="328"/>
      <c r="D59" s="328"/>
      <c r="E59" s="81">
        <f>+F59/F59</f>
        <v>1</v>
      </c>
      <c r="F59" s="82">
        <f>SUM(F51)</f>
        <v>9008.1628288087777</v>
      </c>
      <c r="G59" s="37">
        <f>+F59/$F$62</f>
        <v>0.81493762691281746</v>
      </c>
      <c r="H59" s="60"/>
      <c r="I59" s="68"/>
      <c r="K59" s="329"/>
      <c r="L59" s="330"/>
      <c r="M59" s="330"/>
      <c r="N59" s="330"/>
      <c r="O59" s="83"/>
      <c r="P59" s="84"/>
    </row>
    <row r="60" spans="1:17" ht="13.5" thickBot="1" x14ac:dyDescent="0.25">
      <c r="B60" s="331" t="s">
        <v>97</v>
      </c>
      <c r="C60" s="331"/>
      <c r="D60" s="331"/>
      <c r="E60" s="85">
        <v>0.02</v>
      </c>
      <c r="F60" s="82">
        <f>+F49*E60</f>
        <v>120.6436605711485</v>
      </c>
      <c r="G60" s="37">
        <f>+F60/$F$62</f>
        <v>1.0914218616641998E-2</v>
      </c>
      <c r="H60" s="48"/>
      <c r="I60" s="68"/>
      <c r="J60" s="86"/>
      <c r="O60" s="87">
        <f>+O58/6</f>
        <v>614.23536826160614</v>
      </c>
      <c r="P60" s="46"/>
    </row>
    <row r="61" spans="1:17" ht="13.5" thickBot="1" x14ac:dyDescent="0.25">
      <c r="B61" s="333" t="s">
        <v>98</v>
      </c>
      <c r="C61" s="334"/>
      <c r="D61" s="88">
        <v>35</v>
      </c>
      <c r="E61" s="89">
        <v>55</v>
      </c>
      <c r="F61" s="82">
        <f>+E61*D61</f>
        <v>1925</v>
      </c>
      <c r="G61" s="37">
        <f>+F61/$F$62</f>
        <v>0.17414815447054066</v>
      </c>
      <c r="H61" s="48"/>
      <c r="I61" s="48"/>
      <c r="J61" s="39"/>
    </row>
    <row r="62" spans="1:17" ht="13.5" thickBot="1" x14ac:dyDescent="0.25">
      <c r="B62" s="335" t="s">
        <v>99</v>
      </c>
      <c r="C62" s="336"/>
      <c r="D62" s="336"/>
      <c r="E62" s="337"/>
      <c r="F62" s="59">
        <f>SUM(F59:F61)</f>
        <v>11053.806489379926</v>
      </c>
      <c r="G62" s="37">
        <f>+F62/$F$62</f>
        <v>1</v>
      </c>
      <c r="H62" s="338"/>
      <c r="I62" s="48"/>
      <c r="J62" s="39"/>
    </row>
    <row r="63" spans="1:17" x14ac:dyDescent="0.2">
      <c r="C63" s="91"/>
      <c r="D63" s="91"/>
      <c r="E63" s="92"/>
      <c r="F63" s="82"/>
      <c r="G63" s="37"/>
      <c r="H63" s="338"/>
      <c r="I63" s="90"/>
      <c r="J63" s="22"/>
    </row>
    <row r="64" spans="1:17" ht="13.5" thickBot="1" x14ac:dyDescent="0.25">
      <c r="B64" s="339" t="s">
        <v>100</v>
      </c>
      <c r="C64" s="339"/>
      <c r="D64" s="339"/>
      <c r="E64" s="339"/>
      <c r="F64" s="339"/>
      <c r="G64" s="37"/>
      <c r="H64" s="94"/>
      <c r="I64" s="90"/>
      <c r="J64" s="22"/>
    </row>
    <row r="65" spans="2:10" ht="13.5" thickBot="1" x14ac:dyDescent="0.25">
      <c r="B65" s="95" t="s">
        <v>101</v>
      </c>
      <c r="C65" s="96">
        <f>+F49</f>
        <v>6032.1830285574251</v>
      </c>
      <c r="D65" s="96">
        <f>+D54</f>
        <v>3900</v>
      </c>
      <c r="E65" s="97">
        <f>+C65/D65</f>
        <v>1.5467135970660064</v>
      </c>
      <c r="F65" s="37"/>
      <c r="G65" s="94"/>
      <c r="H65" s="39"/>
      <c r="I65" s="94"/>
      <c r="J65" s="22"/>
    </row>
    <row r="66" spans="2:10" x14ac:dyDescent="0.2">
      <c r="B66" s="98"/>
      <c r="C66" s="99"/>
      <c r="D66" s="100"/>
      <c r="E66" s="82"/>
      <c r="F66" s="37"/>
      <c r="G66" s="94"/>
      <c r="H66" s="39"/>
      <c r="I66" s="39"/>
      <c r="J66" s="22"/>
    </row>
    <row r="67" spans="2:10" x14ac:dyDescent="0.2">
      <c r="B67" s="95" t="s">
        <v>102</v>
      </c>
      <c r="C67" s="96">
        <f>SUM(F59:F60)</f>
        <v>9128.8064893799256</v>
      </c>
      <c r="D67" s="96">
        <f>+D54</f>
        <v>3900</v>
      </c>
      <c r="E67" s="101">
        <f>+C67/D67</f>
        <v>2.3407196126615193</v>
      </c>
      <c r="F67" s="37"/>
      <c r="G67" s="94"/>
      <c r="H67" s="39"/>
      <c r="I67" s="39"/>
      <c r="J67" s="22"/>
    </row>
    <row r="68" spans="2:10" x14ac:dyDescent="0.2">
      <c r="B68" s="95"/>
      <c r="C68" s="96"/>
      <c r="D68" s="96"/>
      <c r="E68" s="101"/>
      <c r="F68" s="37"/>
      <c r="G68" s="94"/>
      <c r="H68" s="39"/>
      <c r="I68" s="39"/>
      <c r="J68" s="22"/>
    </row>
    <row r="69" spans="2:10" ht="13.5" thickBot="1" x14ac:dyDescent="0.25">
      <c r="B69" s="95" t="s">
        <v>103</v>
      </c>
      <c r="C69" s="96">
        <f>+F61</f>
        <v>1925</v>
      </c>
      <c r="D69" s="96">
        <f>+D54</f>
        <v>3900</v>
      </c>
      <c r="E69" s="101">
        <f>+C69/D69</f>
        <v>0.49358974358974361</v>
      </c>
      <c r="F69" s="37"/>
      <c r="G69" s="94"/>
      <c r="H69" s="39"/>
      <c r="I69" s="39"/>
      <c r="J69" s="22"/>
    </row>
    <row r="70" spans="2:10" ht="13.5" thickBot="1" x14ac:dyDescent="0.25">
      <c r="B70" s="95" t="s">
        <v>104</v>
      </c>
      <c r="C70" s="96">
        <f>+F52</f>
        <v>2168.1538320049049</v>
      </c>
      <c r="D70" s="96">
        <f>+D69</f>
        <v>3900</v>
      </c>
      <c r="E70" s="97">
        <f>+C70/D70</f>
        <v>0.55593688000125763</v>
      </c>
      <c r="F70" s="37"/>
      <c r="G70" s="94"/>
      <c r="H70" s="39"/>
      <c r="I70" s="39"/>
      <c r="J70" s="22"/>
    </row>
    <row r="71" spans="2:10" ht="13.5" thickBot="1" x14ac:dyDescent="0.25">
      <c r="B71" s="58"/>
      <c r="C71" s="59"/>
      <c r="D71" s="59"/>
      <c r="E71" s="101"/>
      <c r="F71" s="37"/>
      <c r="G71" s="94"/>
      <c r="H71" s="39"/>
      <c r="I71" s="39"/>
      <c r="J71" s="22"/>
    </row>
    <row r="72" spans="2:10" ht="13.5" thickBot="1" x14ac:dyDescent="0.25">
      <c r="B72" s="95" t="s">
        <v>105</v>
      </c>
      <c r="C72" s="96">
        <f>+F50</f>
        <v>2975.9798002513521</v>
      </c>
      <c r="D72" s="96">
        <f>+D70</f>
        <v>3900</v>
      </c>
      <c r="E72" s="97">
        <f>+C72/D72</f>
        <v>0.76307174365419284</v>
      </c>
      <c r="F72" s="37"/>
      <c r="G72" s="94"/>
      <c r="H72" s="39"/>
      <c r="I72" s="39"/>
      <c r="J72" s="39"/>
    </row>
    <row r="73" spans="2:10" ht="13.5" thickBot="1" x14ac:dyDescent="0.25">
      <c r="B73" s="58"/>
      <c r="C73" s="59"/>
      <c r="D73" s="59"/>
      <c r="E73" s="101"/>
      <c r="F73" s="37"/>
      <c r="G73" s="94"/>
      <c r="H73" s="39"/>
      <c r="I73" s="39"/>
    </row>
    <row r="74" spans="2:10" ht="13.5" thickBot="1" x14ac:dyDescent="0.25">
      <c r="B74" s="340" t="s">
        <v>106</v>
      </c>
      <c r="C74" s="341"/>
      <c r="D74" s="342"/>
      <c r="E74" s="97">
        <f>+E65+E70</f>
        <v>2.102650477067264</v>
      </c>
      <c r="G74" s="37"/>
      <c r="H74" s="94"/>
      <c r="I74" s="39"/>
      <c r="J74" s="101"/>
    </row>
    <row r="75" spans="2:10" x14ac:dyDescent="0.2">
      <c r="I75" s="94"/>
      <c r="J75" s="22"/>
    </row>
    <row r="76" spans="2:10" ht="13.5" thickBot="1" x14ac:dyDescent="0.25">
      <c r="B76" s="339" t="s">
        <v>107</v>
      </c>
      <c r="C76" s="339"/>
      <c r="D76" s="339"/>
      <c r="E76" s="339"/>
      <c r="F76" s="339"/>
      <c r="G76" s="37"/>
      <c r="H76" s="94"/>
      <c r="J76" s="22"/>
    </row>
    <row r="77" spans="2:10" ht="13.5" thickBot="1" x14ac:dyDescent="0.25">
      <c r="B77" s="95" t="s">
        <v>101</v>
      </c>
      <c r="C77" s="96">
        <f>+C65</f>
        <v>6032.1830285574251</v>
      </c>
      <c r="D77" s="96">
        <f>+D56</f>
        <v>4.0123456790123457</v>
      </c>
      <c r="E77" s="97">
        <f>+C77/D77</f>
        <v>1503.4056163481582</v>
      </c>
      <c r="F77" s="37"/>
      <c r="G77" s="94"/>
      <c r="H77" s="39"/>
      <c r="I77" s="94"/>
      <c r="J77" s="22"/>
    </row>
    <row r="78" spans="2:10" x14ac:dyDescent="0.2">
      <c r="B78" s="98"/>
      <c r="C78" s="99"/>
      <c r="D78" s="100"/>
      <c r="E78" s="82"/>
      <c r="F78" s="37"/>
      <c r="G78" s="94"/>
      <c r="H78" s="39"/>
      <c r="I78" s="39"/>
      <c r="J78" s="22"/>
    </row>
    <row r="79" spans="2:10" x14ac:dyDescent="0.2">
      <c r="B79" s="95" t="s">
        <v>102</v>
      </c>
      <c r="C79" s="96">
        <f>+C67</f>
        <v>9128.8064893799256</v>
      </c>
      <c r="D79" s="96">
        <f>+D56</f>
        <v>4.0123456790123457</v>
      </c>
      <c r="E79" s="101">
        <f>+C79/D79</f>
        <v>2275.1794635069969</v>
      </c>
      <c r="F79" s="37"/>
      <c r="G79" s="94"/>
      <c r="H79" s="39"/>
      <c r="I79" s="39"/>
      <c r="J79" s="22"/>
    </row>
    <row r="80" spans="2:10" x14ac:dyDescent="0.2">
      <c r="B80" s="95"/>
      <c r="C80" s="96"/>
      <c r="D80" s="96"/>
      <c r="E80" s="101"/>
      <c r="F80" s="37"/>
      <c r="G80" s="94"/>
      <c r="H80" s="39"/>
      <c r="I80" s="39"/>
      <c r="J80" s="22"/>
    </row>
    <row r="81" spans="1:9" ht="13.5" thickBot="1" x14ac:dyDescent="0.25">
      <c r="B81" s="95" t="s">
        <v>104</v>
      </c>
      <c r="C81" s="96">
        <f>+C69</f>
        <v>1925</v>
      </c>
      <c r="D81" s="96">
        <f>+D56</f>
        <v>4.0123456790123457</v>
      </c>
      <c r="E81" s="101">
        <f>+C81/D81</f>
        <v>479.76923076923077</v>
      </c>
      <c r="F81" s="103"/>
      <c r="G81" s="93"/>
      <c r="H81" s="21"/>
      <c r="I81" s="39"/>
    </row>
    <row r="82" spans="1:9" ht="13.5" thickBot="1" x14ac:dyDescent="0.25">
      <c r="B82" s="95" t="s">
        <v>104</v>
      </c>
      <c r="C82" s="96">
        <f>+C70</f>
        <v>2168.1538320049049</v>
      </c>
      <c r="D82" s="96">
        <f>+D81</f>
        <v>4.0123456790123457</v>
      </c>
      <c r="E82" s="97">
        <f>+C82/D82</f>
        <v>540.37064736122238</v>
      </c>
      <c r="F82" s="102"/>
      <c r="G82" s="93"/>
      <c r="H82" s="21"/>
      <c r="I82" s="21"/>
    </row>
    <row r="83" spans="1:9" x14ac:dyDescent="0.2">
      <c r="I83" s="21"/>
    </row>
    <row r="84" spans="1:9" x14ac:dyDescent="0.2">
      <c r="A84" s="332"/>
      <c r="B84" s="332"/>
      <c r="C84" s="104"/>
      <c r="D84" s="104"/>
      <c r="E84" s="105"/>
      <c r="G84" s="106"/>
    </row>
    <row r="85" spans="1:9" x14ac:dyDescent="0.2">
      <c r="A85" s="40"/>
      <c r="B85" s="107"/>
      <c r="C85" s="108"/>
      <c r="D85" s="108"/>
      <c r="E85" s="109"/>
      <c r="G85" s="106"/>
    </row>
    <row r="86" spans="1:9" x14ac:dyDescent="0.2">
      <c r="A86" s="40"/>
      <c r="B86" s="107"/>
      <c r="C86" s="110"/>
      <c r="D86" s="110"/>
      <c r="E86" s="40"/>
      <c r="G86" s="106"/>
    </row>
    <row r="87" spans="1:9" x14ac:dyDescent="0.2">
      <c r="A87" s="40"/>
      <c r="B87" s="107"/>
      <c r="C87" s="111"/>
      <c r="D87" s="111"/>
      <c r="E87" s="40"/>
      <c r="G87" s="106"/>
    </row>
  </sheetData>
  <mergeCells count="31">
    <mergeCell ref="B59:D59"/>
    <mergeCell ref="K59:N59"/>
    <mergeCell ref="B60:D60"/>
    <mergeCell ref="A84:B84"/>
    <mergeCell ref="B61:C61"/>
    <mergeCell ref="B62:E62"/>
    <mergeCell ref="H62:H63"/>
    <mergeCell ref="B64:F64"/>
    <mergeCell ref="B74:D74"/>
    <mergeCell ref="B76:F76"/>
    <mergeCell ref="B56:C56"/>
    <mergeCell ref="L56:M56"/>
    <mergeCell ref="B57:C57"/>
    <mergeCell ref="K57:N57"/>
    <mergeCell ref="L58:N58"/>
    <mergeCell ref="B51:E51"/>
    <mergeCell ref="L51:N51"/>
    <mergeCell ref="C52:E52"/>
    <mergeCell ref="B54:C54"/>
    <mergeCell ref="B55:C55"/>
    <mergeCell ref="M55:N55"/>
    <mergeCell ref="K29:L29"/>
    <mergeCell ref="K30:L30"/>
    <mergeCell ref="B49:E49"/>
    <mergeCell ref="B50:E50"/>
    <mergeCell ref="K50:N50"/>
    <mergeCell ref="A4:H4"/>
    <mergeCell ref="A5:H5"/>
    <mergeCell ref="F6:G6"/>
    <mergeCell ref="K24:L24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3"/>
  <sheetViews>
    <sheetView workbookViewId="0">
      <selection activeCell="M5" sqref="M5"/>
    </sheetView>
  </sheetViews>
  <sheetFormatPr baseColWidth="10" defaultColWidth="8.42578125" defaultRowHeight="11.25" x14ac:dyDescent="0.2"/>
  <cols>
    <col min="1" max="1" width="7.5703125" style="112" customWidth="1"/>
    <col min="2" max="2" width="7.7109375" style="112" bestFit="1" customWidth="1"/>
    <col min="3" max="3" width="39.28515625" style="112" customWidth="1"/>
    <col min="4" max="4" width="10" style="112" bestFit="1" customWidth="1"/>
    <col min="5" max="5" width="9.42578125" style="112" bestFit="1" customWidth="1"/>
    <col min="6" max="6" width="11.7109375" style="156" customWidth="1"/>
    <col min="7" max="7" width="8.7109375" style="157" bestFit="1" customWidth="1"/>
    <col min="8" max="8" width="10.28515625" style="158" bestFit="1" customWidth="1"/>
    <col min="9" max="16384" width="8.42578125" style="112"/>
  </cols>
  <sheetData>
    <row r="1" spans="2:8" ht="36" customHeight="1" thickBot="1" x14ac:dyDescent="0.35">
      <c r="B1" s="343"/>
      <c r="C1" s="344"/>
      <c r="D1" s="344"/>
      <c r="E1" s="344"/>
      <c r="F1" s="344"/>
      <c r="G1" s="344"/>
      <c r="H1" s="345"/>
    </row>
    <row r="2" spans="2:8" ht="19.5" customHeight="1" thickBot="1" x14ac:dyDescent="0.25">
      <c r="B2" s="346" t="s">
        <v>108</v>
      </c>
      <c r="C2" s="346"/>
      <c r="D2" s="346"/>
      <c r="E2" s="346"/>
      <c r="F2" s="346"/>
      <c r="G2" s="346"/>
      <c r="H2" s="346"/>
    </row>
    <row r="3" spans="2:8" ht="19.5" customHeight="1" thickTop="1" x14ac:dyDescent="0.2">
      <c r="B3" s="347" t="s">
        <v>109</v>
      </c>
      <c r="C3" s="347"/>
      <c r="D3" s="347"/>
      <c r="E3" s="347"/>
      <c r="F3" s="347"/>
      <c r="G3" s="347"/>
      <c r="H3" s="347"/>
    </row>
    <row r="4" spans="2:8" ht="19.5" customHeight="1" x14ac:dyDescent="0.2">
      <c r="B4" s="113"/>
      <c r="C4" s="113"/>
      <c r="D4" s="113"/>
      <c r="E4" s="113"/>
      <c r="F4" s="348" t="s">
        <v>59</v>
      </c>
      <c r="G4" s="348"/>
      <c r="H4" s="28"/>
    </row>
    <row r="5" spans="2:8" ht="30" customHeight="1" x14ac:dyDescent="0.2">
      <c r="B5" s="114" t="s">
        <v>96</v>
      </c>
      <c r="C5" s="114" t="s">
        <v>61</v>
      </c>
      <c r="D5" s="114" t="s">
        <v>96</v>
      </c>
      <c r="E5" s="115" t="s">
        <v>110</v>
      </c>
      <c r="F5" s="115" t="s">
        <v>111</v>
      </c>
      <c r="G5" s="115" t="s">
        <v>112</v>
      </c>
      <c r="H5" s="115" t="s">
        <v>113</v>
      </c>
    </row>
    <row r="6" spans="2:8" s="116" customFormat="1" ht="20.100000000000001" customHeight="1" x14ac:dyDescent="0.2">
      <c r="B6" s="117">
        <v>1</v>
      </c>
      <c r="C6" s="116" t="s">
        <v>114</v>
      </c>
      <c r="D6" s="118">
        <f>+B6</f>
        <v>1</v>
      </c>
      <c r="E6" s="118">
        <f>+'Costo Chilena '!H49</f>
        <v>1503.4056163481582</v>
      </c>
      <c r="F6" s="119">
        <f>+D6*E6</f>
        <v>1503.4056163481582</v>
      </c>
      <c r="G6" s="120">
        <f>+F6/$F$23</f>
        <v>0.42125195925136216</v>
      </c>
      <c r="H6" s="121" t="s">
        <v>115</v>
      </c>
    </row>
    <row r="7" spans="2:8" s="116" customFormat="1" ht="20.100000000000001" customHeight="1" x14ac:dyDescent="0.2">
      <c r="B7" s="117"/>
      <c r="D7" s="118"/>
      <c r="E7" s="118"/>
      <c r="F7" s="119"/>
      <c r="G7" s="120"/>
      <c r="H7" s="121"/>
    </row>
    <row r="8" spans="2:8" ht="30" customHeight="1" x14ac:dyDescent="0.2">
      <c r="B8" s="114" t="s">
        <v>96</v>
      </c>
      <c r="C8" s="114" t="s">
        <v>19</v>
      </c>
      <c r="D8" s="114" t="s">
        <v>96</v>
      </c>
      <c r="E8" s="115" t="s">
        <v>110</v>
      </c>
      <c r="F8" s="115" t="s">
        <v>111</v>
      </c>
      <c r="G8" s="115" t="s">
        <v>112</v>
      </c>
      <c r="H8" s="115" t="s">
        <v>113</v>
      </c>
    </row>
    <row r="9" spans="2:8" s="116" customFormat="1" ht="20.100000000000001" customHeight="1" x14ac:dyDescent="0.2">
      <c r="B9" s="117">
        <v>1</v>
      </c>
      <c r="C9" s="116" t="s">
        <v>116</v>
      </c>
      <c r="D9" s="118">
        <f>+B9</f>
        <v>1</v>
      </c>
      <c r="E9" s="118">
        <f>+'Costo Chilena '!H50</f>
        <v>741.70573483187547</v>
      </c>
      <c r="F9" s="119">
        <f>+D9*E9</f>
        <v>741.70573483187547</v>
      </c>
      <c r="G9" s="120">
        <f>+F9/$F$23</f>
        <v>0.20782481493240804</v>
      </c>
      <c r="H9" s="121" t="s">
        <v>117</v>
      </c>
    </row>
    <row r="10" spans="2:8" s="122" customFormat="1" ht="17.25" customHeight="1" x14ac:dyDescent="0.2">
      <c r="B10" s="123"/>
      <c r="C10" s="124"/>
      <c r="D10" s="125"/>
      <c r="E10" s="125"/>
      <c r="F10" s="126"/>
      <c r="G10" s="127"/>
      <c r="H10" s="128"/>
    </row>
    <row r="11" spans="2:8" s="122" customFormat="1" ht="12" x14ac:dyDescent="0.2">
      <c r="B11" s="117"/>
      <c r="C11" s="321" t="s">
        <v>118</v>
      </c>
      <c r="D11" s="321"/>
      <c r="E11" s="118"/>
      <c r="F11" s="53">
        <f>SUM(F6)</f>
        <v>1503.4056163481582</v>
      </c>
      <c r="G11" s="129">
        <f>+F11/$F$23</f>
        <v>0.42125195925136216</v>
      </c>
      <c r="H11" s="121"/>
    </row>
    <row r="12" spans="2:8" s="122" customFormat="1" ht="12.75" thickBot="1" x14ac:dyDescent="0.25">
      <c r="B12" s="117"/>
      <c r="C12" s="321" t="s">
        <v>119</v>
      </c>
      <c r="D12" s="321"/>
      <c r="E12" s="118"/>
      <c r="F12" s="130">
        <f>SUM(F9)</f>
        <v>741.70573483187547</v>
      </c>
      <c r="G12" s="129">
        <f>+F12/$F$23</f>
        <v>0.20782481493240804</v>
      </c>
      <c r="H12" s="121"/>
    </row>
    <row r="13" spans="2:8" s="122" customFormat="1" ht="12.75" thickTop="1" x14ac:dyDescent="0.2">
      <c r="B13" s="117"/>
      <c r="C13" s="325" t="s">
        <v>79</v>
      </c>
      <c r="D13" s="325"/>
      <c r="E13" s="325"/>
      <c r="F13" s="65">
        <f>SUM(F11:F12)</f>
        <v>2245.1113511800336</v>
      </c>
      <c r="G13" s="129">
        <f>+F13/$F$23</f>
        <v>0.62907677418377017</v>
      </c>
      <c r="H13" s="121"/>
    </row>
    <row r="14" spans="2:8" s="122" customFormat="1" ht="12" x14ac:dyDescent="0.2">
      <c r="C14" s="61"/>
      <c r="D14" s="61"/>
      <c r="E14" s="131"/>
      <c r="F14" s="132"/>
      <c r="G14" s="129"/>
    </row>
    <row r="15" spans="2:8" s="122" customFormat="1" ht="12" x14ac:dyDescent="0.2">
      <c r="B15" s="321" t="s">
        <v>79</v>
      </c>
      <c r="C15" s="321"/>
      <c r="D15" s="321"/>
      <c r="E15" s="133" t="s">
        <v>120</v>
      </c>
      <c r="F15" s="53">
        <f>+F13</f>
        <v>2245.1113511800336</v>
      </c>
      <c r="G15" s="129">
        <f t="shared" ref="G15:G23" si="0">+F15/$F$23</f>
        <v>0.62907677418377017</v>
      </c>
      <c r="H15" s="134"/>
    </row>
    <row r="16" spans="2:8" s="122" customFormat="1" ht="12.75" customHeight="1" thickBot="1" x14ac:dyDescent="0.25">
      <c r="B16" s="56"/>
      <c r="C16" s="321" t="s">
        <v>81</v>
      </c>
      <c r="D16" s="321"/>
      <c r="E16" s="135"/>
      <c r="F16" s="53">
        <f>+'Costo Chilena '!H52</f>
        <v>540.37064736122238</v>
      </c>
      <c r="G16" s="129">
        <f t="shared" si="0"/>
        <v>0.15141103069427861</v>
      </c>
      <c r="H16" s="134"/>
    </row>
    <row r="17" spans="1:37" s="122" customFormat="1" ht="12.75" hidden="1" customHeight="1" x14ac:dyDescent="0.2">
      <c r="B17" s="56"/>
      <c r="C17" s="321" t="s">
        <v>121</v>
      </c>
      <c r="D17" s="321"/>
      <c r="E17" s="136">
        <v>0</v>
      </c>
      <c r="F17" s="53">
        <f>+(F15+F16)*E17</f>
        <v>0</v>
      </c>
      <c r="G17" s="129">
        <f t="shared" si="0"/>
        <v>0</v>
      </c>
      <c r="H17" s="134"/>
    </row>
    <row r="18" spans="1:37" s="122" customFormat="1" ht="12.75" hidden="1" thickBot="1" x14ac:dyDescent="0.25">
      <c r="B18" s="56"/>
      <c r="C18" s="321" t="s">
        <v>122</v>
      </c>
      <c r="D18" s="321"/>
      <c r="E18" s="136">
        <v>0</v>
      </c>
      <c r="F18" s="53">
        <f>+F16*E18</f>
        <v>0</v>
      </c>
      <c r="G18" s="129">
        <f t="shared" si="0"/>
        <v>0</v>
      </c>
      <c r="H18" s="134"/>
    </row>
    <row r="19" spans="1:37" s="122" customFormat="1" ht="12.75" thickBot="1" x14ac:dyDescent="0.25">
      <c r="B19" s="61"/>
      <c r="C19" s="349"/>
      <c r="D19" s="349"/>
      <c r="E19" s="350"/>
      <c r="F19" s="64">
        <f>SUM(F15:F18)</f>
        <v>2785.481998541256</v>
      </c>
      <c r="G19" s="137">
        <f>+F19/$F$21</f>
        <v>0.8</v>
      </c>
      <c r="H19" s="134"/>
    </row>
    <row r="20" spans="1:37" s="122" customFormat="1" ht="12" x14ac:dyDescent="0.2">
      <c r="B20" s="61"/>
      <c r="C20" s="321" t="s">
        <v>86</v>
      </c>
      <c r="D20" s="321"/>
      <c r="E20" s="69">
        <v>0.25</v>
      </c>
      <c r="F20" s="53">
        <f>+F19*E20</f>
        <v>696.37049963531399</v>
      </c>
      <c r="G20" s="129">
        <f t="shared" si="0"/>
        <v>0.19512195121951217</v>
      </c>
      <c r="H20" s="134"/>
    </row>
    <row r="21" spans="1:37" s="122" customFormat="1" ht="12" x14ac:dyDescent="0.2">
      <c r="B21" s="61"/>
      <c r="C21" s="321" t="s">
        <v>84</v>
      </c>
      <c r="D21" s="321"/>
      <c r="E21" s="321"/>
      <c r="F21" s="53">
        <f>SUM(F19:F20)</f>
        <v>3481.85249817657</v>
      </c>
      <c r="G21" s="129">
        <f t="shared" si="0"/>
        <v>0.97560975609756095</v>
      </c>
      <c r="H21" s="134"/>
    </row>
    <row r="22" spans="1:37" s="122" customFormat="1" ht="12.75" thickBot="1" x14ac:dyDescent="0.25">
      <c r="B22" s="61"/>
      <c r="C22" s="321" t="s">
        <v>89</v>
      </c>
      <c r="D22" s="321"/>
      <c r="E22" s="69">
        <v>2.5000000000000001E-2</v>
      </c>
      <c r="F22" s="53">
        <f>+F21*E22</f>
        <v>87.046312454414249</v>
      </c>
      <c r="G22" s="129">
        <f t="shared" si="0"/>
        <v>2.4390243902439022E-2</v>
      </c>
      <c r="H22" s="134"/>
    </row>
    <row r="23" spans="1:37" s="122" customFormat="1" ht="12.75" thickBot="1" x14ac:dyDescent="0.25">
      <c r="B23" s="61"/>
      <c r="C23" s="325" t="s">
        <v>91</v>
      </c>
      <c r="D23" s="325"/>
      <c r="E23" s="326"/>
      <c r="F23" s="64">
        <f>SUM(F21:F22)</f>
        <v>3568.8988106309844</v>
      </c>
      <c r="G23" s="129">
        <f t="shared" si="0"/>
        <v>1</v>
      </c>
      <c r="H23" s="138"/>
      <c r="J23" s="122">
        <f>+F23/6</f>
        <v>594.8164684384974</v>
      </c>
    </row>
    <row r="24" spans="1:37" s="122" customFormat="1" ht="12.75" thickBot="1" x14ac:dyDescent="0.25">
      <c r="B24" s="61"/>
      <c r="C24" s="139"/>
      <c r="D24" s="139"/>
      <c r="E24" s="139"/>
      <c r="F24" s="65"/>
      <c r="G24" s="140"/>
      <c r="H24" s="138"/>
    </row>
    <row r="25" spans="1:37" s="141" customFormat="1" ht="19.5" customHeight="1" thickBot="1" x14ac:dyDescent="0.25">
      <c r="A25" s="351"/>
      <c r="B25" s="352"/>
      <c r="C25" s="352"/>
      <c r="D25" s="352"/>
      <c r="E25" s="352"/>
      <c r="F25" s="352"/>
      <c r="G25" s="352"/>
      <c r="H25" s="35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</row>
    <row r="26" spans="1:37" s="122" customFormat="1" ht="19.5" customHeight="1" thickBot="1" x14ac:dyDescent="0.25">
      <c r="F26" s="142"/>
      <c r="G26" s="143"/>
      <c r="H26" s="134"/>
    </row>
    <row r="27" spans="1:37" s="122" customFormat="1" ht="13.5" customHeight="1" thickBot="1" x14ac:dyDescent="0.25">
      <c r="B27" s="61"/>
      <c r="C27" s="325" t="s">
        <v>91</v>
      </c>
      <c r="D27" s="325"/>
      <c r="E27" s="326"/>
      <c r="F27" s="64">
        <f>+F23</f>
        <v>3568.8988106309844</v>
      </c>
      <c r="H27" s="134"/>
    </row>
    <row r="28" spans="1:37" s="122" customFormat="1" ht="13.5" customHeight="1" x14ac:dyDescent="0.2">
      <c r="B28" s="61"/>
      <c r="C28" s="354" t="s">
        <v>123</v>
      </c>
      <c r="D28" s="354" t="s">
        <v>124</v>
      </c>
      <c r="E28" s="69">
        <v>0.1</v>
      </c>
      <c r="F28" s="144">
        <f>+F27*E28</f>
        <v>356.88988106309847</v>
      </c>
      <c r="G28" s="145" t="s">
        <v>125</v>
      </c>
      <c r="H28" s="134" t="s">
        <v>126</v>
      </c>
    </row>
    <row r="29" spans="1:37" s="122" customFormat="1" ht="13.5" customHeight="1" x14ac:dyDescent="0.2">
      <c r="B29" s="61"/>
      <c r="C29" s="357" t="s">
        <v>127</v>
      </c>
      <c r="D29" s="357"/>
      <c r="E29" s="357"/>
      <c r="F29" s="144">
        <f>SUM(F27:F28)</f>
        <v>3925.7886916940829</v>
      </c>
      <c r="G29" s="145">
        <f>+F29/$F$31</f>
        <v>0.68965517241379315</v>
      </c>
      <c r="H29" s="146">
        <f>1-(F29/F31)</f>
        <v>0.31034482758620685</v>
      </c>
    </row>
    <row r="30" spans="1:37" s="122" customFormat="1" ht="12" x14ac:dyDescent="0.2">
      <c r="B30" s="124"/>
      <c r="C30" s="354" t="s">
        <v>128</v>
      </c>
      <c r="D30" s="354"/>
      <c r="E30" s="69">
        <v>0.45</v>
      </c>
      <c r="F30" s="53">
        <f>+F29*E30</f>
        <v>1766.6049112623373</v>
      </c>
      <c r="G30" s="140"/>
      <c r="H30" s="147"/>
    </row>
    <row r="31" spans="1:37" s="122" customFormat="1" ht="12.75" thickBot="1" x14ac:dyDescent="0.25">
      <c r="B31" s="124"/>
      <c r="C31" s="354" t="s">
        <v>129</v>
      </c>
      <c r="D31" s="354"/>
      <c r="E31" s="148"/>
      <c r="F31" s="53">
        <f>SUM(F29:F30)</f>
        <v>5692.3936029564202</v>
      </c>
      <c r="G31" s="140"/>
      <c r="H31" s="138"/>
    </row>
    <row r="32" spans="1:37" s="122" customFormat="1" ht="12.75" thickBot="1" x14ac:dyDescent="0.25">
      <c r="B32" s="124"/>
      <c r="C32" s="358" t="s">
        <v>130</v>
      </c>
      <c r="D32" s="358"/>
      <c r="E32" s="149">
        <v>0.13</v>
      </c>
      <c r="F32" s="150">
        <f>+F31*(1+E32)</f>
        <v>6432.4047713407545</v>
      </c>
      <c r="G32" s="140"/>
      <c r="H32" s="138"/>
    </row>
    <row r="33" spans="1:37" s="122" customFormat="1" ht="12.75" thickBot="1" x14ac:dyDescent="0.25">
      <c r="A33" s="351"/>
      <c r="B33" s="352"/>
      <c r="C33" s="352"/>
      <c r="D33" s="352"/>
      <c r="E33" s="352"/>
      <c r="F33" s="352"/>
      <c r="G33" s="352"/>
      <c r="H33" s="352"/>
    </row>
    <row r="34" spans="1:37" s="122" customFormat="1" ht="12" x14ac:dyDescent="0.2">
      <c r="B34" s="124"/>
      <c r="C34" s="353" t="s">
        <v>131</v>
      </c>
      <c r="D34" s="353"/>
      <c r="E34" s="151">
        <v>0.65</v>
      </c>
      <c r="F34" s="152">
        <f>+F31/0.65</f>
        <v>8757.528619932953</v>
      </c>
      <c r="G34" s="140"/>
      <c r="H34" s="138"/>
    </row>
    <row r="35" spans="1:37" s="122" customFormat="1" ht="12" x14ac:dyDescent="0.2">
      <c r="B35" s="124"/>
      <c r="C35" s="354" t="s">
        <v>132</v>
      </c>
      <c r="D35" s="354"/>
      <c r="E35" s="151">
        <v>0.13</v>
      </c>
      <c r="F35" s="152">
        <f>+F34*1.13</f>
        <v>9896.0073405242365</v>
      </c>
      <c r="G35" s="140"/>
      <c r="H35" s="138"/>
    </row>
    <row r="36" spans="1:37" s="122" customFormat="1" ht="12.75" thickBot="1" x14ac:dyDescent="0.25">
      <c r="C36" s="327"/>
      <c r="D36" s="327"/>
      <c r="F36" s="153"/>
      <c r="G36" s="154"/>
      <c r="H36" s="134"/>
    </row>
    <row r="37" spans="1:37" s="141" customFormat="1" ht="19.5" customHeight="1" thickBot="1" x14ac:dyDescent="0.3">
      <c r="A37" s="355" t="s">
        <v>133</v>
      </c>
      <c r="B37" s="356"/>
      <c r="C37" s="356"/>
      <c r="D37" s="356"/>
      <c r="E37" s="356"/>
      <c r="F37" s="356"/>
      <c r="G37" s="356"/>
      <c r="H37" s="356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</row>
    <row r="38" spans="1:37" s="122" customFormat="1" ht="12" x14ac:dyDescent="0.2">
      <c r="F38" s="155"/>
      <c r="G38" s="154"/>
      <c r="H38" s="134"/>
    </row>
    <row r="43" spans="1:37" ht="12" x14ac:dyDescent="0.2">
      <c r="H43" s="126"/>
    </row>
  </sheetData>
  <mergeCells count="28">
    <mergeCell ref="C36:D36"/>
    <mergeCell ref="A37:H37"/>
    <mergeCell ref="C28:D28"/>
    <mergeCell ref="C29:E29"/>
    <mergeCell ref="C30:D30"/>
    <mergeCell ref="C31:D31"/>
    <mergeCell ref="C32:D32"/>
    <mergeCell ref="A33:H33"/>
    <mergeCell ref="C23:E23"/>
    <mergeCell ref="A25:H25"/>
    <mergeCell ref="C27:E27"/>
    <mergeCell ref="C34:D34"/>
    <mergeCell ref="C35:D35"/>
    <mergeCell ref="C18:D18"/>
    <mergeCell ref="C19:E19"/>
    <mergeCell ref="C20:D20"/>
    <mergeCell ref="C21:E21"/>
    <mergeCell ref="C22:D22"/>
    <mergeCell ref="C12:D12"/>
    <mergeCell ref="C13:E13"/>
    <mergeCell ref="B15:D15"/>
    <mergeCell ref="C16:D16"/>
    <mergeCell ref="C17:D17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8EEDF5-8E0B-4EAE-A04A-111C5A3C05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3F3DC2-DDDD-44AE-A39A-2A5C828624E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0144115-D7FE-4A86-B34E-D3F35AE89C6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EC5BE03E-8CFE-4F30-A31B-5098735EFD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Chilena </vt:lpstr>
      <vt:lpstr>Precio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ymontenegro</dc:creator>
  <cp:keywords/>
  <dc:description/>
  <cp:lastModifiedBy>Miguel Coto Consultor</cp:lastModifiedBy>
  <cp:revision/>
  <cp:lastPrinted>2025-03-29T18:04:19Z</cp:lastPrinted>
  <dcterms:created xsi:type="dcterms:W3CDTF">2012-05-10T22:32:20Z</dcterms:created>
  <dcterms:modified xsi:type="dcterms:W3CDTF">2025-03-29T18:04:21Z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324400.000000000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
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10" documentId="8_{5BCE8FFD-F58F-49B0-A2EC-5E5B0ADD5732}" xr6:coauthVersionLast="47" xr6:coauthVersionMax="47" xr10:uidLastSave="{FE6853B5-E925-4008-BCAE-A59270460070}"/>
  <bookViews>
    <workbookView xWindow="-120" yWindow="-120" windowWidth="29040" windowHeight="15840" tabRatio="876" xr2:uid="{BB38E728-434F-44BD-8DCC-223822B1C618}"/>
  </bookViews>
  <sheets>
    <sheet name="Hoja1" sheetId="20" r:id="rId1"/>
    <sheet name="costeo brittle" sheetId="7" state="hidden" r:id="rId2"/>
    <sheet name="EMPAQUE BRITTLE" sheetId="11" state="hidden" r:id="rId3"/>
    <sheet name="COSTO EMPAQUE BRITTLE" sheetId="12" state="hidden" r:id="rId4"/>
    <sheet name="ENSAMBLE 2" sheetId="10" state="hidden" r:id="rId5"/>
    <sheet name="Hoja5" sheetId="15" state="hidden" r:id="rId6"/>
    <sheet name="COSTEO ENSAMBLE" sheetId="8" state="hidden" r:id="rId7"/>
    <sheet name="INS" sheetId="13" state="hidden" r:id="rId8"/>
    <sheet name="PRECIO 2" sheetId="14" state="hidden" r:id="rId9"/>
    <sheet name="ENSAMBLE INDUSTRIA " sheetId="17" state="hidden" r:id="rId10"/>
    <sheet name="COSTO ENSAM IND" sheetId="18" state="hidden" r:id="rId11"/>
    <sheet name="PRECIO INDUSTRIA " sheetId="19" state="hidden" r:id="rId12"/>
    <sheet name="PRECIO" sheetId="9" state="hidden" r:id="rId13"/>
    <sheet name="Ensamble" sheetId="6" state="hidden" r:id="rId14"/>
  </sheets>
  <externalReferences>
    <externalReference r:id="rId15"/>
    <externalReference r:id="rId16"/>
    <externalReference r:id="rId17"/>
    <externalReference r:id="rId18"/>
  </externalReferenc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" i="20" l="1"/>
  <c r="N71" i="8"/>
  <c r="N72" i="8"/>
  <c r="F20" i="19"/>
  <c r="F16" i="19"/>
  <c r="F18" i="19"/>
  <c r="E20" i="18"/>
  <c r="F20" i="18"/>
  <c r="C20" i="18"/>
  <c r="C21" i="18"/>
  <c r="D9" i="19"/>
  <c r="D6" i="19"/>
  <c r="D88" i="18"/>
  <c r="D78" i="18"/>
  <c r="D79" i="18"/>
  <c r="D81" i="18"/>
  <c r="D76" i="18"/>
  <c r="D74" i="18"/>
  <c r="N71" i="18"/>
  <c r="N72" i="18"/>
  <c r="F70" i="18"/>
  <c r="C78" i="18"/>
  <c r="D65" i="18"/>
  <c r="D90" i="18"/>
  <c r="D91" i="18"/>
  <c r="E56" i="18"/>
  <c r="C56" i="18"/>
  <c r="F56" i="18"/>
  <c r="E55" i="18"/>
  <c r="D55" i="18"/>
  <c r="B55" i="18"/>
  <c r="E54" i="18"/>
  <c r="F54" i="18"/>
  <c r="D54" i="18"/>
  <c r="B54" i="18"/>
  <c r="E52" i="18"/>
  <c r="F52" i="18"/>
  <c r="D52" i="18"/>
  <c r="B52" i="18"/>
  <c r="E51" i="18"/>
  <c r="E50" i="18"/>
  <c r="D50" i="18"/>
  <c r="B50" i="18"/>
  <c r="E49" i="18"/>
  <c r="D49" i="18"/>
  <c r="B49" i="18"/>
  <c r="E46" i="18"/>
  <c r="D46" i="18"/>
  <c r="B46" i="18"/>
  <c r="A46" i="18"/>
  <c r="C46" i="18"/>
  <c r="E45" i="18"/>
  <c r="D45" i="18"/>
  <c r="B45" i="18"/>
  <c r="A45" i="18"/>
  <c r="A54" i="18"/>
  <c r="C54" i="18"/>
  <c r="A44" i="18"/>
  <c r="A53" i="18"/>
  <c r="C53" i="18"/>
  <c r="E43" i="18"/>
  <c r="D43" i="18"/>
  <c r="B43" i="18"/>
  <c r="A43" i="18"/>
  <c r="A52" i="18"/>
  <c r="C52" i="18"/>
  <c r="E42" i="18"/>
  <c r="A42" i="18"/>
  <c r="A51" i="18"/>
  <c r="C51" i="18"/>
  <c r="E41" i="18"/>
  <c r="D41" i="18"/>
  <c r="B41" i="18"/>
  <c r="A41" i="18"/>
  <c r="E40" i="18"/>
  <c r="F40" i="18"/>
  <c r="D40" i="18"/>
  <c r="C40" i="18"/>
  <c r="B40" i="18"/>
  <c r="A40" i="18"/>
  <c r="A49" i="18"/>
  <c r="C49" i="18"/>
  <c r="F49" i="18"/>
  <c r="E37" i="18"/>
  <c r="F37" i="18"/>
  <c r="D37" i="18"/>
  <c r="C37" i="18"/>
  <c r="B37" i="18"/>
  <c r="E36" i="18"/>
  <c r="F36" i="18"/>
  <c r="D36" i="18"/>
  <c r="C36" i="18"/>
  <c r="B36" i="18"/>
  <c r="E35" i="18"/>
  <c r="D35" i="18"/>
  <c r="C35" i="18"/>
  <c r="F35" i="18"/>
  <c r="B35" i="18"/>
  <c r="E34" i="18"/>
  <c r="F34" i="18"/>
  <c r="D34" i="18"/>
  <c r="C34" i="18"/>
  <c r="B34" i="18"/>
  <c r="E33" i="18"/>
  <c r="F33" i="18"/>
  <c r="D33" i="18"/>
  <c r="C33" i="18"/>
  <c r="B33" i="18"/>
  <c r="E32" i="18"/>
  <c r="D32" i="18"/>
  <c r="C32" i="18"/>
  <c r="B32" i="18"/>
  <c r="E31" i="18"/>
  <c r="F31" i="18"/>
  <c r="D31" i="18"/>
  <c r="C31" i="18"/>
  <c r="B31" i="18"/>
  <c r="E30" i="18"/>
  <c r="F30" i="18"/>
  <c r="D30" i="18"/>
  <c r="C30" i="18"/>
  <c r="B30" i="18"/>
  <c r="E29" i="18"/>
  <c r="F29" i="18"/>
  <c r="D29" i="18"/>
  <c r="C29" i="18"/>
  <c r="B29" i="18"/>
  <c r="E28" i="18"/>
  <c r="D28" i="18"/>
  <c r="C28" i="18"/>
  <c r="F28" i="18"/>
  <c r="B28" i="18"/>
  <c r="E27" i="18"/>
  <c r="D27" i="18"/>
  <c r="C27" i="18"/>
  <c r="F27" i="18"/>
  <c r="B27" i="18"/>
  <c r="E24" i="18"/>
  <c r="F24" i="18"/>
  <c r="D24" i="18"/>
  <c r="C24" i="18"/>
  <c r="B24" i="18"/>
  <c r="E23" i="18"/>
  <c r="F23" i="18"/>
  <c r="D23" i="18"/>
  <c r="C23" i="18"/>
  <c r="B23" i="18"/>
  <c r="E22" i="18"/>
  <c r="F22" i="18"/>
  <c r="D22" i="18"/>
  <c r="C22" i="18"/>
  <c r="B22" i="18"/>
  <c r="B20" i="18"/>
  <c r="E19" i="18"/>
  <c r="C19" i="18"/>
  <c r="F19" i="18"/>
  <c r="E18" i="18"/>
  <c r="D18" i="18"/>
  <c r="C18" i="18"/>
  <c r="F18" i="18"/>
  <c r="B18" i="18"/>
  <c r="E17" i="18"/>
  <c r="F17" i="18"/>
  <c r="D17" i="18"/>
  <c r="C17" i="18"/>
  <c r="B17" i="18"/>
  <c r="B15" i="18"/>
  <c r="E14" i="18"/>
  <c r="D14" i="18"/>
  <c r="C14" i="18"/>
  <c r="B14" i="18"/>
  <c r="E13" i="18"/>
  <c r="F13" i="18"/>
  <c r="D13" i="18"/>
  <c r="C13" i="18"/>
  <c r="B13" i="18"/>
  <c r="E12" i="18"/>
  <c r="F12" i="18"/>
  <c r="D12" i="18"/>
  <c r="C12" i="18"/>
  <c r="B12" i="18"/>
  <c r="E11" i="18"/>
  <c r="F11" i="18"/>
  <c r="D11" i="18"/>
  <c r="C11" i="18"/>
  <c r="B11" i="18"/>
  <c r="E10" i="18"/>
  <c r="D10" i="18"/>
  <c r="C10" i="18"/>
  <c r="F10" i="18"/>
  <c r="B10" i="18"/>
  <c r="E9" i="18"/>
  <c r="D9" i="18"/>
  <c r="C9" i="18"/>
  <c r="F9" i="18"/>
  <c r="B9" i="18"/>
  <c r="E8" i="18"/>
  <c r="F8" i="18"/>
  <c r="D8" i="18"/>
  <c r="C8" i="18"/>
  <c r="B8" i="18"/>
  <c r="H6" i="18"/>
  <c r="C32" i="17"/>
  <c r="C31" i="17"/>
  <c r="I53" i="14"/>
  <c r="I54" i="14"/>
  <c r="F38" i="14"/>
  <c r="G38" i="14"/>
  <c r="E38" i="14"/>
  <c r="D38" i="14"/>
  <c r="C38" i="14"/>
  <c r="F37" i="14"/>
  <c r="E37" i="14"/>
  <c r="D37" i="14"/>
  <c r="C37" i="14"/>
  <c r="F36" i="14"/>
  <c r="G36" i="14"/>
  <c r="E36" i="14"/>
  <c r="D36" i="14"/>
  <c r="C36" i="14"/>
  <c r="F35" i="14"/>
  <c r="G35" i="14"/>
  <c r="E35" i="14"/>
  <c r="D35" i="14"/>
  <c r="C35" i="14"/>
  <c r="F34" i="14"/>
  <c r="E34" i="14"/>
  <c r="D34" i="14"/>
  <c r="C34" i="14"/>
  <c r="F33" i="14"/>
  <c r="E33" i="14"/>
  <c r="D33" i="14"/>
  <c r="C33" i="14"/>
  <c r="F31" i="14"/>
  <c r="E31" i="14"/>
  <c r="D31" i="14"/>
  <c r="C31" i="14"/>
  <c r="F30" i="14"/>
  <c r="G30" i="14"/>
  <c r="E30" i="14"/>
  <c r="D30" i="14"/>
  <c r="C30" i="14"/>
  <c r="F29" i="14"/>
  <c r="E29" i="14"/>
  <c r="D29" i="14"/>
  <c r="C29" i="14"/>
  <c r="F28" i="14"/>
  <c r="E28" i="14"/>
  <c r="D28" i="14"/>
  <c r="C28" i="14"/>
  <c r="F27" i="14"/>
  <c r="E27" i="14"/>
  <c r="D27" i="14"/>
  <c r="C27" i="14"/>
  <c r="F26" i="14"/>
  <c r="G26" i="14"/>
  <c r="E26" i="14"/>
  <c r="D26" i="14"/>
  <c r="C26" i="14"/>
  <c r="F25" i="14"/>
  <c r="G25" i="14"/>
  <c r="E25" i="14"/>
  <c r="D25" i="14"/>
  <c r="C25" i="14"/>
  <c r="F24" i="14"/>
  <c r="G24" i="14"/>
  <c r="E24" i="14"/>
  <c r="D24" i="14"/>
  <c r="C24" i="14"/>
  <c r="F20" i="14"/>
  <c r="G20" i="14"/>
  <c r="E20" i="14"/>
  <c r="D20" i="14"/>
  <c r="C20" i="14"/>
  <c r="F19" i="14"/>
  <c r="E19" i="14"/>
  <c r="D19" i="14"/>
  <c r="G19" i="14"/>
  <c r="C19" i="14"/>
  <c r="F18" i="14"/>
  <c r="G18" i="14"/>
  <c r="E18" i="14"/>
  <c r="D18" i="14"/>
  <c r="C18" i="14"/>
  <c r="F17" i="14"/>
  <c r="E17" i="14"/>
  <c r="D17" i="14"/>
  <c r="G17" i="14"/>
  <c r="C17" i="14"/>
  <c r="F14" i="14"/>
  <c r="G14" i="14"/>
  <c r="E14" i="14"/>
  <c r="D14" i="14"/>
  <c r="C14" i="14"/>
  <c r="F13" i="14"/>
  <c r="G13" i="14"/>
  <c r="E13" i="14"/>
  <c r="D13" i="14"/>
  <c r="C13" i="14"/>
  <c r="F12" i="14"/>
  <c r="E12" i="14"/>
  <c r="D12" i="14"/>
  <c r="G12" i="14"/>
  <c r="C12" i="14"/>
  <c r="F11" i="14"/>
  <c r="G11" i="14"/>
  <c r="E11" i="14"/>
  <c r="D11" i="14"/>
  <c r="C11" i="14"/>
  <c r="D10" i="14"/>
  <c r="D9" i="14"/>
  <c r="I7" i="14"/>
  <c r="D73" i="12"/>
  <c r="D74" i="12"/>
  <c r="D76" i="12"/>
  <c r="D71" i="12"/>
  <c r="D69" i="12"/>
  <c r="F65" i="12"/>
  <c r="C73" i="12"/>
  <c r="D60" i="12"/>
  <c r="D85" i="12"/>
  <c r="D86" i="12"/>
  <c r="C51" i="12"/>
  <c r="E50" i="12"/>
  <c r="D50" i="12"/>
  <c r="B50" i="12"/>
  <c r="E49" i="12"/>
  <c r="D49" i="12"/>
  <c r="B49" i="12"/>
  <c r="E48" i="12"/>
  <c r="D48" i="12"/>
  <c r="B48" i="12"/>
  <c r="E47" i="12"/>
  <c r="D47" i="12"/>
  <c r="B47" i="12"/>
  <c r="E46" i="12"/>
  <c r="D46" i="12"/>
  <c r="B46" i="12"/>
  <c r="E45" i="12"/>
  <c r="D45" i="12"/>
  <c r="B45" i="12"/>
  <c r="E41" i="12"/>
  <c r="D41" i="12"/>
  <c r="B41" i="12"/>
  <c r="A41" i="12"/>
  <c r="E40" i="12"/>
  <c r="D40" i="12"/>
  <c r="B40" i="12"/>
  <c r="A40" i="12"/>
  <c r="E39" i="12"/>
  <c r="D39" i="12"/>
  <c r="B39" i="12"/>
  <c r="A39" i="12"/>
  <c r="A48" i="12"/>
  <c r="C48" i="12"/>
  <c r="F48" i="12"/>
  <c r="E38" i="12"/>
  <c r="F38" i="12"/>
  <c r="D38" i="12"/>
  <c r="C38" i="12"/>
  <c r="B38" i="12"/>
  <c r="A38" i="12"/>
  <c r="A47" i="12"/>
  <c r="C47" i="12"/>
  <c r="F47" i="12"/>
  <c r="E37" i="12"/>
  <c r="D37" i="12"/>
  <c r="B37" i="12"/>
  <c r="A37" i="12"/>
  <c r="C37" i="12"/>
  <c r="E36" i="12"/>
  <c r="F36" i="12"/>
  <c r="D36" i="12"/>
  <c r="B36" i="12"/>
  <c r="A36" i="12"/>
  <c r="C36" i="12"/>
  <c r="A35" i="12"/>
  <c r="A44" i="12"/>
  <c r="C44" i="12"/>
  <c r="E32" i="12"/>
  <c r="F32" i="12"/>
  <c r="D32" i="12"/>
  <c r="C32" i="12"/>
  <c r="B32" i="12"/>
  <c r="E31" i="12"/>
  <c r="F31" i="12"/>
  <c r="D31" i="12"/>
  <c r="C31" i="12"/>
  <c r="B31" i="12"/>
  <c r="C30" i="12"/>
  <c r="F30" i="12"/>
  <c r="E29" i="12"/>
  <c r="D29" i="12"/>
  <c r="C29" i="12"/>
  <c r="B29" i="12"/>
  <c r="E28" i="12"/>
  <c r="F28" i="12"/>
  <c r="D28" i="12"/>
  <c r="C28" i="12"/>
  <c r="B28" i="12"/>
  <c r="E27" i="12"/>
  <c r="F27" i="12"/>
  <c r="D27" i="12"/>
  <c r="C27" i="12"/>
  <c r="B27" i="12"/>
  <c r="E24" i="12"/>
  <c r="F24" i="12"/>
  <c r="D24" i="12"/>
  <c r="C24" i="12"/>
  <c r="B24" i="12"/>
  <c r="E23" i="12"/>
  <c r="F23" i="12"/>
  <c r="D23" i="12"/>
  <c r="C23" i="12"/>
  <c r="B23" i="12"/>
  <c r="E22" i="12"/>
  <c r="D22" i="12"/>
  <c r="C22" i="12"/>
  <c r="B22" i="12"/>
  <c r="E21" i="12"/>
  <c r="F21" i="12"/>
  <c r="D21" i="12"/>
  <c r="C21" i="12"/>
  <c r="B21" i="12"/>
  <c r="E20" i="12"/>
  <c r="F20" i="12"/>
  <c r="D20" i="12"/>
  <c r="C20" i="12"/>
  <c r="B20" i="12"/>
  <c r="E19" i="12"/>
  <c r="F19" i="12"/>
  <c r="D19" i="12"/>
  <c r="C19" i="12"/>
  <c r="B19" i="12"/>
  <c r="E18" i="12"/>
  <c r="D18" i="12"/>
  <c r="C18" i="12"/>
  <c r="B18" i="12"/>
  <c r="C17" i="12"/>
  <c r="B15" i="12"/>
  <c r="E14" i="12"/>
  <c r="F14" i="12"/>
  <c r="D14" i="12"/>
  <c r="C14" i="12"/>
  <c r="B14" i="12"/>
  <c r="E13" i="12"/>
  <c r="D13" i="12"/>
  <c r="C13" i="12"/>
  <c r="F13" i="12"/>
  <c r="B13" i="12"/>
  <c r="E12" i="12"/>
  <c r="D12" i="12"/>
  <c r="C12" i="12"/>
  <c r="F12" i="12"/>
  <c r="B12" i="12"/>
  <c r="E11" i="12"/>
  <c r="F11" i="12"/>
  <c r="D11" i="12"/>
  <c r="C11" i="12"/>
  <c r="B11" i="12"/>
  <c r="E10" i="12"/>
  <c r="D10" i="12"/>
  <c r="C10" i="12"/>
  <c r="B10" i="12"/>
  <c r="E9" i="12"/>
  <c r="F9" i="12"/>
  <c r="D9" i="12"/>
  <c r="C9" i="12"/>
  <c r="B9" i="12"/>
  <c r="E8" i="12"/>
  <c r="F8" i="12"/>
  <c r="D8" i="12"/>
  <c r="C8" i="12"/>
  <c r="B8" i="12"/>
  <c r="H6" i="12"/>
  <c r="J29" i="9"/>
  <c r="J28" i="9"/>
  <c r="G34" i="14"/>
  <c r="G28" i="14"/>
  <c r="G31" i="14"/>
  <c r="D81" i="12"/>
  <c r="D83" i="12"/>
  <c r="F29" i="12"/>
  <c r="C39" i="12"/>
  <c r="C35" i="12"/>
  <c r="A46" i="12"/>
  <c r="C46" i="12"/>
  <c r="F46" i="12"/>
  <c r="E51" i="12"/>
  <c r="F51" i="12"/>
  <c r="A45" i="12"/>
  <c r="C45" i="12"/>
  <c r="H36" i="9"/>
  <c r="F24" i="9"/>
  <c r="F20" i="9"/>
  <c r="D13" i="9"/>
  <c r="F13" i="9"/>
  <c r="F10" i="9"/>
  <c r="D12" i="9"/>
  <c r="F12" i="9"/>
  <c r="D11" i="9"/>
  <c r="F11" i="9"/>
  <c r="E10" i="9"/>
  <c r="D9" i="9"/>
  <c r="D6" i="9"/>
  <c r="B28" i="8"/>
  <c r="C28" i="8"/>
  <c r="F28" i="8"/>
  <c r="D28" i="8"/>
  <c r="E28" i="8"/>
  <c r="B29" i="8"/>
  <c r="C29" i="8"/>
  <c r="F29" i="8"/>
  <c r="D29" i="8"/>
  <c r="E29" i="8"/>
  <c r="B30" i="8"/>
  <c r="C30" i="8"/>
  <c r="F30" i="8"/>
  <c r="D30" i="8"/>
  <c r="E30" i="8"/>
  <c r="B31" i="8"/>
  <c r="C31" i="8"/>
  <c r="D31" i="8"/>
  <c r="E31" i="8"/>
  <c r="F31" i="8"/>
  <c r="B32" i="8"/>
  <c r="C32" i="8"/>
  <c r="D32" i="8"/>
  <c r="E32" i="8"/>
  <c r="E51" i="8"/>
  <c r="F51" i="8"/>
  <c r="E42" i="8"/>
  <c r="E19" i="8"/>
  <c r="F19" i="8"/>
  <c r="A41" i="8"/>
  <c r="C41" i="8"/>
  <c r="F41" i="8"/>
  <c r="D78" i="8"/>
  <c r="D79" i="8"/>
  <c r="D81" i="8"/>
  <c r="D76" i="8"/>
  <c r="D74" i="8"/>
  <c r="F70" i="8"/>
  <c r="C78" i="8"/>
  <c r="D65" i="8"/>
  <c r="D90" i="8"/>
  <c r="D91" i="8"/>
  <c r="C56" i="8"/>
  <c r="E55" i="8"/>
  <c r="D55" i="8"/>
  <c r="B55" i="8"/>
  <c r="E54" i="8"/>
  <c r="D54" i="8"/>
  <c r="B54" i="8"/>
  <c r="E52" i="8"/>
  <c r="D52" i="8"/>
  <c r="B52" i="8"/>
  <c r="E50" i="8"/>
  <c r="F50" i="8"/>
  <c r="D50" i="8"/>
  <c r="B50" i="8"/>
  <c r="E49" i="8"/>
  <c r="D49" i="8"/>
  <c r="B49" i="8"/>
  <c r="E46" i="8"/>
  <c r="F46" i="8"/>
  <c r="D46" i="8"/>
  <c r="B46" i="8"/>
  <c r="A46" i="8"/>
  <c r="C46" i="8"/>
  <c r="E45" i="8"/>
  <c r="F45" i="8"/>
  <c r="D45" i="8"/>
  <c r="B45" i="8"/>
  <c r="A45" i="8"/>
  <c r="C45" i="8"/>
  <c r="A44" i="8"/>
  <c r="C44" i="8"/>
  <c r="A53" i="8"/>
  <c r="C53" i="8"/>
  <c r="E43" i="8"/>
  <c r="F43" i="8"/>
  <c r="D43" i="8"/>
  <c r="B43" i="8"/>
  <c r="A43" i="8"/>
  <c r="C43" i="8"/>
  <c r="A42" i="8"/>
  <c r="A51" i="8"/>
  <c r="C51" i="8"/>
  <c r="E41" i="8"/>
  <c r="D41" i="8"/>
  <c r="B41" i="8"/>
  <c r="E40" i="8"/>
  <c r="D40" i="8"/>
  <c r="B40" i="8"/>
  <c r="A40" i="8"/>
  <c r="E37" i="8"/>
  <c r="F37" i="8"/>
  <c r="D37" i="8"/>
  <c r="C37" i="8"/>
  <c r="B37" i="8"/>
  <c r="E36" i="8"/>
  <c r="D36" i="8"/>
  <c r="C36" i="8"/>
  <c r="F36" i="8"/>
  <c r="B36" i="8"/>
  <c r="E35" i="8"/>
  <c r="D35" i="8"/>
  <c r="C35" i="8"/>
  <c r="F35" i="8"/>
  <c r="B35" i="8"/>
  <c r="E34" i="8"/>
  <c r="F34" i="8"/>
  <c r="D34" i="8"/>
  <c r="C34" i="8"/>
  <c r="B34" i="8"/>
  <c r="E33" i="8"/>
  <c r="F33" i="8"/>
  <c r="D33" i="8"/>
  <c r="C33" i="8"/>
  <c r="B33" i="8"/>
  <c r="E27" i="8"/>
  <c r="F27" i="8"/>
  <c r="D27" i="8"/>
  <c r="C27" i="8"/>
  <c r="B27" i="8"/>
  <c r="E24" i="8"/>
  <c r="F24" i="8"/>
  <c r="D24" i="8"/>
  <c r="C24" i="8"/>
  <c r="B24" i="8"/>
  <c r="E23" i="8"/>
  <c r="F23" i="8"/>
  <c r="D23" i="8"/>
  <c r="C23" i="8"/>
  <c r="B23" i="8"/>
  <c r="E22" i="8"/>
  <c r="F22" i="8"/>
  <c r="D22" i="8"/>
  <c r="C22" i="8"/>
  <c r="B22" i="8"/>
  <c r="E20" i="8"/>
  <c r="F20" i="8"/>
  <c r="D20" i="8"/>
  <c r="C20" i="8"/>
  <c r="B20" i="8"/>
  <c r="C19" i="8"/>
  <c r="E18" i="8"/>
  <c r="F18" i="8"/>
  <c r="D18" i="8"/>
  <c r="C18" i="8"/>
  <c r="B18" i="8"/>
  <c r="E17" i="8"/>
  <c r="F17" i="8"/>
  <c r="D17" i="8"/>
  <c r="C17" i="8"/>
  <c r="B17" i="8"/>
  <c r="B15" i="8"/>
  <c r="E14" i="8"/>
  <c r="D14" i="8"/>
  <c r="C14" i="8"/>
  <c r="F14" i="8"/>
  <c r="B14" i="8"/>
  <c r="E13" i="8"/>
  <c r="F13" i="8"/>
  <c r="D13" i="8"/>
  <c r="C13" i="8"/>
  <c r="B13" i="8"/>
  <c r="E12" i="8"/>
  <c r="D12" i="8"/>
  <c r="C12" i="8"/>
  <c r="F12" i="8"/>
  <c r="B12" i="8"/>
  <c r="E11" i="8"/>
  <c r="D11" i="8"/>
  <c r="C11" i="8"/>
  <c r="B11" i="8"/>
  <c r="E10" i="8"/>
  <c r="D10" i="8"/>
  <c r="C10" i="8"/>
  <c r="F10" i="8"/>
  <c r="B10" i="8"/>
  <c r="E9" i="8"/>
  <c r="F9" i="8"/>
  <c r="D9" i="8"/>
  <c r="C9" i="8"/>
  <c r="B9" i="8"/>
  <c r="E8" i="8"/>
  <c r="D8" i="8"/>
  <c r="C8" i="8"/>
  <c r="F8" i="8"/>
  <c r="B8" i="8"/>
  <c r="H6" i="8"/>
  <c r="D83" i="7"/>
  <c r="D73" i="7"/>
  <c r="D74" i="7"/>
  <c r="D76" i="7"/>
  <c r="D71" i="7"/>
  <c r="D69" i="7"/>
  <c r="F65" i="7"/>
  <c r="C73" i="7"/>
  <c r="C85" i="7"/>
  <c r="D60" i="7"/>
  <c r="D85" i="7"/>
  <c r="D86" i="7"/>
  <c r="C51" i="7"/>
  <c r="E50" i="7"/>
  <c r="D50" i="7"/>
  <c r="B50" i="7"/>
  <c r="E49" i="7"/>
  <c r="D49" i="7"/>
  <c r="B49" i="7"/>
  <c r="E48" i="7"/>
  <c r="D48" i="7"/>
  <c r="B48" i="7"/>
  <c r="E47" i="7"/>
  <c r="D47" i="7"/>
  <c r="B47" i="7"/>
  <c r="A47" i="7"/>
  <c r="C47" i="7"/>
  <c r="F47" i="7"/>
  <c r="E46" i="7"/>
  <c r="F46" i="7"/>
  <c r="D46" i="7"/>
  <c r="B46" i="7"/>
  <c r="E45" i="7"/>
  <c r="D45" i="7"/>
  <c r="B45" i="7"/>
  <c r="E44" i="7"/>
  <c r="D44" i="7"/>
  <c r="B44" i="7"/>
  <c r="E41" i="7"/>
  <c r="D41" i="7"/>
  <c r="B41" i="7"/>
  <c r="A41" i="7"/>
  <c r="C41" i="7"/>
  <c r="F41" i="7"/>
  <c r="E40" i="7"/>
  <c r="D40" i="7"/>
  <c r="B40" i="7"/>
  <c r="A40" i="7"/>
  <c r="E39" i="7"/>
  <c r="D39" i="7"/>
  <c r="B39" i="7"/>
  <c r="A39" i="7"/>
  <c r="A48" i="7"/>
  <c r="C48" i="7"/>
  <c r="F48" i="7"/>
  <c r="E38" i="7"/>
  <c r="D38" i="7"/>
  <c r="B38" i="7"/>
  <c r="A38" i="7"/>
  <c r="C38" i="7"/>
  <c r="E37" i="7"/>
  <c r="F37" i="7"/>
  <c r="D37" i="7"/>
  <c r="B37" i="7"/>
  <c r="A37" i="7"/>
  <c r="C37" i="7"/>
  <c r="E36" i="7"/>
  <c r="D36" i="7"/>
  <c r="B36" i="7"/>
  <c r="A36" i="7"/>
  <c r="A45" i="7"/>
  <c r="C45" i="7"/>
  <c r="F45" i="7"/>
  <c r="E35" i="7"/>
  <c r="F35" i="7"/>
  <c r="D35" i="7"/>
  <c r="B35" i="7"/>
  <c r="A35" i="7"/>
  <c r="A44" i="7"/>
  <c r="C44" i="7"/>
  <c r="E32" i="7"/>
  <c r="F32" i="7"/>
  <c r="D32" i="7"/>
  <c r="C32" i="7"/>
  <c r="B32" i="7"/>
  <c r="E31" i="7"/>
  <c r="F31" i="7"/>
  <c r="D31" i="7"/>
  <c r="C31" i="7"/>
  <c r="B31" i="7"/>
  <c r="E30" i="7"/>
  <c r="D30" i="7"/>
  <c r="C30" i="7"/>
  <c r="F30" i="7"/>
  <c r="B30" i="7"/>
  <c r="E29" i="7"/>
  <c r="D29" i="7"/>
  <c r="C29" i="7"/>
  <c r="B29" i="7"/>
  <c r="E28" i="7"/>
  <c r="F28" i="7"/>
  <c r="D28" i="7"/>
  <c r="C28" i="7"/>
  <c r="B28" i="7"/>
  <c r="E27" i="7"/>
  <c r="D27" i="7"/>
  <c r="C27" i="7"/>
  <c r="B27" i="7"/>
  <c r="E24" i="7"/>
  <c r="D24" i="7"/>
  <c r="C24" i="7"/>
  <c r="F24" i="7"/>
  <c r="B24" i="7"/>
  <c r="E23" i="7"/>
  <c r="F23" i="7"/>
  <c r="D23" i="7"/>
  <c r="C23" i="7"/>
  <c r="B23" i="7"/>
  <c r="E22" i="7"/>
  <c r="F22" i="7"/>
  <c r="D22" i="7"/>
  <c r="C22" i="7"/>
  <c r="B22" i="7"/>
  <c r="E21" i="7"/>
  <c r="F21" i="7"/>
  <c r="D21" i="7"/>
  <c r="C21" i="7"/>
  <c r="B21" i="7"/>
  <c r="E20" i="7"/>
  <c r="F20" i="7"/>
  <c r="D20" i="7"/>
  <c r="C20" i="7"/>
  <c r="B20" i="7"/>
  <c r="E19" i="7"/>
  <c r="D19" i="7"/>
  <c r="C19" i="7"/>
  <c r="B19" i="7"/>
  <c r="E18" i="7"/>
  <c r="D18" i="7"/>
  <c r="C18" i="7"/>
  <c r="F18" i="7"/>
  <c r="B18" i="7"/>
  <c r="E17" i="7"/>
  <c r="D17" i="7"/>
  <c r="C17" i="7"/>
  <c r="F17" i="7"/>
  <c r="B17" i="7"/>
  <c r="B15" i="7"/>
  <c r="E14" i="7"/>
  <c r="F14" i="7"/>
  <c r="D14" i="7"/>
  <c r="C14" i="7"/>
  <c r="B14" i="7"/>
  <c r="E13" i="7"/>
  <c r="D13" i="7"/>
  <c r="C13" i="7"/>
  <c r="B13" i="7"/>
  <c r="E12" i="7"/>
  <c r="F12" i="7"/>
  <c r="D12" i="7"/>
  <c r="C12" i="7"/>
  <c r="B12" i="7"/>
  <c r="E11" i="7"/>
  <c r="F11" i="7"/>
  <c r="D11" i="7"/>
  <c r="C11" i="7"/>
  <c r="B11" i="7"/>
  <c r="E10" i="7"/>
  <c r="F10" i="7"/>
  <c r="D10" i="7"/>
  <c r="C10" i="7"/>
  <c r="B10" i="7"/>
  <c r="E9" i="7"/>
  <c r="D9" i="7"/>
  <c r="C9" i="7"/>
  <c r="F9" i="7"/>
  <c r="B9" i="7"/>
  <c r="E8" i="7"/>
  <c r="D8" i="7"/>
  <c r="C8" i="7"/>
  <c r="F8" i="7"/>
  <c r="B8" i="7"/>
  <c r="H6" i="7"/>
  <c r="C35" i="6"/>
  <c r="D88" i="8"/>
  <c r="A55" i="8"/>
  <c r="C55" i="8"/>
  <c r="F55" i="8"/>
  <c r="A54" i="8"/>
  <c r="C54" i="8"/>
  <c r="F54" i="8"/>
  <c r="A52" i="8"/>
  <c r="C52" i="8"/>
  <c r="F52" i="8"/>
  <c r="C36" i="7"/>
  <c r="C35" i="7"/>
  <c r="A46" i="7"/>
  <c r="C46" i="7"/>
  <c r="A50" i="7"/>
  <c r="C50" i="7"/>
  <c r="F50" i="7"/>
  <c r="E51" i="7"/>
  <c r="F51" i="7"/>
  <c r="D81" i="7"/>
  <c r="E56" i="8"/>
  <c r="F56" i="8"/>
  <c r="D86" i="8"/>
  <c r="C42" i="8"/>
  <c r="F42" i="8"/>
  <c r="F22" i="9"/>
  <c r="G22" i="9"/>
  <c r="A50" i="8"/>
  <c r="C50" i="8"/>
  <c r="G27" i="9"/>
  <c r="F31" i="9"/>
  <c r="G20" i="9"/>
  <c r="G24" i="9"/>
  <c r="C90" i="18"/>
  <c r="E90" i="18"/>
  <c r="E78" i="18"/>
  <c r="F46" i="18"/>
  <c r="C43" i="18"/>
  <c r="F43" i="18"/>
  <c r="C45" i="18"/>
  <c r="D86" i="18"/>
  <c r="C42" i="18"/>
  <c r="F42" i="18"/>
  <c r="C44" i="18"/>
  <c r="A55" i="18"/>
  <c r="C55" i="18"/>
  <c r="F41" i="14"/>
  <c r="G41" i="14"/>
  <c r="F19" i="7"/>
  <c r="F36" i="7"/>
  <c r="F32" i="9"/>
  <c r="E73" i="7"/>
  <c r="A49" i="7"/>
  <c r="C49" i="7"/>
  <c r="F49" i="7"/>
  <c r="C40" i="7"/>
  <c r="F40" i="7"/>
  <c r="C41" i="12"/>
  <c r="A50" i="12"/>
  <c r="C50" i="12"/>
  <c r="F50" i="12"/>
  <c r="E85" i="7"/>
  <c r="F41" i="18"/>
  <c r="C39" i="7"/>
  <c r="F39" i="7"/>
  <c r="F32" i="18"/>
  <c r="F55" i="18"/>
  <c r="G29" i="14"/>
  <c r="G33" i="14"/>
  <c r="F29" i="7"/>
  <c r="A49" i="8"/>
  <c r="C49" i="8"/>
  <c r="F49" i="8"/>
  <c r="C40" i="8"/>
  <c r="F40" i="8"/>
  <c r="E78" i="8"/>
  <c r="C90" i="8"/>
  <c r="E90" i="8"/>
  <c r="D10" i="9"/>
  <c r="F13" i="7"/>
  <c r="F27" i="7"/>
  <c r="F32" i="8"/>
  <c r="F44" i="7"/>
  <c r="F10" i="12"/>
  <c r="F41" i="12"/>
  <c r="C85" i="12"/>
  <c r="E85" i="12"/>
  <c r="E73" i="12"/>
  <c r="F45" i="18"/>
  <c r="F18" i="12"/>
  <c r="G27" i="14"/>
  <c r="F51" i="18"/>
  <c r="F38" i="7"/>
  <c r="F37" i="12"/>
  <c r="F39" i="12"/>
  <c r="F45" i="12"/>
  <c r="G37" i="14"/>
  <c r="C40" i="12"/>
  <c r="F40" i="12"/>
  <c r="A49" i="12"/>
  <c r="C49" i="12"/>
  <c r="F49" i="12"/>
  <c r="F14" i="18"/>
  <c r="A50" i="18"/>
  <c r="C50" i="18"/>
  <c r="F50" i="18"/>
  <c r="C41" i="18"/>
  <c r="F11" i="8"/>
  <c r="F22" i="12"/>
  <c r="F33" i="9"/>
  <c r="F34" i="9"/>
  <c r="F53" i="7"/>
  <c r="F58" i="8"/>
  <c r="F54" i="7"/>
  <c r="F56" i="7"/>
  <c r="G43" i="14"/>
  <c r="G49" i="14"/>
  <c r="C74" i="8"/>
  <c r="F69" i="8"/>
  <c r="H58" i="8"/>
  <c r="H56" i="7"/>
  <c r="H2" i="7"/>
  <c r="C74" i="7"/>
  <c r="O55" i="7"/>
  <c r="H54" i="7"/>
  <c r="G2" i="7"/>
  <c r="C76" i="7"/>
  <c r="E76" i="7"/>
  <c r="I36" i="9"/>
  <c r="F35" i="9"/>
  <c r="F36" i="9"/>
  <c r="C69" i="7"/>
  <c r="H53" i="7"/>
  <c r="F2" i="7"/>
  <c r="F64" i="7"/>
  <c r="F55" i="7"/>
  <c r="F38" i="9"/>
  <c r="F37" i="9"/>
  <c r="G31" i="9"/>
  <c r="G11" i="9"/>
  <c r="G13" i="9"/>
  <c r="G12" i="9"/>
  <c r="G10" i="9"/>
  <c r="G32" i="9"/>
  <c r="G33" i="9"/>
  <c r="G34" i="9"/>
  <c r="E74" i="8"/>
  <c r="C86" i="8"/>
  <c r="E86" i="8"/>
  <c r="C81" i="7"/>
  <c r="E81" i="7"/>
  <c r="E69" i="7"/>
  <c r="E44" i="18"/>
  <c r="F44" i="18"/>
  <c r="E44" i="8"/>
  <c r="F44" i="8"/>
  <c r="E35" i="12"/>
  <c r="F35" i="12"/>
  <c r="F6" i="9"/>
  <c r="F2" i="8"/>
  <c r="F63" i="7"/>
  <c r="H55" i="7"/>
  <c r="O54" i="7"/>
  <c r="C86" i="7"/>
  <c r="E86" i="7"/>
  <c r="E74" i="7"/>
  <c r="F59" i="18"/>
  <c r="E44" i="12"/>
  <c r="F44" i="12"/>
  <c r="E53" i="8"/>
  <c r="F53" i="8"/>
  <c r="E53" i="18"/>
  <c r="F53" i="18"/>
  <c r="E17" i="12"/>
  <c r="F17" i="12"/>
  <c r="E78" i="7"/>
  <c r="E21" i="18"/>
  <c r="F21" i="18"/>
  <c r="F54" i="12"/>
  <c r="F66" i="7"/>
  <c r="C71" i="7"/>
  <c r="E63" i="7"/>
  <c r="G6" i="9"/>
  <c r="F15" i="9"/>
  <c r="F59" i="8"/>
  <c r="O56" i="7"/>
  <c r="O57" i="7"/>
  <c r="O58" i="7"/>
  <c r="O59" i="7"/>
  <c r="G15" i="9"/>
  <c r="F53" i="12"/>
  <c r="F56" i="12"/>
  <c r="H54" i="12"/>
  <c r="G2" i="12"/>
  <c r="C76" i="12"/>
  <c r="E76" i="12"/>
  <c r="F61" i="18"/>
  <c r="C81" i="8"/>
  <c r="E81" i="8"/>
  <c r="H59" i="8"/>
  <c r="F60" i="8"/>
  <c r="G14" i="7"/>
  <c r="G66" i="7"/>
  <c r="G46" i="7"/>
  <c r="G28" i="7"/>
  <c r="G65" i="7"/>
  <c r="G20" i="7"/>
  <c r="G17" i="7"/>
  <c r="G37" i="7"/>
  <c r="G47" i="7"/>
  <c r="G12" i="7"/>
  <c r="G22" i="7"/>
  <c r="G41" i="7"/>
  <c r="G23" i="7"/>
  <c r="G32" i="7"/>
  <c r="G31" i="7"/>
  <c r="G21" i="7"/>
  <c r="G48" i="7"/>
  <c r="G11" i="7"/>
  <c r="G24" i="7"/>
  <c r="G9" i="7"/>
  <c r="G35" i="7"/>
  <c r="G50" i="7"/>
  <c r="G8" i="7"/>
  <c r="G51" i="7"/>
  <c r="G10" i="7"/>
  <c r="G18" i="7"/>
  <c r="G45" i="7"/>
  <c r="G30" i="7"/>
  <c r="G40" i="7"/>
  <c r="G49" i="7"/>
  <c r="G27" i="7"/>
  <c r="G39" i="7"/>
  <c r="G36" i="7"/>
  <c r="G38" i="7"/>
  <c r="G44" i="7"/>
  <c r="G13" i="7"/>
  <c r="G29" i="7"/>
  <c r="G19" i="7"/>
  <c r="G54" i="7"/>
  <c r="G53" i="7"/>
  <c r="G56" i="7"/>
  <c r="G55" i="7"/>
  <c r="G64" i="7"/>
  <c r="F58" i="18"/>
  <c r="F61" i="8"/>
  <c r="H59" i="18"/>
  <c r="C81" i="18"/>
  <c r="E81" i="18"/>
  <c r="E71" i="7"/>
  <c r="C83" i="7"/>
  <c r="E83" i="7"/>
  <c r="G63" i="7"/>
  <c r="O60" i="7"/>
  <c r="O61" i="7"/>
  <c r="O62" i="7"/>
  <c r="H53" i="12"/>
  <c r="F2" i="12"/>
  <c r="F55" i="12"/>
  <c r="C69" i="12"/>
  <c r="F64" i="12"/>
  <c r="E9" i="19"/>
  <c r="F9" i="19"/>
  <c r="G2" i="18"/>
  <c r="O59" i="8"/>
  <c r="F68" i="8"/>
  <c r="H60" i="8"/>
  <c r="C74" i="12"/>
  <c r="H56" i="12"/>
  <c r="H2" i="12"/>
  <c r="H61" i="8"/>
  <c r="H2" i="8"/>
  <c r="C79" i="8"/>
  <c r="G2" i="8"/>
  <c r="F9" i="9"/>
  <c r="H58" i="18"/>
  <c r="F60" i="18"/>
  <c r="F69" i="18"/>
  <c r="C74" i="18"/>
  <c r="C79" i="18"/>
  <c r="H61" i="18"/>
  <c r="H2" i="18"/>
  <c r="E6" i="19"/>
  <c r="F6" i="19"/>
  <c r="F2" i="18"/>
  <c r="C91" i="8"/>
  <c r="E91" i="8"/>
  <c r="E79" i="8"/>
  <c r="E83" i="8"/>
  <c r="E69" i="12"/>
  <c r="C81" i="12"/>
  <c r="E81" i="12"/>
  <c r="F63" i="12"/>
  <c r="H55" i="12"/>
  <c r="O54" i="12"/>
  <c r="O59" i="18"/>
  <c r="H60" i="18"/>
  <c r="F68" i="18"/>
  <c r="F16" i="9"/>
  <c r="G9" i="9"/>
  <c r="F12" i="19"/>
  <c r="E74" i="18"/>
  <c r="E83" i="18"/>
  <c r="C86" i="18"/>
  <c r="E86" i="18"/>
  <c r="E2" i="7"/>
  <c r="P62" i="7"/>
  <c r="E68" i="8"/>
  <c r="F71" i="8"/>
  <c r="C76" i="8"/>
  <c r="O61" i="8"/>
  <c r="O62" i="8"/>
  <c r="O64" i="8"/>
  <c r="O65" i="8"/>
  <c r="O66" i="8"/>
  <c r="O67" i="8"/>
  <c r="E79" i="18"/>
  <c r="C91" i="18"/>
  <c r="E91" i="18"/>
  <c r="C86" i="12"/>
  <c r="E86" i="12"/>
  <c r="E74" i="12"/>
  <c r="O61" i="18"/>
  <c r="O62" i="18"/>
  <c r="O64" i="18"/>
  <c r="E63" i="12"/>
  <c r="C71" i="12"/>
  <c r="F66" i="12"/>
  <c r="G63" i="12"/>
  <c r="E78" i="12"/>
  <c r="E2" i="8"/>
  <c r="F9" i="14"/>
  <c r="G9" i="14"/>
  <c r="P67" i="8"/>
  <c r="G33" i="8"/>
  <c r="G22" i="8"/>
  <c r="G8" i="8"/>
  <c r="G35" i="8"/>
  <c r="G43" i="8"/>
  <c r="G29" i="8"/>
  <c r="G10" i="8"/>
  <c r="G70" i="8"/>
  <c r="G9" i="8"/>
  <c r="G31" i="8"/>
  <c r="G30" i="8"/>
  <c r="G23" i="8"/>
  <c r="G13" i="8"/>
  <c r="G27" i="8"/>
  <c r="G28" i="8"/>
  <c r="G71" i="8"/>
  <c r="G12" i="8"/>
  <c r="G17" i="8"/>
  <c r="G36" i="8"/>
  <c r="G45" i="8"/>
  <c r="G54" i="8"/>
  <c r="G50" i="8"/>
  <c r="G42" i="8"/>
  <c r="G24" i="8"/>
  <c r="G55" i="8"/>
  <c r="G20" i="8"/>
  <c r="G14" i="8"/>
  <c r="G19" i="8"/>
  <c r="G37" i="8"/>
  <c r="G41" i="8"/>
  <c r="G51" i="8"/>
  <c r="G52" i="8"/>
  <c r="G34" i="8"/>
  <c r="G56" i="8"/>
  <c r="G46" i="8"/>
  <c r="G18" i="8"/>
  <c r="G40" i="8"/>
  <c r="G49" i="8"/>
  <c r="G32" i="8"/>
  <c r="G11" i="8"/>
  <c r="G58" i="8"/>
  <c r="G69" i="8"/>
  <c r="G44" i="8"/>
  <c r="G59" i="8"/>
  <c r="G53" i="8"/>
  <c r="G61" i="8"/>
  <c r="G60" i="8"/>
  <c r="G16" i="9"/>
  <c r="F17" i="9"/>
  <c r="O56" i="12"/>
  <c r="O57" i="12"/>
  <c r="O59" i="12"/>
  <c r="G68" i="8"/>
  <c r="C76" i="18"/>
  <c r="E68" i="18"/>
  <c r="F71" i="18"/>
  <c r="E76" i="8"/>
  <c r="C88" i="8"/>
  <c r="E88" i="8"/>
  <c r="F11" i="19"/>
  <c r="O60" i="12"/>
  <c r="O61" i="12"/>
  <c r="O62" i="12"/>
  <c r="F13" i="19"/>
  <c r="G13" i="18"/>
  <c r="G18" i="18"/>
  <c r="G70" i="18"/>
  <c r="G9" i="18"/>
  <c r="G36" i="18"/>
  <c r="G27" i="18"/>
  <c r="G43" i="18"/>
  <c r="G8" i="18"/>
  <c r="G30" i="18"/>
  <c r="G71" i="18"/>
  <c r="G19" i="18"/>
  <c r="G24" i="18"/>
  <c r="G33" i="18"/>
  <c r="G31" i="18"/>
  <c r="G12" i="18"/>
  <c r="G49" i="18"/>
  <c r="G56" i="18"/>
  <c r="G22" i="18"/>
  <c r="G40" i="18"/>
  <c r="G28" i="18"/>
  <c r="G34" i="18"/>
  <c r="G35" i="18"/>
  <c r="G11" i="18"/>
  <c r="G42" i="18"/>
  <c r="G23" i="18"/>
  <c r="G29" i="18"/>
  <c r="G46" i="18"/>
  <c r="G17" i="18"/>
  <c r="G10" i="18"/>
  <c r="G52" i="18"/>
  <c r="G20" i="18"/>
  <c r="G54" i="18"/>
  <c r="G37" i="18"/>
  <c r="G55" i="18"/>
  <c r="G45" i="18"/>
  <c r="G50" i="18"/>
  <c r="G14" i="18"/>
  <c r="G32" i="18"/>
  <c r="G51" i="18"/>
  <c r="G41" i="18"/>
  <c r="G44" i="18"/>
  <c r="G21" i="18"/>
  <c r="G53" i="18"/>
  <c r="G59" i="18"/>
  <c r="G61" i="18"/>
  <c r="G58" i="18"/>
  <c r="G69" i="18"/>
  <c r="G60" i="18"/>
  <c r="G66" i="12"/>
  <c r="G13" i="12"/>
  <c r="G27" i="12"/>
  <c r="G8" i="12"/>
  <c r="G29" i="12"/>
  <c r="G11" i="12"/>
  <c r="G14" i="12"/>
  <c r="G30" i="12"/>
  <c r="G28" i="12"/>
  <c r="G32" i="12"/>
  <c r="G46" i="12"/>
  <c r="G21" i="12"/>
  <c r="G65" i="12"/>
  <c r="G48" i="12"/>
  <c r="G12" i="12"/>
  <c r="G20" i="12"/>
  <c r="G31" i="12"/>
  <c r="G19" i="12"/>
  <c r="G47" i="12"/>
  <c r="G36" i="12"/>
  <c r="G9" i="12"/>
  <c r="G51" i="12"/>
  <c r="G38" i="12"/>
  <c r="G23" i="12"/>
  <c r="G24" i="12"/>
  <c r="G39" i="12"/>
  <c r="G50" i="12"/>
  <c r="G45" i="12"/>
  <c r="G22" i="12"/>
  <c r="G49" i="12"/>
  <c r="G37" i="12"/>
  <c r="G18" i="12"/>
  <c r="G10" i="12"/>
  <c r="G40" i="12"/>
  <c r="G41" i="12"/>
  <c r="G35" i="12"/>
  <c r="G44" i="12"/>
  <c r="G17" i="12"/>
  <c r="G54" i="12"/>
  <c r="G56" i="12"/>
  <c r="G53" i="12"/>
  <c r="G64" i="12"/>
  <c r="G55" i="12"/>
  <c r="C88" i="18"/>
  <c r="E88" i="18"/>
  <c r="E76" i="18"/>
  <c r="E71" i="12"/>
  <c r="C83" i="12"/>
  <c r="E83" i="12"/>
  <c r="G68" i="18"/>
  <c r="G17" i="9"/>
  <c r="F19" i="9"/>
  <c r="O65" i="18"/>
  <c r="O66" i="18"/>
  <c r="O67" i="18"/>
  <c r="E2" i="12"/>
  <c r="P62" i="12"/>
  <c r="F10" i="14"/>
  <c r="G10" i="14"/>
  <c r="E2" i="18"/>
  <c r="P67" i="18"/>
  <c r="F15" i="19"/>
  <c r="G19" i="9"/>
  <c r="F21" i="9"/>
  <c r="G21" i="9"/>
  <c r="F23" i="9"/>
  <c r="F17" i="19"/>
  <c r="F19" i="19"/>
  <c r="G40" i="14"/>
  <c r="F21" i="19"/>
  <c r="G19" i="19"/>
  <c r="G42" i="14"/>
  <c r="F25" i="9"/>
  <c r="G23" i="9"/>
  <c r="G48" i="14"/>
  <c r="G44" i="14"/>
  <c r="G25" i="9"/>
  <c r="F26" i="9"/>
  <c r="G26" i="9"/>
  <c r="F23" i="19"/>
  <c r="F22" i="19"/>
  <c r="G20" i="19"/>
  <c r="F27" i="19"/>
  <c r="G18" i="19"/>
  <c r="G16" i="19"/>
  <c r="G23" i="19"/>
  <c r="G9" i="19"/>
  <c r="G12" i="19"/>
  <c r="G6" i="19"/>
  <c r="G11" i="19"/>
  <c r="G13" i="19"/>
  <c r="G15" i="19"/>
  <c r="G17" i="19"/>
  <c r="G21" i="19"/>
  <c r="G22" i="19"/>
  <c r="G50" i="14"/>
  <c r="F28" i="19"/>
  <c r="F29" i="19"/>
  <c r="G51" i="14"/>
  <c r="F30" i="19"/>
  <c r="F31" i="19"/>
  <c r="I1" i="14"/>
  <c r="G52" i="14"/>
  <c r="G53" i="14"/>
  <c r="J53" i="14"/>
  <c r="H31" i="14"/>
  <c r="H20" i="14"/>
  <c r="G54" i="14"/>
  <c r="H30" i="14"/>
  <c r="H12" i="14"/>
  <c r="H19" i="14"/>
  <c r="H24" i="14"/>
  <c r="H35" i="14"/>
  <c r="G55" i="14"/>
  <c r="H28" i="14"/>
  <c r="H18" i="14"/>
  <c r="H14" i="14"/>
  <c r="H13" i="14"/>
  <c r="H17" i="14"/>
  <c r="H34" i="14"/>
  <c r="H41" i="14"/>
  <c r="H11" i="14"/>
  <c r="H38" i="14"/>
  <c r="H26" i="14"/>
  <c r="H36" i="14"/>
  <c r="H25" i="14"/>
  <c r="H33" i="14"/>
  <c r="H27" i="14"/>
  <c r="H29" i="14"/>
  <c r="H37" i="14"/>
  <c r="H43" i="14"/>
  <c r="H49" i="14"/>
  <c r="H9" i="14"/>
  <c r="H10" i="14"/>
  <c r="H40" i="14"/>
  <c r="H42" i="14"/>
  <c r="H44" i="14"/>
  <c r="H48" i="14"/>
  <c r="H50" i="14"/>
  <c r="H51" i="14"/>
  <c r="F34" i="19"/>
  <c r="F35" i="19"/>
  <c r="F32" i="19"/>
  <c r="G29" i="19"/>
  <c r="H29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arodriguez</author>
  </authors>
  <commentList>
    <comment ref="E24" authorId="0" shapeId="0" xr:uid="{A04E092F-2447-47ED-A7D5-BF45B4B37CC6}">
      <text>
        <r>
          <rPr>
            <b/>
            <sz val="9"/>
            <color indexed="81"/>
            <rFont val="Tahoma"/>
            <family val="2"/>
          </rPr>
          <t>arodriguez:</t>
        </r>
        <r>
          <rPr>
            <sz val="9"/>
            <color indexed="81"/>
            <rFont val="Tahoma"/>
            <family val="2"/>
          </rPr>
          <t xml:space="preserve">
incluye alisto y camiones</t>
        </r>
      </text>
    </comment>
  </commentList>
</comments>
</file>

<file path=xl/sharedStrings.xml><?xml version="1.0" encoding="utf-8"?>
<sst xmlns="http://schemas.openxmlformats.org/spreadsheetml/2006/main" count="1063" uniqueCount="290">
  <si>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</si>
  <si>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</si>
  <si>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</si>
  <si>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</si>
  <si>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</si>
  <si>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</si>
  <si>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</si>
  <si>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</si>
  <si>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</si>
  <si>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</si>
  <si>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</si>
  <si>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PROCEDIMIENTO DE PREPARACION DE LA  RECETA</t>
  </si>
  <si>
    <t>MERMA</t>
  </si>
  <si>
    <t>PESO DE CADA PORCIÓN</t>
  </si>
  <si>
    <t>CANTIDAD DE PORCIONES OBTENIDAS</t>
  </si>
  <si>
    <t>Unidad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</si>
  <si>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</si>
  <si>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</si>
  <si>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</si>
  <si>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</si>
  <si>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</si>
  <si>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</si>
  <si>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</si>
  <si>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AREA QUE PRODUCE:</t>
  </si>
  <si>
    <t xml:space="preserve">AREA QUE EMPACA: </t>
  </si>
  <si>
    <t>EMPAQUE</t>
  </si>
  <si>
    <t>90100131</t>
  </si>
  <si>
    <t>AZUCAR BLANCO INDUSTRIAL KILO</t>
  </si>
  <si>
    <t>10415</t>
  </si>
  <si>
    <t>90100142</t>
  </si>
  <si>
    <t>EMPAQUE SAL KILO</t>
  </si>
  <si>
    <t>FAS</t>
  </si>
  <si>
    <t>KARO</t>
  </si>
  <si>
    <t>DOS PINOS</t>
  </si>
  <si>
    <t>MAYCA</t>
  </si>
  <si>
    <t>NUECES INDUSTRIALES</t>
  </si>
  <si>
    <t>g</t>
  </si>
  <si>
    <t>ud</t>
  </si>
  <si>
    <t>min</t>
  </si>
  <si>
    <t>tanda</t>
  </si>
  <si>
    <t>Esteban Cartin, Gte Manufactura</t>
  </si>
  <si>
    <t>Javier Tong, Chef</t>
  </si>
  <si>
    <t>907000002</t>
  </si>
  <si>
    <t>BASE GALLETA P/CHEESE CAKE (KILO)</t>
  </si>
  <si>
    <t>90200029</t>
  </si>
  <si>
    <t>RELLENO CHEESECAKE KILO</t>
  </si>
  <si>
    <t>1112431</t>
  </si>
  <si>
    <t>MANJAR LECHE CONDENSADA (PAQ: 4.5 K)</t>
  </si>
  <si>
    <t>Para pegar</t>
  </si>
  <si>
    <t>ORLA CARTON 9" DORADA (UND )</t>
  </si>
  <si>
    <t>RAPIBOX</t>
  </si>
  <si>
    <t>Exp PMT</t>
  </si>
  <si>
    <t>Cemusa</t>
  </si>
  <si>
    <t>RELLENO CARAMELO (KILO)</t>
  </si>
  <si>
    <t>CONEXU</t>
  </si>
  <si>
    <t>901000111</t>
  </si>
  <si>
    <t>GANACHE DE DULCE LECHE (4800g)</t>
  </si>
  <si>
    <t>DECORACION</t>
  </si>
  <si>
    <t>910000016</t>
  </si>
  <si>
    <t>CREMA BLANCA DULCE LECHE (KILO)</t>
  </si>
  <si>
    <t>BRITTLE DE ALMENDRAS</t>
  </si>
  <si>
    <t>Bordes</t>
  </si>
  <si>
    <t>Colochos boq #22</t>
  </si>
  <si>
    <t>20g</t>
  </si>
  <si>
    <t>Centro</t>
  </si>
  <si>
    <t>1/2 tz</t>
  </si>
  <si>
    <t>CHOCOLATE CORAZON ROJO PASION (CAJA:200)</t>
  </si>
  <si>
    <t>Karol</t>
  </si>
  <si>
    <t>NESTLE</t>
  </si>
  <si>
    <t>QUEQUERA RED C/BASE ALTA 9" (CAJA:100 U)</t>
  </si>
  <si>
    <t>ETIQUETA BLANCA 2 5/8X1 15/16 (UND)</t>
  </si>
  <si>
    <t>ETIQUETA BLANCA R-153 (UND)</t>
  </si>
  <si>
    <t>ETIQ.FECHA VENCIMIENTO BLANCO (ROLLO)</t>
  </si>
  <si>
    <t>CINTA ADHESIVA TRANSPARENT 2*100 M (UND)</t>
  </si>
  <si>
    <t>cm</t>
  </si>
  <si>
    <t>ETIQUETA IMP. SPOON MEDIANA V-273 (UND)</t>
  </si>
  <si>
    <t>ETIPLAST</t>
  </si>
  <si>
    <t>CEMUSA</t>
  </si>
  <si>
    <r>
      <t xml:space="preserve">1.- </t>
    </r>
    <r>
      <rPr>
        <sz val="11"/>
        <rFont val="Arial"/>
        <family val="2"/>
      </rPr>
      <t>Colocar dentro del molde desarmable redondo 21 cm ,previamente ensagrasado la base de galleta presionar y hornear a 175°C por 7 min en el Argental, a 175°C por 8 min en el Dicte 1 y Dicte 2, a 170°C en el Dicte 3 y a 175°C por 7 min en el Marshal</t>
    </r>
  </si>
  <si>
    <r>
      <t xml:space="preserve">3.- </t>
    </r>
    <r>
      <rPr>
        <sz val="11"/>
        <rFont val="Arial"/>
        <family val="2"/>
      </rPr>
      <t>Desmoldar con ayuda de una espatula.</t>
    </r>
  </si>
  <si>
    <r>
      <t xml:space="preserve">2.- </t>
    </r>
    <r>
      <rPr>
        <sz val="11"/>
        <rFont val="Arial"/>
        <family val="2"/>
      </rPr>
      <t>Una vez fria la galleta, dosificar en el molde 275g de mezcla de cheesecake, 120g de caramelo y 275g de mezcla de cheesecake. Dejar enfriar al menos 6 horas en Refrigeracion</t>
    </r>
  </si>
  <si>
    <r>
      <t xml:space="preserve">4.- </t>
    </r>
    <r>
      <rPr>
        <sz val="11"/>
        <rFont val="Arial"/>
        <family val="2"/>
      </rPr>
      <t>Pegar a la orla con manjar, decorar con ganache en el borde y dejar chorrear. Hacer colocho en el centro, rellenar con ganache el centro y sobre este ganache colocar el brittle de almednras.</t>
    </r>
  </si>
  <si>
    <r>
      <t xml:space="preserve">5.- </t>
    </r>
    <r>
      <rPr>
        <sz val="11"/>
        <rFont val="Arial"/>
        <family val="2"/>
      </rPr>
      <t>Decorar con un corazon de chocolate, tapar y etiquetar</t>
    </r>
  </si>
  <si>
    <t>Postre caramelo y almendras (dia de la madre 2021)</t>
  </si>
  <si>
    <t xml:space="preserve">3, Agregar lactocrema, bicarbonato y sal y mezclar bien. Si le falta color seguir dandole punto. </t>
  </si>
  <si>
    <t>5, Pasar po la maquina para quebrar.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</si>
  <si>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</si>
  <si>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</si>
  <si>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</si>
  <si>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</si>
  <si>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</si>
  <si>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</si>
  <si>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</si>
  <si>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</si>
  <si>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</si>
  <si>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</si>
  <si>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</si>
  <si>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</si>
  <si>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</si>
  <si>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</si>
  <si>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</si>
  <si>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</si>
  <si>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</si>
  <si>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</si>
  <si>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</si>
  <si>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</si>
  <si>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</si>
  <si>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</si>
  <si>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</si>
  <si>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</si>
  <si>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</si>
  <si>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</si>
  <si>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</si>
  <si>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</si>
  <si>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</si>
  <si>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</si>
  <si>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TRANSFERENCIA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</si>
  <si>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</si>
  <si>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</si>
  <si>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</si>
  <si>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</si>
  <si>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</si>
  <si>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</si>
  <si>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</si>
  <si>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</si>
  <si>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</si>
  <si>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</si>
  <si>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</si>
  <si>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</si>
  <si>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</si>
  <si>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</si>
  <si>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</si>
  <si>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</si>
  <si>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</si>
  <si>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</si>
  <si>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10100048</t>
  </si>
  <si>
    <t>503000036</t>
  </si>
  <si>
    <t>510149</t>
  </si>
  <si>
    <t>0310107</t>
  </si>
  <si>
    <t>1950928</t>
  </si>
  <si>
    <t>TANDA</t>
  </si>
  <si>
    <t>0410154</t>
  </si>
  <si>
    <t>Gramo</t>
  </si>
  <si>
    <t>96344</t>
  </si>
  <si>
    <t>10700029</t>
  </si>
  <si>
    <t>702182</t>
  </si>
  <si>
    <t>703020</t>
  </si>
  <si>
    <t>1950693</t>
  </si>
  <si>
    <t>51400021</t>
  </si>
  <si>
    <t>701096</t>
  </si>
  <si>
    <t>0702006</t>
  </si>
  <si>
    <t>0702123</t>
  </si>
  <si>
    <t>UND</t>
  </si>
  <si>
    <t>ESTRUCTURA DE COSTOS</t>
  </si>
  <si>
    <t>LOCALES</t>
  </si>
  <si>
    <t>COSTO
 UNITARIO</t>
  </si>
  <si>
    <t>TOTAL
 COSTO</t>
  </si>
  <si>
    <t>% PREC. 
DEFINIDO</t>
  </si>
  <si>
    <t>CÓDIGOS</t>
  </si>
  <si>
    <t>SPOON</t>
  </si>
  <si>
    <t>EMPAQUE PLANTA</t>
  </si>
  <si>
    <t>PLANTA</t>
  </si>
  <si>
    <t>EMPAQUE LOCAL</t>
  </si>
  <si>
    <t>LOCAL</t>
  </si>
  <si>
    <t>BOLSA IMP. SPOON CAMI 10* 20</t>
  </si>
  <si>
    <t>L1950709</t>
  </si>
  <si>
    <t>BOLSA IMP. SPOON CAMI 8 * 16</t>
  </si>
  <si>
    <t>L1950703</t>
  </si>
  <si>
    <t>SERVILLETA</t>
  </si>
  <si>
    <t>1950785</t>
  </si>
  <si>
    <t xml:space="preserve">TOTAL MATERIA PRIMA </t>
  </si>
  <si>
    <t xml:space="preserve">TOTAL EMPAQUE </t>
  </si>
  <si>
    <t>Planta</t>
  </si>
  <si>
    <t xml:space="preserve">DESECHO </t>
  </si>
  <si>
    <t>GAF</t>
  </si>
  <si>
    <t>PORC.</t>
  </si>
  <si>
    <t>Local</t>
  </si>
  <si>
    <t>COSTO TOTAL LOCAL</t>
  </si>
  <si>
    <t>MARK UP LOCAL</t>
  </si>
  <si>
    <t>PRECIO VENTA SIN IMP</t>
  </si>
  <si>
    <t>PRECIO VENTA IVI</t>
  </si>
  <si>
    <t>PRECIO VENTA II</t>
  </si>
  <si>
    <t>Alejandro Rodriguez S. / Costos</t>
  </si>
  <si>
    <t>Postre</t>
  </si>
  <si>
    <t>Espejo</t>
  </si>
  <si>
    <t>3/4 tz</t>
  </si>
  <si>
    <t>CHOCOLATE CORAZON DORADO</t>
  </si>
  <si>
    <r>
      <t xml:space="preserve">4.- </t>
    </r>
    <r>
      <rPr>
        <sz val="11"/>
        <rFont val="Arial"/>
        <family val="2"/>
      </rPr>
      <t>Pegar a la orla con manjar, decorar con ganache en el hacinedo espejo y dejar chorrear. sobre este ganache colocar el brittle de almednras.</t>
    </r>
  </si>
  <si>
    <t>GIF</t>
  </si>
  <si>
    <t xml:space="preserve">Se le incrementa un 10 % por volumen </t>
  </si>
  <si>
    <t>Empaque Brittle almendras 160g</t>
  </si>
  <si>
    <t>BOLSA 8x12 TRANSPARENTE KILO</t>
  </si>
  <si>
    <t>ETIQ.BLANCA 1 1/4 * 3/4 (UND)</t>
  </si>
  <si>
    <t>SEG</t>
  </si>
  <si>
    <t>1, Empacar 160g de Brittle en una bolsa 8*12, hacer nudo</t>
  </si>
  <si>
    <t>2, Etiquetar</t>
  </si>
  <si>
    <t xml:space="preserve">Gramos </t>
  </si>
  <si>
    <t>1950705</t>
  </si>
  <si>
    <t>702007</t>
  </si>
  <si>
    <t>0702069</t>
  </si>
  <si>
    <t>Und</t>
  </si>
  <si>
    <t>TOTAL 
COSTO</t>
  </si>
  <si>
    <t>DESCRIPCION SEMIELABORADOS PLANTA</t>
  </si>
  <si>
    <t>DESCRIPCION MAT.PRIMA LOCAL</t>
  </si>
  <si>
    <t>DOMICILIO Y LLEVAR</t>
  </si>
  <si>
    <t>FOOD COURT</t>
  </si>
  <si>
    <t>TOTAL MATERIA PRIMA PLANTA</t>
  </si>
  <si>
    <t>TOTAL MATERIA PRIMA LOCAL</t>
  </si>
  <si>
    <t>TOTAL MATERIA PRIMA</t>
  </si>
  <si>
    <t xml:space="preserve">Esteban Ramírez S. /  Costos </t>
  </si>
  <si>
    <t>POSTRE CARAMELO Y ALMENDRAS</t>
  </si>
  <si>
    <t xml:space="preserve">UND </t>
  </si>
  <si>
    <t>Bolsa Brittle 160 g</t>
  </si>
  <si>
    <t>Se le aumenta el 10 % costo por distribucion volumen GIF</t>
  </si>
  <si>
    <t>CÓDIGO</t>
  </si>
  <si>
    <t xml:space="preserve">INSTRUCTIVO </t>
  </si>
  <si>
    <t>REVISION</t>
  </si>
  <si>
    <t xml:space="preserve">Postre Cumbrel almendra </t>
  </si>
  <si>
    <t>FECHA APROBACION</t>
  </si>
  <si>
    <t xml:space="preserve">ELABORADO: </t>
  </si>
  <si>
    <t>Enmanuel Madrigal, Chef</t>
  </si>
  <si>
    <t>APROBADO:</t>
  </si>
  <si>
    <t>Yenny Castro Q, Calidad</t>
  </si>
  <si>
    <t xml:space="preserve">Descrip. - Componentes </t>
  </si>
  <si>
    <t>ALÉRGENOS</t>
  </si>
  <si>
    <t>Cantidades</t>
  </si>
  <si>
    <t>Vida Útil</t>
  </si>
  <si>
    <t>Tipo Almacenamiento</t>
  </si>
  <si>
    <t>Tiempo Calentamiento</t>
  </si>
  <si>
    <t>Postre caramelo y almendras locales</t>
  </si>
  <si>
    <t>1 ud</t>
  </si>
  <si>
    <t>Ver empaque</t>
  </si>
  <si>
    <t>Refrigeracion</t>
  </si>
  <si>
    <t>N.A.</t>
  </si>
  <si>
    <t>Empaque caramelo almendras 160g</t>
  </si>
  <si>
    <t>1 bolsa -160g</t>
  </si>
  <si>
    <t xml:space="preserve">1. DIAGRAMA Y/O FOTOGRAFIA DE PRODUCTO </t>
  </si>
  <si>
    <t xml:space="preserve">PRESENTACIÓN SALON </t>
  </si>
  <si>
    <t>LLEVAR / DOMICILIO</t>
  </si>
  <si>
    <t>2. DESCRIPCIÓN DE ACTIVIDADES</t>
  </si>
  <si>
    <t>1, Colocar sobre el postre 1 bolsa del caramelo almendras, esparciendo sobre toda la superficie.</t>
  </si>
  <si>
    <t>2, Se porciona en 6 porc.</t>
  </si>
  <si>
    <t>3. ESPECIFICACIONES DEL PLATO</t>
  </si>
  <si>
    <t>Postre frio de queso relleno con caramelo, con caramelo crujiente de almendras</t>
  </si>
  <si>
    <t>INDUSTRIA</t>
  </si>
  <si>
    <t>CAMIONES</t>
  </si>
  <si>
    <t>LOGISTICA</t>
  </si>
  <si>
    <t>Costo</t>
  </si>
  <si>
    <t>% Margen</t>
  </si>
  <si>
    <t>COSTO TOTAL</t>
  </si>
  <si>
    <t>MARGEN SUPERMERCADO</t>
  </si>
  <si>
    <t>PRECIO IVI</t>
  </si>
  <si>
    <t xml:space="preserve">Esteban Ramírez S. / Costos </t>
  </si>
  <si>
    <t>901000112</t>
  </si>
  <si>
    <t>VARIACION</t>
  </si>
  <si>
    <t xml:space="preserve">30800096 Postre caramelo y almendras (dia de la madre 2021) INDUSTRIA </t>
  </si>
  <si>
    <t>Postres</t>
  </si>
  <si>
    <t>1, Colocar el azucar junto con el agua, sirope en una olla y cocinar hasta tomar punto caramelo.</t>
  </si>
  <si>
    <t>4,  Dejar que enfrie a temp ambiente.</t>
  </si>
  <si>
    <t>3, Colocar sobre bandejas con lamina de silicon las almendras bien esparcidas, Agregar el caramelo anterior cubriendolas muy bien.</t>
  </si>
  <si>
    <t>SE00016</t>
  </si>
  <si>
    <t>MP10573</t>
  </si>
  <si>
    <t>MP10085</t>
  </si>
  <si>
    <t>SE00104</t>
  </si>
  <si>
    <t>MP10591</t>
  </si>
  <si>
    <t xml:space="preserve">ALMENDRA ENTERA </t>
  </si>
  <si>
    <t xml:space="preserve">BICARBONATO DE SODIO </t>
  </si>
  <si>
    <t xml:space="preserve">LACTOCREMA GRANEL </t>
  </si>
  <si>
    <t>SIROPE KARO DARK</t>
  </si>
  <si>
    <t>MP10022</t>
  </si>
  <si>
    <t>Empaque</t>
  </si>
  <si>
    <t>EM10259</t>
  </si>
  <si>
    <t>metro</t>
  </si>
  <si>
    <t>EM10120</t>
  </si>
  <si>
    <t xml:space="preserve">6,Etiquetar y emplasticar </t>
  </si>
  <si>
    <t># Código Netsuite</t>
  </si>
  <si>
    <t>Ensamble</t>
  </si>
  <si>
    <t>Decoración</t>
  </si>
  <si>
    <t>PLÁSTICO AUTOADERIBLE 1/ 18*2000</t>
  </si>
  <si>
    <t>ETIQ.BLANCA 1 13/16 * 1 7/8</t>
  </si>
  <si>
    <t>Tiempo de Horneo:</t>
  </si>
  <si>
    <t>Horno:</t>
  </si>
  <si>
    <t>Temperatura de Horneo:</t>
  </si>
  <si>
    <t>Otros</t>
  </si>
  <si>
    <t>CONTROL DE CAMBIOS</t>
  </si>
  <si>
    <t>ESP-RE-POS-039</t>
  </si>
  <si>
    <t xml:space="preserve">Agua </t>
  </si>
  <si>
    <t>2, Actualización ingredientes, se agrega agua a la receta y actualización merma</t>
  </si>
  <si>
    <t>02</t>
  </si>
  <si>
    <t xml:space="preserve"> 902000116(SE00299) Brittle de almendras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</si>
</sst>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&quot;$&quot;#,##0_);[Red]\(&quot;$&quot;#,##0\)"/>
    <numFmt numFmtId="165" formatCode="_(* #,##0.00_);_(* \(#,##0.00\);_(* &quot;-&quot;??_);_(@_)"/>
    <numFmt numFmtId="166" formatCode="0.000"/>
    <numFmt numFmtId="167" formatCode="[$-409]d\-mmm\-yy;@"/>
    <numFmt numFmtId="168" formatCode="_-* #,##0.0\ _€_-;\-* #,##0.0\ _€_-;_-* &quot;-&quot;??\ _€_-;_-@_-"/>
    <numFmt numFmtId="169" formatCode="0.0%"/>
    <numFmt numFmtId="170" formatCode="0.0"/>
    <numFmt numFmtId="171" formatCode="_(* #,##0.000_);_(* \(#,##0.000\);_(* &quot;-&quot;??_);_(@_)"/>
  </numFmts>
  <fonts count="97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9.85"/>
      <color indexed="8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6"/>
      <name val="Times New Roman"/>
      <family val="1"/>
    </font>
    <font>
      <sz val="6"/>
      <name val="Times New Roman"/>
      <family val="1"/>
    </font>
    <font>
      <b/>
      <sz val="12"/>
      <name val="Times New Roman"/>
      <family val="1"/>
    </font>
    <font>
      <sz val="10"/>
      <color indexed="18"/>
      <name val="Times New Roman"/>
      <family val="1"/>
    </font>
    <font>
      <b/>
      <sz val="8"/>
      <name val="Times New Roman"/>
      <family val="1"/>
    </font>
    <font>
      <b/>
      <i/>
      <sz val="9"/>
      <name val="Times New Roman"/>
      <family val="1"/>
    </font>
    <font>
      <b/>
      <sz val="6"/>
      <name val="Times New Roman"/>
      <family val="1"/>
    </font>
    <font>
      <sz val="9"/>
      <color indexed="12"/>
      <name val="Times New Roman"/>
      <family val="1"/>
    </font>
    <font>
      <b/>
      <sz val="6"/>
      <color indexed="12"/>
      <name val="Times New Roman"/>
      <family val="1"/>
    </font>
    <font>
      <sz val="8"/>
      <color indexed="12"/>
      <name val="Times New Roman"/>
      <family val="1"/>
    </font>
    <font>
      <i/>
      <sz val="8"/>
      <color indexed="12"/>
      <name val="Times New Roman"/>
      <family val="1"/>
    </font>
    <font>
      <sz val="9"/>
      <color indexed="21"/>
      <name val="Times New Roman"/>
      <family val="1"/>
    </font>
    <font>
      <b/>
      <sz val="9"/>
      <color indexed="60"/>
      <name val="Times New Roman"/>
      <family val="1"/>
    </font>
    <font>
      <b/>
      <sz val="9"/>
      <color indexed="21"/>
      <name val="Times New Roman"/>
      <family val="1"/>
    </font>
    <font>
      <b/>
      <sz val="9"/>
      <color indexed="62"/>
      <name val="Times New Roman"/>
      <family val="1"/>
    </font>
    <font>
      <b/>
      <sz val="9"/>
      <color indexed="53"/>
      <name val="Times New Roman"/>
      <family val="1"/>
    </font>
    <font>
      <sz val="9"/>
      <color indexed="19"/>
      <name val="Times New Roman"/>
      <family val="1"/>
    </font>
    <font>
      <b/>
      <sz val="9"/>
      <color indexed="19"/>
      <name val="Times New Roman"/>
      <family val="1"/>
    </font>
    <font>
      <b/>
      <sz val="10"/>
      <color indexed="62"/>
      <name val="Times New Roman"/>
      <family val="1"/>
    </font>
    <font>
      <b/>
      <sz val="8"/>
      <color indexed="17"/>
      <name val="Times New Roman"/>
      <family val="1"/>
    </font>
    <font>
      <b/>
      <sz val="8"/>
      <color indexed="12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Century Gothic"/>
      <family val="2"/>
    </font>
    <font>
      <b/>
      <sz val="14"/>
      <name val="Century Gothic"/>
      <family val="2"/>
    </font>
    <font>
      <sz val="9"/>
      <name val="Century Gothic"/>
      <family val="2"/>
    </font>
    <font>
      <b/>
      <i/>
      <sz val="12"/>
      <name val="Century Gothic"/>
      <family val="2"/>
    </font>
    <font>
      <sz val="8"/>
      <name val="Century Gothic"/>
      <family val="2"/>
    </font>
    <font>
      <i/>
      <sz val="12"/>
      <name val="Times New Roman"/>
      <family val="1"/>
    </font>
    <font>
      <b/>
      <sz val="10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b/>
      <sz val="12"/>
      <name val="Century Gothic"/>
      <family val="2"/>
    </font>
    <font>
      <sz val="10"/>
      <color indexed="12"/>
      <name val="Times New Roman"/>
      <family val="1"/>
    </font>
    <font>
      <b/>
      <sz val="10"/>
      <color indexed="53"/>
      <name val="Times New Roman"/>
      <family val="1"/>
    </font>
    <font>
      <sz val="10"/>
      <color indexed="19"/>
      <name val="Times New Roman"/>
      <family val="1"/>
    </font>
    <font>
      <sz val="8"/>
      <name val="Arial"/>
      <family val="2"/>
    </font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9"/>
      <color rgb="FFFF0000"/>
      <name val="Times New Roman"/>
      <family val="1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8"/>
      <color theme="0"/>
      <name val="Times New Roman"/>
      <family val="1"/>
    </font>
    <font>
      <b/>
      <sz val="9"/>
      <color theme="6" tint="-0.249977111117893"/>
      <name val="Times New Roman"/>
      <family val="1"/>
    </font>
    <font>
      <sz val="14"/>
      <name val="Century Gothic"/>
      <family val="2"/>
    </font>
    <font>
      <b/>
      <i/>
      <sz val="14"/>
      <name val="Arial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name val="Arial"/>
      <family val="2"/>
    </font>
    <font>
      <sz val="14"/>
      <color indexed="8"/>
      <name val="Times New Roman"/>
      <family val="1"/>
    </font>
    <font>
      <sz val="14"/>
      <color theme="1"/>
      <name val="Century Gothic"/>
      <family val="2"/>
    </font>
    <font>
      <sz val="14"/>
      <color theme="1"/>
      <name val="Calibri"/>
      <family val="2"/>
      <scheme val="minor"/>
    </font>
    <font>
      <sz val="14"/>
      <color indexed="8"/>
      <name val="Century Gothic"/>
      <family val="2"/>
    </font>
  </fonts>
  <fills count="2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/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0"/>
      </left>
      <right/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medium">
        <color indexed="0"/>
      </right>
      <top/>
      <bottom style="thin">
        <color indexed="0"/>
      </bottom>
      <diagonal/>
    </border>
    <border>
      <left style="medium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medium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1">
    <xf numFmtId="0" fontId="0" fillId="0" borderId="0"/>
    <xf numFmtId="43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9" fillId="0" borderId="0"/>
  </cellStyleXfs>
  <cellXfs count="795">
    <xf numFmtId="0" fontId="0" fillId="0" borderId="0" xfId="0"/>
    <xf numFmtId="0" fontId="4" fillId="2" borderId="1" xfId="7" applyFont="1" applyFill="1" applyBorder="1" applyAlignment="1">
      <alignment horizontal="right"/>
    </xf>
    <xf numFmtId="0" fontId="1" fillId="2" borderId="2" xfId="7" applyFont="1" applyFill="1" applyBorder="1" applyAlignment="1">
      <alignment horizontal="center"/>
    </xf>
    <xf numFmtId="0" fontId="1" fillId="2" borderId="0" xfId="0" applyFont="1" applyFill="1"/>
    <xf numFmtId="0" fontId="4" fillId="2" borderId="3" xfId="7" applyFont="1" applyFill="1" applyBorder="1" applyAlignment="1">
      <alignment horizontal="right"/>
    </xf>
    <xf numFmtId="49" fontId="1" fillId="2" borderId="4" xfId="7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 wrapText="1"/>
    </xf>
    <xf numFmtId="1" fontId="4" fillId="3" borderId="5" xfId="0" applyNumberFormat="1" applyFont="1" applyFill="1" applyBorder="1" applyAlignment="1">
      <alignment horizontal="center"/>
    </xf>
    <xf numFmtId="1" fontId="4" fillId="3" borderId="5" xfId="0" applyNumberFormat="1" applyFont="1" applyFill="1" applyBorder="1" applyAlignment="1">
      <alignment horizontal="center" wrapText="1"/>
    </xf>
    <xf numFmtId="1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2" borderId="0" xfId="0" applyFont="1" applyFill="1" applyAlignment="1">
      <alignment horizontal="left" indent="1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/>
    <xf numFmtId="0" fontId="4" fillId="3" borderId="7" xfId="0" applyFont="1" applyFill="1" applyBorder="1" applyAlignment="1">
      <alignment horizontal="center"/>
    </xf>
    <xf numFmtId="1" fontId="4" fillId="3" borderId="7" xfId="0" applyNumberFormat="1" applyFont="1" applyFill="1" applyBorder="1" applyAlignment="1">
      <alignment horizontal="center"/>
    </xf>
    <xf numFmtId="166" fontId="1" fillId="3" borderId="7" xfId="0" applyNumberFormat="1" applyFont="1" applyFill="1" applyBorder="1" applyAlignment="1">
      <alignment horizontal="center" wrapText="1"/>
    </xf>
    <xf numFmtId="0" fontId="1" fillId="3" borderId="8" xfId="0" applyFont="1" applyFill="1" applyBorder="1" applyAlignment="1">
      <alignment horizontal="center"/>
    </xf>
    <xf numFmtId="1" fontId="1" fillId="0" borderId="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9" fontId="1" fillId="2" borderId="0" xfId="9" applyFont="1" applyFill="1"/>
    <xf numFmtId="1" fontId="1" fillId="0" borderId="5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8" fillId="2" borderId="0" xfId="0" applyFont="1" applyFill="1" applyAlignment="1">
      <alignment vertical="center"/>
    </xf>
    <xf numFmtId="0" fontId="1" fillId="2" borderId="0" xfId="7" applyFont="1" applyFill="1" applyAlignment="1">
      <alignment horizontal="center"/>
    </xf>
    <xf numFmtId="0" fontId="1" fillId="2" borderId="0" xfId="7" applyFont="1" applyFill="1" applyAlignment="1">
      <alignment horizontal="right"/>
    </xf>
    <xf numFmtId="0" fontId="1" fillId="2" borderId="0" xfId="7" applyFont="1" applyFill="1" applyAlignment="1">
      <alignment horizontal="left"/>
    </xf>
    <xf numFmtId="0" fontId="4" fillId="2" borderId="0" xfId="7" applyFont="1" applyFill="1" applyAlignment="1">
      <alignment horizontal="right" vertical="top" wrapText="1"/>
    </xf>
    <xf numFmtId="14" fontId="1" fillId="2" borderId="0" xfId="7" applyNumberFormat="1" applyFont="1" applyFill="1" applyAlignment="1">
      <alignment horizontal="center" vertical="center" wrapText="1"/>
    </xf>
    <xf numFmtId="0" fontId="1" fillId="2" borderId="3" xfId="7" applyFont="1" applyFill="1" applyBorder="1" applyAlignment="1">
      <alignment horizontal="right"/>
    </xf>
    <xf numFmtId="0" fontId="1" fillId="2" borderId="5" xfId="7" applyFont="1" applyFill="1" applyBorder="1" applyAlignment="1">
      <alignment horizontal="right"/>
    </xf>
    <xf numFmtId="0" fontId="4" fillId="3" borderId="12" xfId="0" applyFont="1" applyFill="1" applyBorder="1" applyAlignment="1">
      <alignment horizontal="center"/>
    </xf>
    <xf numFmtId="14" fontId="80" fillId="2" borderId="0" xfId="7" applyNumberFormat="1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9" xfId="0" applyBorder="1" applyAlignment="1">
      <alignment horizontal="left" vertical="center"/>
    </xf>
    <xf numFmtId="0" fontId="0" fillId="0" borderId="60" xfId="0" applyBorder="1" applyAlignment="1">
      <alignment horizontal="left" vertical="center"/>
    </xf>
    <xf numFmtId="1" fontId="1" fillId="0" borderId="10" xfId="3" applyNumberFormat="1" applyBorder="1" applyAlignment="1">
      <alignment horizontal="center"/>
    </xf>
    <xf numFmtId="0" fontId="1" fillId="0" borderId="3" xfId="3" applyBorder="1" applyAlignment="1">
      <alignment horizontal="center"/>
    </xf>
    <xf numFmtId="1" fontId="1" fillId="0" borderId="3" xfId="3" applyNumberFormat="1" applyBorder="1" applyAlignment="1">
      <alignment horizontal="center"/>
    </xf>
    <xf numFmtId="1" fontId="1" fillId="0" borderId="9" xfId="3" applyNumberFormat="1" applyBorder="1" applyAlignment="1">
      <alignment horizontal="center"/>
    </xf>
    <xf numFmtId="0" fontId="1" fillId="0" borderId="4" xfId="3" applyBorder="1" applyAlignment="1">
      <alignment horizontal="center"/>
    </xf>
    <xf numFmtId="1" fontId="1" fillId="0" borderId="3" xfId="3" applyNumberFormat="1" applyBorder="1" applyAlignment="1">
      <alignment horizontal="center" wrapText="1"/>
    </xf>
    <xf numFmtId="0" fontId="7" fillId="0" borderId="3" xfId="3" applyFont="1" applyBorder="1"/>
    <xf numFmtId="0" fontId="1" fillId="0" borderId="3" xfId="3" quotePrefix="1" applyBorder="1"/>
    <xf numFmtId="0" fontId="1" fillId="0" borderId="13" xfId="3" quotePrefix="1" applyBorder="1" applyAlignment="1">
      <alignment horizontal="right"/>
    </xf>
    <xf numFmtId="0" fontId="2" fillId="0" borderId="3" xfId="3" applyFont="1" applyBorder="1" applyAlignment="1">
      <alignment horizontal="center"/>
    </xf>
    <xf numFmtId="0" fontId="2" fillId="0" borderId="3" xfId="3" applyFont="1" applyBorder="1"/>
    <xf numFmtId="0" fontId="4" fillId="10" borderId="4" xfId="3" applyFont="1" applyFill="1" applyBorder="1" applyAlignment="1">
      <alignment horizontal="center"/>
    </xf>
    <xf numFmtId="0" fontId="12" fillId="0" borderId="3" xfId="3" applyFont="1" applyBorder="1" applyAlignment="1">
      <alignment horizontal="center"/>
    </xf>
    <xf numFmtId="0" fontId="12" fillId="0" borderId="14" xfId="3" applyFont="1" applyBorder="1" applyAlignment="1">
      <alignment horizontal="center"/>
    </xf>
    <xf numFmtId="0" fontId="4" fillId="10" borderId="11" xfId="3" applyFont="1" applyFill="1" applyBorder="1" applyAlignment="1">
      <alignment horizontal="center"/>
    </xf>
    <xf numFmtId="0" fontId="1" fillId="0" borderId="9" xfId="3" applyBorder="1" applyAlignment="1">
      <alignment horizontal="center"/>
    </xf>
    <xf numFmtId="0" fontId="13" fillId="2" borderId="3" xfId="3" quotePrefix="1" applyFont="1" applyFill="1" applyBorder="1"/>
    <xf numFmtId="0" fontId="1" fillId="0" borderId="13" xfId="3" quotePrefix="1" applyBorder="1" applyAlignment="1">
      <alignment horizontal="center"/>
    </xf>
    <xf numFmtId="0" fontId="2" fillId="0" borderId="9" xfId="3" applyFont="1" applyBorder="1" applyAlignment="1">
      <alignment horizontal="center"/>
    </xf>
    <xf numFmtId="0" fontId="3" fillId="0" borderId="9" xfId="3" applyFont="1" applyBorder="1"/>
    <xf numFmtId="0" fontId="6" fillId="0" borderId="15" xfId="3" applyFont="1" applyBorder="1" applyAlignment="1">
      <alignment horizontal="center" vertical="center"/>
    </xf>
    <xf numFmtId="12" fontId="12" fillId="0" borderId="3" xfId="3" applyNumberFormat="1" applyFont="1" applyBorder="1"/>
    <xf numFmtId="0" fontId="1" fillId="0" borderId="3" xfId="3" applyBorder="1" applyAlignment="1">
      <alignment horizontal="left"/>
    </xf>
    <xf numFmtId="0" fontId="1" fillId="0" borderId="16" xfId="3" applyBorder="1" applyAlignment="1">
      <alignment horizontal="center"/>
    </xf>
    <xf numFmtId="0" fontId="1" fillId="0" borderId="1" xfId="3" applyBorder="1" applyAlignment="1">
      <alignment horizontal="left"/>
    </xf>
    <xf numFmtId="0" fontId="12" fillId="0" borderId="1" xfId="3" applyFont="1" applyBorder="1" applyAlignment="1">
      <alignment horizontal="center"/>
    </xf>
    <xf numFmtId="1" fontId="1" fillId="0" borderId="1" xfId="3" applyNumberFormat="1" applyBorder="1" applyAlignment="1">
      <alignment horizontal="center"/>
    </xf>
    <xf numFmtId="0" fontId="1" fillId="0" borderId="1" xfId="3" applyBorder="1" applyAlignment="1">
      <alignment horizontal="center"/>
    </xf>
    <xf numFmtId="0" fontId="4" fillId="10" borderId="2" xfId="3" applyFont="1" applyFill="1" applyBorder="1" applyAlignment="1">
      <alignment horizontal="center"/>
    </xf>
    <xf numFmtId="0" fontId="1" fillId="0" borderId="13" xfId="3" applyBorder="1" applyAlignment="1">
      <alignment horizontal="center"/>
    </xf>
    <xf numFmtId="0" fontId="1" fillId="0" borderId="17" xfId="3" applyBorder="1" applyAlignment="1">
      <alignment horizontal="center"/>
    </xf>
    <xf numFmtId="0" fontId="4" fillId="10" borderId="18" xfId="3" applyFont="1" applyFill="1" applyBorder="1" applyAlignment="1">
      <alignment horizontal="center"/>
    </xf>
    <xf numFmtId="0" fontId="1" fillId="0" borderId="15" xfId="3" applyBorder="1" applyAlignment="1">
      <alignment horizontal="center"/>
    </xf>
    <xf numFmtId="0" fontId="4" fillId="0" borderId="9" xfId="3" applyFont="1" applyBorder="1" applyAlignment="1">
      <alignment horizontal="left"/>
    </xf>
    <xf numFmtId="0" fontId="2" fillId="0" borderId="9" xfId="3" applyFont="1" applyBorder="1"/>
    <xf numFmtId="0" fontId="0" fillId="0" borderId="59" xfId="0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left" vertical="center"/>
    </xf>
    <xf numFmtId="0" fontId="13" fillId="10" borderId="0" xfId="0" applyFont="1" applyFill="1" applyAlignment="1">
      <alignment vertical="center"/>
    </xf>
    <xf numFmtId="0" fontId="14" fillId="11" borderId="3" xfId="0" applyFont="1" applyFill="1" applyBorder="1" applyAlignment="1">
      <alignment horizontal="center" vertical="center" wrapText="1"/>
    </xf>
    <xf numFmtId="0" fontId="14" fillId="11" borderId="3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43" fontId="14" fillId="0" borderId="3" xfId="1" applyFont="1" applyFill="1" applyBorder="1" applyAlignment="1">
      <alignment horizontal="center" vertical="center"/>
    </xf>
    <xf numFmtId="43" fontId="14" fillId="0" borderId="0" xfId="1" applyFont="1" applyFill="1" applyBorder="1" applyAlignment="1">
      <alignment horizontal="center" vertical="center"/>
    </xf>
    <xf numFmtId="43" fontId="16" fillId="0" borderId="0" xfId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167" fontId="19" fillId="0" borderId="0" xfId="0" applyNumberFormat="1" applyFont="1" applyAlignment="1">
      <alignment horizontal="center" vertical="center" wrapText="1"/>
    </xf>
    <xf numFmtId="0" fontId="14" fillId="4" borderId="19" xfId="0" applyFont="1" applyFill="1" applyBorder="1" applyAlignment="1">
      <alignment horizontal="center" vertical="center"/>
    </xf>
    <xf numFmtId="0" fontId="14" fillId="4" borderId="20" xfId="0" applyFont="1" applyFill="1" applyBorder="1" applyAlignment="1">
      <alignment horizontal="center" vertical="center"/>
    </xf>
    <xf numFmtId="0" fontId="14" fillId="4" borderId="20" xfId="0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2" fontId="20" fillId="0" borderId="0" xfId="0" applyNumberFormat="1" applyFont="1" applyAlignment="1">
      <alignment horizontal="center"/>
    </xf>
    <xf numFmtId="4" fontId="20" fillId="0" borderId="0" xfId="2" applyNumberFormat="1" applyFont="1" applyFill="1" applyAlignment="1">
      <alignment horizontal="center" vertical="center"/>
    </xf>
    <xf numFmtId="4" fontId="14" fillId="0" borderId="0" xfId="2" applyNumberFormat="1" applyFont="1" applyFill="1" applyAlignment="1">
      <alignment horizontal="center" vertical="center"/>
    </xf>
    <xf numFmtId="10" fontId="14" fillId="0" borderId="0" xfId="8" applyNumberFormat="1" applyFont="1" applyFill="1" applyAlignment="1">
      <alignment vertical="center"/>
    </xf>
    <xf numFmtId="49" fontId="14" fillId="0" borderId="0" xfId="0" applyNumberFormat="1" applyFont="1" applyAlignment="1">
      <alignment horizontal="center" vertical="center"/>
    </xf>
    <xf numFmtId="10" fontId="15" fillId="0" borderId="0" xfId="8" applyNumberFormat="1" applyFont="1" applyFill="1" applyAlignment="1">
      <alignment vertical="center"/>
    </xf>
    <xf numFmtId="0" fontId="13" fillId="0" borderId="0" xfId="0" applyFont="1"/>
    <xf numFmtId="49" fontId="14" fillId="0" borderId="0" xfId="0" applyNumberFormat="1" applyFont="1" applyAlignment="1">
      <alignment horizontal="center"/>
    </xf>
    <xf numFmtId="164" fontId="13" fillId="0" borderId="0" xfId="0" applyNumberFormat="1" applyFont="1" applyAlignment="1">
      <alignment vertical="center"/>
    </xf>
    <xf numFmtId="0" fontId="13" fillId="0" borderId="0" xfId="0" applyFont="1" applyAlignment="1">
      <alignment horizontal="left" vertical="center"/>
    </xf>
    <xf numFmtId="43" fontId="13" fillId="0" borderId="0" xfId="1" applyFont="1" applyFill="1" applyAlignment="1">
      <alignment vertical="center"/>
    </xf>
    <xf numFmtId="49" fontId="2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4" fontId="14" fillId="0" borderId="0" xfId="1" applyNumberFormat="1" applyFont="1" applyFill="1" applyAlignment="1">
      <alignment vertical="center"/>
    </xf>
    <xf numFmtId="43" fontId="22" fillId="0" borderId="0" xfId="1" applyFont="1" applyFill="1" applyAlignment="1">
      <alignment horizontal="center" vertical="center"/>
    </xf>
    <xf numFmtId="10" fontId="15" fillId="4" borderId="22" xfId="8" applyNumberFormat="1" applyFont="1" applyFill="1" applyBorder="1" applyAlignment="1">
      <alignment vertical="center"/>
    </xf>
    <xf numFmtId="0" fontId="13" fillId="4" borderId="7" xfId="0" applyFont="1" applyFill="1" applyBorder="1" applyAlignment="1">
      <alignment vertical="center"/>
    </xf>
    <xf numFmtId="0" fontId="13" fillId="4" borderId="22" xfId="0" applyFont="1" applyFill="1" applyBorder="1" applyAlignment="1">
      <alignment vertical="center"/>
    </xf>
    <xf numFmtId="43" fontId="22" fillId="4" borderId="23" xfId="1" applyFont="1" applyFill="1" applyBorder="1" applyAlignment="1">
      <alignment horizontal="center" vertical="center"/>
    </xf>
    <xf numFmtId="43" fontId="24" fillId="0" borderId="0" xfId="1" applyFont="1" applyFill="1" applyBorder="1" applyAlignment="1">
      <alignment horizontal="right"/>
    </xf>
    <xf numFmtId="0" fontId="13" fillId="4" borderId="23" xfId="0" applyFont="1" applyFill="1" applyBorder="1" applyAlignment="1">
      <alignment vertical="center"/>
    </xf>
    <xf numFmtId="10" fontId="15" fillId="4" borderId="23" xfId="8" applyNumberFormat="1" applyFont="1" applyFill="1" applyBorder="1" applyAlignment="1">
      <alignment vertical="center"/>
    </xf>
    <xf numFmtId="0" fontId="23" fillId="0" borderId="0" xfId="0" applyFont="1" applyAlignment="1">
      <alignment horizontal="right"/>
    </xf>
    <xf numFmtId="9" fontId="81" fillId="0" borderId="0" xfId="8" applyFont="1" applyFill="1" applyAlignment="1">
      <alignment horizontal="center"/>
    </xf>
    <xf numFmtId="0" fontId="22" fillId="0" borderId="0" xfId="0" applyFont="1" applyAlignment="1">
      <alignment horizontal="right" vertical="center"/>
    </xf>
    <xf numFmtId="4" fontId="22" fillId="0" borderId="0" xfId="1" applyNumberFormat="1" applyFont="1" applyFill="1" applyAlignment="1">
      <alignment vertical="center"/>
    </xf>
    <xf numFmtId="4" fontId="22" fillId="0" borderId="0" xfId="2" applyNumberFormat="1" applyFont="1" applyAlignment="1">
      <alignment horizontal="center" vertical="center"/>
    </xf>
    <xf numFmtId="0" fontId="26" fillId="0" borderId="0" xfId="0" applyFont="1" applyAlignment="1">
      <alignment horizontal="right"/>
    </xf>
    <xf numFmtId="0" fontId="27" fillId="0" borderId="0" xfId="0" applyFont="1" applyAlignment="1">
      <alignment horizontal="right"/>
    </xf>
    <xf numFmtId="0" fontId="27" fillId="0" borderId="24" xfId="0" applyFont="1" applyBorder="1" applyAlignment="1">
      <alignment horizontal="right"/>
    </xf>
    <xf numFmtId="43" fontId="28" fillId="5" borderId="25" xfId="1" applyFont="1" applyFill="1" applyBorder="1" applyAlignment="1">
      <alignment horizontal="right"/>
    </xf>
    <xf numFmtId="43" fontId="28" fillId="0" borderId="0" xfId="1" applyFont="1" applyFill="1" applyBorder="1" applyAlignment="1">
      <alignment horizontal="right"/>
    </xf>
    <xf numFmtId="43" fontId="14" fillId="0" borderId="3" xfId="1" applyFont="1" applyFill="1" applyBorder="1" applyAlignment="1">
      <alignment vertical="center"/>
    </xf>
    <xf numFmtId="0" fontId="29" fillId="0" borderId="0" xfId="0" applyFont="1" applyAlignment="1">
      <alignment horizontal="left" vertical="center"/>
    </xf>
    <xf numFmtId="4" fontId="22" fillId="0" borderId="0" xfId="2" applyNumberFormat="1" applyFont="1" applyFill="1" applyAlignment="1">
      <alignment horizontal="center" vertical="center"/>
    </xf>
    <xf numFmtId="10" fontId="30" fillId="0" borderId="0" xfId="8" applyNumberFormat="1" applyFont="1" applyFill="1" applyAlignment="1">
      <alignment horizontal="right"/>
    </xf>
    <xf numFmtId="168" fontId="14" fillId="4" borderId="3" xfId="1" applyNumberFormat="1" applyFont="1" applyFill="1" applyBorder="1" applyAlignment="1">
      <alignment vertical="center"/>
    </xf>
    <xf numFmtId="4" fontId="13" fillId="0" borderId="0" xfId="0" applyNumberFormat="1" applyFont="1" applyAlignment="1">
      <alignment horizontal="center" vertical="center"/>
    </xf>
    <xf numFmtId="43" fontId="14" fillId="6" borderId="3" xfId="1" applyFont="1" applyFill="1" applyBorder="1" applyAlignment="1">
      <alignment vertical="center"/>
    </xf>
    <xf numFmtId="165" fontId="31" fillId="0" borderId="0" xfId="0" applyNumberFormat="1" applyFont="1" applyAlignment="1">
      <alignment horizontal="center" vertical="center"/>
    </xf>
    <xf numFmtId="0" fontId="13" fillId="10" borderId="0" xfId="0" applyFont="1" applyFill="1" applyAlignment="1">
      <alignment horizontal="center" vertical="center"/>
    </xf>
    <xf numFmtId="4" fontId="14" fillId="0" borderId="0" xfId="0" applyNumberFormat="1" applyFont="1" applyAlignment="1">
      <alignment horizontal="center" vertical="center"/>
    </xf>
    <xf numFmtId="0" fontId="15" fillId="4" borderId="26" xfId="0" applyFont="1" applyFill="1" applyBorder="1" applyAlignment="1">
      <alignment vertical="center"/>
    </xf>
    <xf numFmtId="0" fontId="33" fillId="0" borderId="0" xfId="0" applyFont="1" applyAlignment="1">
      <alignment vertical="center"/>
    </xf>
    <xf numFmtId="2" fontId="30" fillId="0" borderId="0" xfId="1" applyNumberFormat="1" applyFont="1" applyFill="1" applyBorder="1" applyAlignment="1">
      <alignment horizontal="center"/>
    </xf>
    <xf numFmtId="2" fontId="27" fillId="0" borderId="0" xfId="1" applyNumberFormat="1" applyFont="1" applyFill="1" applyBorder="1" applyAlignment="1">
      <alignment horizontal="center"/>
    </xf>
    <xf numFmtId="0" fontId="13" fillId="4" borderId="26" xfId="0" applyFont="1" applyFill="1" applyBorder="1" applyAlignment="1">
      <alignment vertical="center"/>
    </xf>
    <xf numFmtId="10" fontId="13" fillId="0" borderId="0" xfId="8" applyNumberFormat="1" applyFont="1" applyFill="1" applyAlignment="1">
      <alignment vertical="center"/>
    </xf>
    <xf numFmtId="4" fontId="13" fillId="0" borderId="0" xfId="1" applyNumberFormat="1" applyFont="1" applyFill="1" applyAlignment="1">
      <alignment vertical="center"/>
    </xf>
    <xf numFmtId="43" fontId="28" fillId="4" borderId="7" xfId="1" applyFont="1" applyFill="1" applyBorder="1" applyAlignment="1">
      <alignment horizontal="right"/>
    </xf>
    <xf numFmtId="0" fontId="14" fillId="4" borderId="8" xfId="0" applyFont="1" applyFill="1" applyBorder="1" applyAlignment="1">
      <alignment horizontal="right" vertical="center"/>
    </xf>
    <xf numFmtId="10" fontId="34" fillId="0" borderId="0" xfId="1" applyNumberFormat="1" applyFont="1" applyFill="1" applyAlignment="1">
      <alignment vertical="center"/>
    </xf>
    <xf numFmtId="10" fontId="15" fillId="0" borderId="0" xfId="8" applyNumberFormat="1" applyFont="1" applyFill="1" applyBorder="1" applyAlignment="1">
      <alignment vertical="center"/>
    </xf>
    <xf numFmtId="165" fontId="35" fillId="0" borderId="0" xfId="0" applyNumberFormat="1" applyFont="1" applyAlignment="1">
      <alignment horizontal="center" vertical="center"/>
    </xf>
    <xf numFmtId="0" fontId="13" fillId="10" borderId="25" xfId="0" applyFont="1" applyFill="1" applyBorder="1" applyAlignment="1">
      <alignment horizontal="center" vertical="center"/>
    </xf>
    <xf numFmtId="43" fontId="36" fillId="0" borderId="0" xfId="1" applyFont="1" applyFill="1" applyAlignment="1">
      <alignment vertical="center"/>
    </xf>
    <xf numFmtId="4" fontId="37" fillId="0" borderId="0" xfId="2" applyNumberFormat="1" applyFont="1" applyFill="1" applyAlignment="1">
      <alignment horizontal="center" vertical="center" wrapText="1"/>
    </xf>
    <xf numFmtId="9" fontId="13" fillId="0" borderId="0" xfId="1" applyNumberFormat="1" applyFont="1" applyFill="1" applyAlignment="1">
      <alignment vertical="center"/>
    </xf>
    <xf numFmtId="0" fontId="2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21" fillId="0" borderId="0" xfId="0" applyFont="1" applyAlignment="1">
      <alignment horizontal="right" vertical="center"/>
    </xf>
    <xf numFmtId="4" fontId="21" fillId="0" borderId="0" xfId="1" applyNumberFormat="1" applyFont="1" applyFill="1" applyAlignment="1">
      <alignment vertical="center"/>
    </xf>
    <xf numFmtId="4" fontId="14" fillId="7" borderId="25" xfId="1" applyNumberFormat="1" applyFont="1" applyFill="1" applyBorder="1" applyAlignment="1">
      <alignment horizontal="center" vertical="center"/>
    </xf>
    <xf numFmtId="0" fontId="38" fillId="0" borderId="0" xfId="0" applyFont="1" applyAlignment="1">
      <alignment vertical="center"/>
    </xf>
    <xf numFmtId="43" fontId="38" fillId="0" borderId="0" xfId="1" applyFont="1" applyFill="1" applyAlignment="1">
      <alignment vertical="center"/>
    </xf>
    <xf numFmtId="9" fontId="38" fillId="0" borderId="0" xfId="1" applyNumberFormat="1" applyFont="1" applyFill="1" applyAlignment="1">
      <alignment vertical="center"/>
    </xf>
    <xf numFmtId="4" fontId="14" fillId="0" borderId="0" xfId="1" applyNumberFormat="1" applyFont="1" applyFill="1" applyAlignment="1">
      <alignment horizontal="center" vertical="center"/>
    </xf>
    <xf numFmtId="10" fontId="31" fillId="0" borderId="0" xfId="8" applyNumberFormat="1" applyFont="1" applyFill="1" applyAlignment="1">
      <alignment vertical="center"/>
    </xf>
    <xf numFmtId="43" fontId="31" fillId="0" borderId="0" xfId="1" applyFont="1" applyFill="1" applyBorder="1" applyAlignment="1">
      <alignment vertical="center"/>
    </xf>
    <xf numFmtId="4" fontId="13" fillId="0" borderId="0" xfId="0" applyNumberFormat="1" applyFont="1" applyAlignment="1">
      <alignment horizontal="center"/>
    </xf>
    <xf numFmtId="43" fontId="13" fillId="0" borderId="0" xfId="1" applyFont="1" applyFill="1" applyBorder="1"/>
    <xf numFmtId="10" fontId="31" fillId="0" borderId="0" xfId="8" applyNumberFormat="1" applyFont="1" applyFill="1" applyBorder="1" applyAlignment="1">
      <alignment vertical="center"/>
    </xf>
    <xf numFmtId="0" fontId="31" fillId="0" borderId="0" xfId="0" applyFont="1" applyAlignment="1">
      <alignment horizontal="right"/>
    </xf>
    <xf numFmtId="43" fontId="13" fillId="0" borderId="0" xfId="1" applyFont="1" applyFill="1" applyBorder="1" applyAlignment="1">
      <alignment horizontal="center"/>
    </xf>
    <xf numFmtId="9" fontId="41" fillId="0" borderId="0" xfId="0" applyNumberFormat="1" applyFont="1" applyAlignment="1">
      <alignment horizontal="left"/>
    </xf>
    <xf numFmtId="4" fontId="14" fillId="0" borderId="0" xfId="0" applyNumberFormat="1" applyFont="1" applyAlignment="1">
      <alignment horizontal="center"/>
    </xf>
    <xf numFmtId="165" fontId="14" fillId="0" borderId="0" xfId="0" applyNumberFormat="1" applyFont="1"/>
    <xf numFmtId="0" fontId="29" fillId="0" borderId="0" xfId="0" applyFont="1"/>
    <xf numFmtId="0" fontId="43" fillId="0" borderId="0" xfId="0" applyFont="1"/>
    <xf numFmtId="0" fontId="44" fillId="0" borderId="0" xfId="0" applyFont="1" applyAlignment="1">
      <alignment horizontal="center" vertical="center" wrapText="1"/>
    </xf>
    <xf numFmtId="167" fontId="45" fillId="0" borderId="0" xfId="0" applyNumberFormat="1" applyFont="1" applyAlignment="1">
      <alignment horizontal="center" vertical="center" wrapText="1"/>
    </xf>
    <xf numFmtId="0" fontId="46" fillId="5" borderId="3" xfId="0" applyFont="1" applyFill="1" applyBorder="1" applyAlignment="1">
      <alignment horizontal="center"/>
    </xf>
    <xf numFmtId="0" fontId="46" fillId="5" borderId="3" xfId="0" applyFont="1" applyFill="1" applyBorder="1" applyAlignment="1">
      <alignment horizontal="center" wrapText="1"/>
    </xf>
    <xf numFmtId="0" fontId="24" fillId="0" borderId="0" xfId="0" applyFont="1" applyAlignment="1">
      <alignment vertical="center"/>
    </xf>
    <xf numFmtId="2" fontId="47" fillId="0" borderId="0" xfId="0" applyNumberFormat="1" applyFont="1" applyAlignment="1">
      <alignment horizontal="center"/>
    </xf>
    <xf numFmtId="49" fontId="24" fillId="0" borderId="0" xfId="0" applyNumberFormat="1" applyFont="1"/>
    <xf numFmtId="4" fontId="47" fillId="0" borderId="0" xfId="2" applyNumberFormat="1" applyFont="1" applyFill="1" applyAlignment="1">
      <alignment horizontal="center" vertical="center"/>
    </xf>
    <xf numFmtId="4" fontId="28" fillId="0" borderId="0" xfId="2" applyNumberFormat="1" applyFont="1" applyFill="1" applyAlignment="1">
      <alignment horizontal="center" vertical="center"/>
    </xf>
    <xf numFmtId="9" fontId="28" fillId="0" borderId="0" xfId="8" applyFont="1" applyFill="1" applyAlignment="1">
      <alignment vertical="center"/>
    </xf>
    <xf numFmtId="49" fontId="28" fillId="0" borderId="0" xfId="0" applyNumberFormat="1" applyFont="1" applyAlignment="1">
      <alignment horizontal="center"/>
    </xf>
    <xf numFmtId="0" fontId="46" fillId="0" borderId="0" xfId="0" applyFont="1" applyAlignment="1">
      <alignment horizontal="center"/>
    </xf>
    <xf numFmtId="0" fontId="46" fillId="0" borderId="0" xfId="0" applyFont="1"/>
    <xf numFmtId="43" fontId="46" fillId="0" borderId="0" xfId="1" applyFont="1"/>
    <xf numFmtId="4" fontId="46" fillId="0" borderId="0" xfId="1" applyNumberFormat="1" applyFont="1" applyAlignment="1">
      <alignment horizontal="center"/>
    </xf>
    <xf numFmtId="10" fontId="46" fillId="0" borderId="0" xfId="8" applyNumberFormat="1" applyFont="1" applyFill="1"/>
    <xf numFmtId="49" fontId="46" fillId="0" borderId="0" xfId="2" applyNumberFormat="1" applyFont="1" applyAlignment="1">
      <alignment horizontal="center"/>
    </xf>
    <xf numFmtId="0" fontId="43" fillId="0" borderId="0" xfId="0" applyFont="1" applyAlignment="1">
      <alignment horizontal="center"/>
    </xf>
    <xf numFmtId="0" fontId="24" fillId="0" borderId="0" xfId="0" applyFont="1"/>
    <xf numFmtId="0" fontId="28" fillId="0" borderId="0" xfId="0" applyFont="1" applyAlignment="1">
      <alignment horizontal="center"/>
    </xf>
    <xf numFmtId="0" fontId="28" fillId="0" borderId="0" xfId="0" applyFont="1"/>
    <xf numFmtId="43" fontId="28" fillId="0" borderId="0" xfId="1" applyFont="1"/>
    <xf numFmtId="4" fontId="28" fillId="0" borderId="0" xfId="1" applyNumberFormat="1" applyFont="1" applyAlignment="1">
      <alignment horizontal="center"/>
    </xf>
    <xf numFmtId="10" fontId="28" fillId="0" borderId="0" xfId="8" applyNumberFormat="1" applyFont="1" applyFill="1" applyAlignment="1">
      <alignment vertical="center"/>
    </xf>
    <xf numFmtId="49" fontId="28" fillId="0" borderId="0" xfId="2" applyNumberFormat="1" applyFont="1" applyAlignment="1">
      <alignment horizontal="center"/>
    </xf>
    <xf numFmtId="49" fontId="48" fillId="0" borderId="0" xfId="2" applyNumberFormat="1" applyFont="1" applyFill="1" applyBorder="1" applyAlignment="1">
      <alignment horizontal="center" vertical="center"/>
    </xf>
    <xf numFmtId="0" fontId="49" fillId="0" borderId="0" xfId="0" applyFont="1"/>
    <xf numFmtId="0" fontId="26" fillId="0" borderId="0" xfId="0" applyFont="1" applyAlignment="1">
      <alignment horizontal="center"/>
    </xf>
    <xf numFmtId="0" fontId="26" fillId="0" borderId="0" xfId="0" applyFont="1"/>
    <xf numFmtId="43" fontId="26" fillId="0" borderId="0" xfId="1" applyFont="1"/>
    <xf numFmtId="4" fontId="26" fillId="0" borderId="0" xfId="1" applyNumberFormat="1" applyFont="1" applyAlignment="1">
      <alignment horizontal="center"/>
    </xf>
    <xf numFmtId="10" fontId="26" fillId="0" borderId="0" xfId="8" applyNumberFormat="1" applyFont="1" applyFill="1" applyAlignment="1">
      <alignment vertical="center"/>
    </xf>
    <xf numFmtId="49" fontId="26" fillId="0" borderId="0" xfId="2" applyNumberFormat="1" applyFont="1" applyAlignment="1">
      <alignment horizontal="center"/>
    </xf>
    <xf numFmtId="49" fontId="50" fillId="0" borderId="0" xfId="2" applyNumberFormat="1" applyFont="1" applyFill="1" applyBorder="1" applyAlignment="1">
      <alignment horizontal="center" vertical="center"/>
    </xf>
    <xf numFmtId="0" fontId="51" fillId="0" borderId="0" xfId="0" applyFont="1"/>
    <xf numFmtId="2" fontId="52" fillId="0" borderId="0" xfId="0" applyNumberFormat="1" applyFont="1" applyAlignment="1">
      <alignment horizontal="center"/>
    </xf>
    <xf numFmtId="49" fontId="51" fillId="0" borderId="0" xfId="0" applyNumberFormat="1" applyFont="1"/>
    <xf numFmtId="4" fontId="52" fillId="0" borderId="0" xfId="2" applyNumberFormat="1" applyFont="1" applyFill="1" applyAlignment="1">
      <alignment horizontal="center" vertical="center"/>
    </xf>
    <xf numFmtId="4" fontId="51" fillId="0" borderId="0" xfId="2" applyNumberFormat="1" applyFont="1" applyFill="1" applyAlignment="1">
      <alignment horizontal="center" vertical="center"/>
    </xf>
    <xf numFmtId="10" fontId="51" fillId="0" borderId="0" xfId="8" applyNumberFormat="1" applyFont="1" applyFill="1" applyAlignment="1">
      <alignment horizontal="right" vertical="center"/>
    </xf>
    <xf numFmtId="49" fontId="51" fillId="0" borderId="0" xfId="0" applyNumberFormat="1" applyFont="1" applyAlignment="1">
      <alignment horizontal="center"/>
    </xf>
    <xf numFmtId="43" fontId="53" fillId="0" borderId="0" xfId="1" applyFont="1" applyFill="1" applyBorder="1" applyAlignment="1">
      <alignment horizontal="center"/>
    </xf>
    <xf numFmtId="0" fontId="53" fillId="0" borderId="0" xfId="0" applyFont="1"/>
    <xf numFmtId="4" fontId="53" fillId="0" borderId="0" xfId="2" applyNumberFormat="1" applyFont="1" applyFill="1" applyBorder="1"/>
    <xf numFmtId="4" fontId="53" fillId="0" borderId="0" xfId="2" applyNumberFormat="1" applyFont="1" applyFill="1" applyBorder="1" applyAlignment="1">
      <alignment horizontal="center"/>
    </xf>
    <xf numFmtId="10" fontId="53" fillId="0" borderId="0" xfId="8" applyNumberFormat="1" applyFont="1" applyFill="1" applyAlignment="1">
      <alignment vertical="center"/>
    </xf>
    <xf numFmtId="49" fontId="53" fillId="0" borderId="0" xfId="2" applyNumberFormat="1" applyFont="1" applyFill="1" applyBorder="1" applyAlignment="1">
      <alignment horizontal="center"/>
    </xf>
    <xf numFmtId="49" fontId="46" fillId="0" borderId="0" xfId="2" applyNumberFormat="1" applyFont="1" applyFill="1" applyBorder="1" applyAlignment="1">
      <alignment horizontal="center" vertical="center"/>
    </xf>
    <xf numFmtId="43" fontId="24" fillId="0" borderId="27" xfId="1" applyFont="1" applyFill="1" applyBorder="1" applyAlignment="1">
      <alignment horizontal="right"/>
    </xf>
    <xf numFmtId="9" fontId="26" fillId="0" borderId="0" xfId="1" applyNumberFormat="1" applyFont="1" applyFill="1" applyBorder="1"/>
    <xf numFmtId="4" fontId="26" fillId="0" borderId="0" xfId="1" applyNumberFormat="1" applyFont="1" applyFill="1" applyBorder="1" applyAlignment="1">
      <alignment horizontal="right"/>
    </xf>
    <xf numFmtId="10" fontId="24" fillId="0" borderId="0" xfId="8" applyNumberFormat="1" applyFont="1" applyFill="1" applyAlignment="1">
      <alignment horizontal="right"/>
    </xf>
    <xf numFmtId="10" fontId="28" fillId="0" borderId="0" xfId="8" applyNumberFormat="1" applyFont="1" applyFill="1" applyBorder="1" applyAlignment="1">
      <alignment horizontal="right"/>
    </xf>
    <xf numFmtId="169" fontId="25" fillId="0" borderId="0" xfId="1" applyNumberFormat="1" applyFont="1" applyFill="1"/>
    <xf numFmtId="9" fontId="25" fillId="0" borderId="0" xfId="1" applyNumberFormat="1" applyFont="1" applyFill="1"/>
    <xf numFmtId="10" fontId="25" fillId="0" borderId="0" xfId="8" applyNumberFormat="1" applyFont="1" applyFill="1" applyAlignment="1">
      <alignment horizontal="right"/>
    </xf>
    <xf numFmtId="2" fontId="26" fillId="0" borderId="0" xfId="0" applyNumberFormat="1" applyFont="1" applyAlignment="1">
      <alignment horizontal="center"/>
    </xf>
    <xf numFmtId="0" fontId="54" fillId="0" borderId="0" xfId="0" applyFont="1" applyAlignment="1">
      <alignment horizontal="right"/>
    </xf>
    <xf numFmtId="10" fontId="28" fillId="0" borderId="0" xfId="8" applyNumberFormat="1" applyFont="1" applyFill="1"/>
    <xf numFmtId="49" fontId="48" fillId="0" borderId="0" xfId="0" applyNumberFormat="1" applyFont="1" applyAlignment="1">
      <alignment horizontal="center"/>
    </xf>
    <xf numFmtId="0" fontId="29" fillId="4" borderId="7" xfId="0" applyFont="1" applyFill="1" applyBorder="1"/>
    <xf numFmtId="0" fontId="24" fillId="0" borderId="28" xfId="0" applyFont="1" applyBorder="1"/>
    <xf numFmtId="0" fontId="24" fillId="0" borderId="0" xfId="0" applyFont="1" applyAlignment="1">
      <alignment horizontal="center"/>
    </xf>
    <xf numFmtId="10" fontId="27" fillId="0" borderId="0" xfId="8" applyNumberFormat="1" applyFont="1" applyFill="1" applyBorder="1"/>
    <xf numFmtId="165" fontId="24" fillId="0" borderId="0" xfId="0" applyNumberFormat="1" applyFont="1" applyAlignment="1">
      <alignment horizontal="center"/>
    </xf>
    <xf numFmtId="10" fontId="28" fillId="0" borderId="0" xfId="8" applyNumberFormat="1" applyFont="1" applyFill="1" applyAlignment="1">
      <alignment horizontal="right"/>
    </xf>
    <xf numFmtId="43" fontId="24" fillId="0" borderId="0" xfId="1" applyFont="1" applyFill="1" applyBorder="1" applyAlignment="1">
      <alignment horizontal="center"/>
    </xf>
    <xf numFmtId="169" fontId="36" fillId="0" borderId="0" xfId="1" applyNumberFormat="1" applyFont="1" applyFill="1" applyAlignment="1">
      <alignment vertical="top"/>
    </xf>
    <xf numFmtId="43" fontId="28" fillId="3" borderId="25" xfId="1" applyFont="1" applyFill="1" applyBorder="1" applyAlignment="1">
      <alignment horizontal="center"/>
    </xf>
    <xf numFmtId="2" fontId="57" fillId="0" borderId="0" xfId="0" applyNumberFormat="1" applyFont="1" applyAlignment="1">
      <alignment horizontal="center"/>
    </xf>
    <xf numFmtId="10" fontId="58" fillId="0" borderId="0" xfId="8" applyNumberFormat="1" applyFont="1" applyFill="1" applyAlignment="1">
      <alignment horizontal="right"/>
    </xf>
    <xf numFmtId="10" fontId="59" fillId="0" borderId="0" xfId="8" applyNumberFormat="1" applyFont="1" applyFill="1" applyAlignment="1">
      <alignment horizontal="right"/>
    </xf>
    <xf numFmtId="0" fontId="60" fillId="0" borderId="0" xfId="0" applyFont="1" applyAlignment="1">
      <alignment horizontal="right"/>
    </xf>
    <xf numFmtId="10" fontId="39" fillId="0" borderId="0" xfId="8" applyNumberFormat="1" applyFont="1" applyFill="1" applyAlignment="1">
      <alignment horizontal="right"/>
    </xf>
    <xf numFmtId="10" fontId="27" fillId="0" borderId="0" xfId="8" applyNumberFormat="1" applyFont="1" applyFill="1"/>
    <xf numFmtId="3" fontId="14" fillId="0" borderId="7" xfId="0" applyNumberFormat="1" applyFont="1" applyBorder="1" applyAlignment="1">
      <alignment horizontal="center"/>
    </xf>
    <xf numFmtId="0" fontId="29" fillId="0" borderId="0" xfId="0" applyFont="1" applyAlignment="1">
      <alignment horizontal="center"/>
    </xf>
    <xf numFmtId="10" fontId="61" fillId="0" borderId="0" xfId="8" applyNumberFormat="1" applyFont="1" applyFill="1"/>
    <xf numFmtId="0" fontId="62" fillId="0" borderId="0" xfId="0" applyFont="1" applyAlignment="1">
      <alignment horizontal="center"/>
    </xf>
    <xf numFmtId="3" fontId="28" fillId="0" borderId="25" xfId="0" applyNumberFormat="1" applyFont="1" applyBorder="1" applyAlignment="1">
      <alignment horizontal="center"/>
    </xf>
    <xf numFmtId="3" fontId="36" fillId="0" borderId="25" xfId="0" applyNumberFormat="1" applyFont="1" applyBorder="1" applyAlignment="1">
      <alignment horizontal="center"/>
    </xf>
    <xf numFmtId="43" fontId="29" fillId="0" borderId="0" xfId="1" applyFont="1" applyFill="1" applyBorder="1"/>
    <xf numFmtId="10" fontId="29" fillId="0" borderId="0" xfId="8" applyNumberFormat="1" applyFont="1"/>
    <xf numFmtId="2" fontId="20" fillId="12" borderId="0" xfId="0" applyNumberFormat="1" applyFont="1" applyFill="1" applyAlignment="1">
      <alignment horizontal="center"/>
    </xf>
    <xf numFmtId="0" fontId="13" fillId="12" borderId="0" xfId="0" applyFont="1" applyFill="1" applyAlignment="1">
      <alignment vertical="center"/>
    </xf>
    <xf numFmtId="0" fontId="3" fillId="0" borderId="3" xfId="3" applyFont="1" applyBorder="1"/>
    <xf numFmtId="0" fontId="6" fillId="0" borderId="13" xfId="3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29" xfId="3" quotePrefix="1" applyBorder="1" applyAlignment="1">
      <alignment horizontal="right"/>
    </xf>
    <xf numFmtId="0" fontId="1" fillId="0" borderId="5" xfId="3" quotePrefix="1" applyBorder="1"/>
    <xf numFmtId="0" fontId="7" fillId="0" borderId="5" xfId="3" applyFont="1" applyBorder="1"/>
    <xf numFmtId="1" fontId="1" fillId="0" borderId="5" xfId="3" applyNumberFormat="1" applyBorder="1" applyAlignment="1">
      <alignment horizontal="center" wrapText="1"/>
    </xf>
    <xf numFmtId="0" fontId="1" fillId="0" borderId="12" xfId="3" applyBorder="1" applyAlignment="1">
      <alignment horizontal="center"/>
    </xf>
    <xf numFmtId="0" fontId="1" fillId="0" borderId="3" xfId="0" applyFont="1" applyBorder="1" applyAlignment="1">
      <alignment horizontal="left" vertical="center"/>
    </xf>
    <xf numFmtId="0" fontId="1" fillId="12" borderId="16" xfId="3" applyFill="1" applyBorder="1" applyAlignment="1">
      <alignment horizontal="center"/>
    </xf>
    <xf numFmtId="0" fontId="1" fillId="12" borderId="1" xfId="3" applyFill="1" applyBorder="1" applyAlignment="1">
      <alignment horizontal="left"/>
    </xf>
    <xf numFmtId="0" fontId="1" fillId="13" borderId="13" xfId="3" applyFill="1" applyBorder="1" applyAlignment="1">
      <alignment horizontal="center"/>
    </xf>
    <xf numFmtId="0" fontId="1" fillId="13" borderId="3" xfId="3" applyFill="1" applyBorder="1" applyAlignment="1">
      <alignment horizontal="left"/>
    </xf>
    <xf numFmtId="0" fontId="2" fillId="13" borderId="9" xfId="3" applyFont="1" applyFill="1" applyBorder="1" applyAlignment="1">
      <alignment horizontal="center"/>
    </xf>
    <xf numFmtId="2" fontId="20" fillId="13" borderId="0" xfId="0" applyNumberFormat="1" applyFont="1" applyFill="1" applyAlignment="1">
      <alignment horizontal="center"/>
    </xf>
    <xf numFmtId="0" fontId="13" fillId="13" borderId="0" xfId="0" applyFont="1" applyFill="1" applyAlignment="1">
      <alignment vertical="center"/>
    </xf>
    <xf numFmtId="0" fontId="0" fillId="14" borderId="61" xfId="0" applyFill="1" applyBorder="1" applyAlignment="1">
      <alignment horizontal="center" vertical="center"/>
    </xf>
    <xf numFmtId="0" fontId="0" fillId="14" borderId="60" xfId="0" applyFill="1" applyBorder="1" applyAlignment="1">
      <alignment horizontal="left" vertical="center"/>
    </xf>
    <xf numFmtId="0" fontId="12" fillId="14" borderId="3" xfId="3" applyFont="1" applyFill="1" applyBorder="1" applyAlignment="1">
      <alignment horizontal="center"/>
    </xf>
    <xf numFmtId="12" fontId="12" fillId="14" borderId="3" xfId="3" applyNumberFormat="1" applyFont="1" applyFill="1" applyBorder="1"/>
    <xf numFmtId="2" fontId="20" fillId="14" borderId="0" xfId="0" applyNumberFormat="1" applyFont="1" applyFill="1" applyAlignment="1">
      <alignment horizontal="center"/>
    </xf>
    <xf numFmtId="0" fontId="13" fillId="14" borderId="0" xfId="0" applyFont="1" applyFill="1" applyAlignment="1">
      <alignment vertical="center"/>
    </xf>
    <xf numFmtId="0" fontId="0" fillId="15" borderId="13" xfId="0" applyFill="1" applyBorder="1" applyAlignment="1">
      <alignment horizontal="center"/>
    </xf>
    <xf numFmtId="0" fontId="0" fillId="15" borderId="3" xfId="0" applyFill="1" applyBorder="1"/>
    <xf numFmtId="0" fontId="2" fillId="15" borderId="3" xfId="3" applyFont="1" applyFill="1" applyBorder="1" applyAlignment="1">
      <alignment horizontal="center"/>
    </xf>
    <xf numFmtId="2" fontId="20" fillId="15" borderId="0" xfId="0" applyNumberFormat="1" applyFont="1" applyFill="1" applyAlignment="1">
      <alignment horizontal="center"/>
    </xf>
    <xf numFmtId="0" fontId="13" fillId="15" borderId="0" xfId="0" applyFont="1" applyFill="1" applyAlignment="1">
      <alignment vertical="center"/>
    </xf>
    <xf numFmtId="0" fontId="2" fillId="16" borderId="3" xfId="3" applyFont="1" applyFill="1" applyBorder="1"/>
    <xf numFmtId="0" fontId="2" fillId="16" borderId="3" xfId="3" applyFont="1" applyFill="1" applyBorder="1" applyAlignment="1">
      <alignment horizontal="center"/>
    </xf>
    <xf numFmtId="2" fontId="20" fillId="16" borderId="0" xfId="0" applyNumberFormat="1" applyFont="1" applyFill="1" applyAlignment="1">
      <alignment horizontal="center"/>
    </xf>
    <xf numFmtId="0" fontId="13" fillId="16" borderId="0" xfId="0" applyFont="1" applyFill="1" applyAlignment="1">
      <alignment vertical="center"/>
    </xf>
    <xf numFmtId="0" fontId="1" fillId="0" borderId="0" xfId="3"/>
    <xf numFmtId="0" fontId="4" fillId="3" borderId="2" xfId="3" applyFont="1" applyFill="1" applyBorder="1" applyAlignment="1">
      <alignment horizontal="center" vertical="center" wrapText="1"/>
    </xf>
    <xf numFmtId="1" fontId="4" fillId="3" borderId="5" xfId="3" applyNumberFormat="1" applyFont="1" applyFill="1" applyBorder="1" applyAlignment="1">
      <alignment horizontal="center"/>
    </xf>
    <xf numFmtId="1" fontId="4" fillId="3" borderId="5" xfId="3" applyNumberFormat="1" applyFont="1" applyFill="1" applyBorder="1" applyAlignment="1">
      <alignment horizontal="center" wrapText="1"/>
    </xf>
    <xf numFmtId="0" fontId="1" fillId="2" borderId="0" xfId="3" applyFill="1"/>
    <xf numFmtId="0" fontId="1" fillId="2" borderId="0" xfId="3" applyFill="1" applyAlignment="1">
      <alignment horizontal="left" indent="1"/>
    </xf>
    <xf numFmtId="0" fontId="1" fillId="3" borderId="6" xfId="3" applyFill="1" applyBorder="1" applyAlignment="1">
      <alignment horizontal="center"/>
    </xf>
    <xf numFmtId="0" fontId="1" fillId="3" borderId="7" xfId="3" applyFill="1" applyBorder="1"/>
    <xf numFmtId="0" fontId="4" fillId="3" borderId="7" xfId="3" applyFont="1" applyFill="1" applyBorder="1" applyAlignment="1">
      <alignment horizontal="center"/>
    </xf>
    <xf numFmtId="1" fontId="4" fillId="3" borderId="7" xfId="3" applyNumberFormat="1" applyFont="1" applyFill="1" applyBorder="1" applyAlignment="1">
      <alignment horizontal="center"/>
    </xf>
    <xf numFmtId="166" fontId="1" fillId="3" borderId="7" xfId="3" applyNumberFormat="1" applyFill="1" applyBorder="1" applyAlignment="1">
      <alignment horizontal="center" wrapText="1"/>
    </xf>
    <xf numFmtId="0" fontId="1" fillId="3" borderId="8" xfId="3" applyFill="1" applyBorder="1" applyAlignment="1">
      <alignment horizontal="center"/>
    </xf>
    <xf numFmtId="0" fontId="1" fillId="0" borderId="10" xfId="3" applyBorder="1" applyAlignment="1">
      <alignment horizontal="center"/>
    </xf>
    <xf numFmtId="0" fontId="4" fillId="0" borderId="3" xfId="3" applyFont="1" applyBorder="1" applyAlignment="1">
      <alignment horizontal="center"/>
    </xf>
    <xf numFmtId="1" fontId="1" fillId="0" borderId="5" xfId="3" applyNumberFormat="1" applyBorder="1" applyAlignment="1">
      <alignment horizontal="center"/>
    </xf>
    <xf numFmtId="0" fontId="1" fillId="0" borderId="5" xfId="3" applyBorder="1" applyAlignment="1">
      <alignment horizontal="center"/>
    </xf>
    <xf numFmtId="0" fontId="8" fillId="2" borderId="0" xfId="3" applyFont="1" applyFill="1" applyAlignment="1">
      <alignment vertical="center"/>
    </xf>
    <xf numFmtId="0" fontId="4" fillId="3" borderId="12" xfId="3" applyFont="1" applyFill="1" applyBorder="1" applyAlignment="1">
      <alignment horizontal="center"/>
    </xf>
    <xf numFmtId="0" fontId="1" fillId="0" borderId="60" xfId="3" applyBorder="1" applyAlignment="1">
      <alignment horizontal="left" vertical="center"/>
    </xf>
    <xf numFmtId="0" fontId="1" fillId="0" borderId="3" xfId="3" applyBorder="1" applyAlignment="1">
      <alignment horizontal="left" vertical="center"/>
    </xf>
    <xf numFmtId="0" fontId="1" fillId="0" borderId="13" xfId="3" applyBorder="1" applyAlignment="1">
      <alignment horizontal="center" vertical="center"/>
    </xf>
    <xf numFmtId="0" fontId="1" fillId="0" borderId="59" xfId="3" applyBorder="1" applyAlignment="1">
      <alignment horizontal="center" vertical="center"/>
    </xf>
    <xf numFmtId="10" fontId="14" fillId="0" borderId="0" xfId="9" applyNumberFormat="1" applyFont="1" applyFill="1" applyAlignment="1">
      <alignment vertical="center"/>
    </xf>
    <xf numFmtId="10" fontId="15" fillId="0" borderId="0" xfId="9" applyNumberFormat="1" applyFont="1" applyFill="1" applyAlignment="1">
      <alignment vertical="center"/>
    </xf>
    <xf numFmtId="10" fontId="15" fillId="4" borderId="22" xfId="9" applyNumberFormat="1" applyFont="1" applyFill="1" applyBorder="1" applyAlignment="1">
      <alignment vertical="center"/>
    </xf>
    <xf numFmtId="10" fontId="15" fillId="4" borderId="23" xfId="9" applyNumberFormat="1" applyFont="1" applyFill="1" applyBorder="1" applyAlignment="1">
      <alignment vertical="center"/>
    </xf>
    <xf numFmtId="9" fontId="81" fillId="0" borderId="0" xfId="9" applyFont="1" applyFill="1" applyAlignment="1">
      <alignment horizontal="center"/>
    </xf>
    <xf numFmtId="10" fontId="25" fillId="0" borderId="0" xfId="9" applyNumberFormat="1" applyFont="1" applyFill="1" applyAlignment="1">
      <alignment horizontal="right"/>
    </xf>
    <xf numFmtId="2" fontId="25" fillId="0" borderId="0" xfId="1" applyNumberFormat="1" applyFont="1" applyFill="1" applyBorder="1" applyAlignment="1">
      <alignment horizontal="center"/>
    </xf>
    <xf numFmtId="10" fontId="13" fillId="0" borderId="0" xfId="9" applyNumberFormat="1" applyFont="1" applyFill="1" applyAlignment="1">
      <alignment vertical="center"/>
    </xf>
    <xf numFmtId="10" fontId="15" fillId="0" borderId="0" xfId="9" applyNumberFormat="1" applyFont="1" applyFill="1" applyBorder="1" applyAlignment="1">
      <alignment vertical="center"/>
    </xf>
    <xf numFmtId="10" fontId="31" fillId="0" borderId="0" xfId="9" applyNumberFormat="1" applyFont="1" applyFill="1" applyAlignment="1">
      <alignment vertical="center"/>
    </xf>
    <xf numFmtId="10" fontId="31" fillId="0" borderId="0" xfId="9" applyNumberFormat="1" applyFont="1" applyFill="1" applyBorder="1" applyAlignment="1">
      <alignment vertical="center"/>
    </xf>
    <xf numFmtId="10" fontId="61" fillId="0" borderId="0" xfId="9" applyNumberFormat="1" applyFont="1" applyFill="1"/>
    <xf numFmtId="0" fontId="13" fillId="0" borderId="0" xfId="0" applyFont="1" applyAlignment="1">
      <alignment horizontal="center"/>
    </xf>
    <xf numFmtId="10" fontId="14" fillId="0" borderId="0" xfId="9" applyNumberFormat="1" applyFont="1" applyFill="1" applyAlignment="1">
      <alignment horizontal="right" vertical="center"/>
    </xf>
    <xf numFmtId="49" fontId="13" fillId="0" borderId="0" xfId="0" applyNumberFormat="1" applyFont="1"/>
    <xf numFmtId="4" fontId="20" fillId="0" borderId="0" xfId="2" applyNumberFormat="1" applyFont="1" applyFill="1" applyBorder="1" applyAlignment="1">
      <alignment horizontal="center" vertical="center"/>
    </xf>
    <xf numFmtId="4" fontId="14" fillId="0" borderId="0" xfId="2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4" fillId="0" borderId="0" xfId="0" applyFont="1"/>
    <xf numFmtId="43" fontId="14" fillId="0" borderId="0" xfId="1" applyFont="1" applyAlignment="1">
      <alignment vertical="top"/>
    </xf>
    <xf numFmtId="4" fontId="14" fillId="0" borderId="0" xfId="1" applyNumberFormat="1" applyFont="1" applyAlignment="1">
      <alignment vertical="top"/>
    </xf>
    <xf numFmtId="10" fontId="14" fillId="0" borderId="0" xfId="9" applyNumberFormat="1" applyFont="1" applyFill="1" applyAlignment="1">
      <alignment horizontal="right" vertical="top"/>
    </xf>
    <xf numFmtId="49" fontId="14" fillId="0" borderId="0" xfId="2" applyNumberFormat="1" applyFont="1" applyAlignment="1">
      <alignment horizontal="center"/>
    </xf>
    <xf numFmtId="0" fontId="14" fillId="17" borderId="25" xfId="0" applyFont="1" applyFill="1" applyBorder="1" applyAlignment="1">
      <alignment horizontal="center" vertical="center"/>
    </xf>
    <xf numFmtId="9" fontId="14" fillId="0" borderId="0" xfId="9" applyFont="1" applyFill="1" applyAlignment="1">
      <alignment horizontal="right" vertical="center"/>
    </xf>
    <xf numFmtId="10" fontId="53" fillId="0" borderId="0" xfId="9" applyNumberFormat="1" applyFont="1" applyFill="1" applyAlignment="1">
      <alignment vertical="center"/>
    </xf>
    <xf numFmtId="43" fontId="14" fillId="0" borderId="0" xfId="1" applyFont="1" applyFill="1" applyBorder="1" applyAlignment="1">
      <alignment horizontal="center"/>
    </xf>
    <xf numFmtId="43" fontId="14" fillId="0" borderId="27" xfId="1" applyFont="1" applyFill="1" applyBorder="1" applyAlignment="1">
      <alignment horizontal="center"/>
    </xf>
    <xf numFmtId="0" fontId="39" fillId="0" borderId="0" xfId="0" applyFont="1" applyAlignment="1">
      <alignment horizontal="center"/>
    </xf>
    <xf numFmtId="0" fontId="39" fillId="0" borderId="0" xfId="0" applyFont="1" applyAlignment="1">
      <alignment horizontal="right"/>
    </xf>
    <xf numFmtId="43" fontId="39" fillId="0" borderId="0" xfId="1" applyFont="1" applyFill="1" applyBorder="1" applyAlignment="1">
      <alignment horizontal="center"/>
    </xf>
    <xf numFmtId="0" fontId="35" fillId="0" borderId="0" xfId="0" applyFont="1" applyAlignment="1">
      <alignment horizontal="right"/>
    </xf>
    <xf numFmtId="0" fontId="22" fillId="0" borderId="0" xfId="0" applyFont="1" applyAlignment="1">
      <alignment horizontal="right"/>
    </xf>
    <xf numFmtId="9" fontId="22" fillId="0" borderId="0" xfId="1" applyNumberFormat="1" applyFont="1" applyFill="1" applyBorder="1" applyAlignment="1">
      <alignment vertical="top"/>
    </xf>
    <xf numFmtId="4" fontId="22" fillId="0" borderId="0" xfId="1" applyNumberFormat="1" applyFont="1" applyFill="1" applyBorder="1" applyAlignment="1">
      <alignment horizontal="center"/>
    </xf>
    <xf numFmtId="10" fontId="14" fillId="0" borderId="0" xfId="9" applyNumberFormat="1" applyFont="1" applyFill="1" applyBorder="1" applyAlignment="1">
      <alignment horizontal="right" vertical="top"/>
    </xf>
    <xf numFmtId="0" fontId="24" fillId="4" borderId="7" xfId="0" applyFont="1" applyFill="1" applyBorder="1"/>
    <xf numFmtId="0" fontId="13" fillId="0" borderId="28" xfId="0" applyFont="1" applyBorder="1"/>
    <xf numFmtId="10" fontId="31" fillId="0" borderId="0" xfId="9" applyNumberFormat="1" applyFont="1" applyFill="1" applyBorder="1" applyAlignment="1">
      <alignment horizontal="right" vertical="top"/>
    </xf>
    <xf numFmtId="0" fontId="22" fillId="0" borderId="0" xfId="0" applyFont="1" applyAlignment="1">
      <alignment horizontal="center"/>
    </xf>
    <xf numFmtId="10" fontId="14" fillId="0" borderId="0" xfId="9" applyNumberFormat="1" applyFont="1" applyFill="1" applyAlignment="1">
      <alignment horizontal="right"/>
    </xf>
    <xf numFmtId="43" fontId="14" fillId="3" borderId="25" xfId="1" applyFont="1" applyFill="1" applyBorder="1" applyAlignment="1">
      <alignment horizontal="center"/>
    </xf>
    <xf numFmtId="0" fontId="75" fillId="0" borderId="0" xfId="0" applyFont="1"/>
    <xf numFmtId="10" fontId="36" fillId="0" borderId="0" xfId="9" applyNumberFormat="1" applyFont="1" applyFill="1" applyAlignment="1">
      <alignment horizontal="right"/>
    </xf>
    <xf numFmtId="2" fontId="76" fillId="0" borderId="0" xfId="0" applyNumberFormat="1" applyFont="1" applyAlignment="1">
      <alignment horizontal="center"/>
    </xf>
    <xf numFmtId="10" fontId="77" fillId="0" borderId="0" xfId="9" applyNumberFormat="1" applyFont="1" applyFill="1" applyAlignment="1">
      <alignment horizontal="right"/>
    </xf>
    <xf numFmtId="2" fontId="22" fillId="0" borderId="0" xfId="0" applyNumberFormat="1" applyFont="1" applyAlignment="1">
      <alignment horizontal="center"/>
    </xf>
    <xf numFmtId="10" fontId="39" fillId="0" borderId="0" xfId="9" applyNumberFormat="1" applyFont="1" applyFill="1" applyAlignment="1">
      <alignment horizontal="right"/>
    </xf>
    <xf numFmtId="3" fontId="14" fillId="8" borderId="25" xfId="0" applyNumberFormat="1" applyFont="1" applyFill="1" applyBorder="1" applyAlignment="1">
      <alignment horizontal="center"/>
    </xf>
    <xf numFmtId="3" fontId="36" fillId="9" borderId="25" xfId="0" applyNumberFormat="1" applyFont="1" applyFill="1" applyBorder="1" applyAlignment="1">
      <alignment horizontal="center"/>
    </xf>
    <xf numFmtId="165" fontId="29" fillId="0" borderId="0" xfId="0" applyNumberFormat="1" applyFont="1"/>
    <xf numFmtId="0" fontId="13" fillId="18" borderId="0" xfId="0" applyFont="1" applyFill="1" applyAlignment="1">
      <alignment vertical="center"/>
    </xf>
    <xf numFmtId="0" fontId="67" fillId="0" borderId="1" xfId="5" applyFont="1" applyBorder="1" applyAlignment="1">
      <alignment horizontal="center" vertical="center"/>
    </xf>
    <xf numFmtId="0" fontId="67" fillId="0" borderId="2" xfId="6" applyFont="1" applyBorder="1" applyAlignment="1">
      <alignment horizontal="center" vertical="center"/>
    </xf>
    <xf numFmtId="0" fontId="67" fillId="0" borderId="3" xfId="5" applyFont="1" applyBorder="1" applyAlignment="1">
      <alignment horizontal="center" vertical="center"/>
    </xf>
    <xf numFmtId="49" fontId="67" fillId="0" borderId="4" xfId="6" applyNumberFormat="1" applyFont="1" applyBorder="1" applyAlignment="1">
      <alignment horizontal="center" vertical="center"/>
    </xf>
    <xf numFmtId="0" fontId="69" fillId="0" borderId="3" xfId="5" applyFont="1" applyBorder="1" applyAlignment="1">
      <alignment horizontal="center" vertical="center" wrapText="1"/>
    </xf>
    <xf numFmtId="15" fontId="67" fillId="0" borderId="4" xfId="6" applyNumberFormat="1" applyFont="1" applyBorder="1" applyAlignment="1">
      <alignment horizontal="center" vertical="center"/>
    </xf>
    <xf numFmtId="0" fontId="70" fillId="0" borderId="0" xfId="5" applyFont="1"/>
    <xf numFmtId="0" fontId="67" fillId="0" borderId="5" xfId="5" applyFont="1" applyBorder="1" applyAlignment="1">
      <alignment horizontal="center" vertical="center"/>
    </xf>
    <xf numFmtId="0" fontId="71" fillId="0" borderId="30" xfId="5" applyFont="1" applyBorder="1" applyAlignment="1">
      <alignment horizontal="center"/>
    </xf>
    <xf numFmtId="0" fontId="71" fillId="0" borderId="0" xfId="5" applyFont="1" applyAlignment="1">
      <alignment horizontal="center"/>
    </xf>
    <xf numFmtId="0" fontId="72" fillId="0" borderId="0" xfId="5" applyFont="1" applyAlignment="1">
      <alignment horizontal="center" wrapText="1"/>
    </xf>
    <xf numFmtId="0" fontId="72" fillId="0" borderId="0" xfId="5" applyFont="1" applyAlignment="1">
      <alignment horizontal="center"/>
    </xf>
    <xf numFmtId="0" fontId="72" fillId="0" borderId="24" xfId="5" applyFont="1" applyBorder="1" applyAlignment="1">
      <alignment horizontal="center"/>
    </xf>
    <xf numFmtId="0" fontId="71" fillId="0" borderId="6" xfId="5" applyFont="1" applyBorder="1" applyAlignment="1">
      <alignment horizontal="left" vertical="center"/>
    </xf>
    <xf numFmtId="0" fontId="71" fillId="0" borderId="6" xfId="5" applyFont="1" applyBorder="1" applyAlignment="1">
      <alignment horizontal="center" vertical="center"/>
    </xf>
    <xf numFmtId="0" fontId="71" fillId="19" borderId="25" xfId="5" applyFont="1" applyFill="1" applyBorder="1" applyAlignment="1">
      <alignment horizontal="center" vertical="center"/>
    </xf>
    <xf numFmtId="0" fontId="71" fillId="0" borderId="7" xfId="5" applyFont="1" applyBorder="1" applyAlignment="1">
      <alignment horizontal="center" vertical="center"/>
    </xf>
    <xf numFmtId="0" fontId="71" fillId="0" borderId="25" xfId="5" applyFont="1" applyBorder="1" applyAlignment="1">
      <alignment horizontal="center" vertical="center"/>
    </xf>
    <xf numFmtId="0" fontId="71" fillId="0" borderId="25" xfId="5" applyFont="1" applyBorder="1" applyAlignment="1">
      <alignment horizontal="center" vertical="center" wrapText="1"/>
    </xf>
    <xf numFmtId="49" fontId="1" fillId="10" borderId="31" xfId="3" applyNumberFormat="1" applyFill="1" applyBorder="1" applyAlignment="1">
      <alignment horizontal="center" vertical="center"/>
    </xf>
    <xf numFmtId="49" fontId="1" fillId="10" borderId="32" xfId="3" applyNumberFormat="1" applyFill="1" applyBorder="1" applyAlignment="1">
      <alignment horizontal="center" vertical="center"/>
    </xf>
    <xf numFmtId="0" fontId="82" fillId="0" borderId="32" xfId="3" quotePrefix="1" applyFont="1" applyBorder="1" applyAlignment="1">
      <alignment horizontal="center" vertical="center"/>
    </xf>
    <xf numFmtId="0" fontId="1" fillId="10" borderId="1" xfId="3" applyFill="1" applyBorder="1" applyAlignment="1">
      <alignment horizontal="center" vertical="center" wrapText="1"/>
    </xf>
    <xf numFmtId="0" fontId="83" fillId="0" borderId="32" xfId="3" applyFont="1" applyBorder="1" applyAlignment="1">
      <alignment horizontal="center" vertical="center"/>
    </xf>
    <xf numFmtId="49" fontId="83" fillId="0" borderId="32" xfId="3" applyNumberFormat="1" applyFont="1" applyBorder="1" applyAlignment="1">
      <alignment horizontal="center" vertical="center"/>
    </xf>
    <xf numFmtId="0" fontId="12" fillId="0" borderId="0" xfId="3" applyFont="1"/>
    <xf numFmtId="49" fontId="1" fillId="10" borderId="13" xfId="3" applyNumberFormat="1" applyFill="1" applyBorder="1" applyAlignment="1">
      <alignment horizontal="center" vertical="center"/>
    </xf>
    <xf numFmtId="49" fontId="1" fillId="10" borderId="3" xfId="3" applyNumberFormat="1" applyFill="1" applyBorder="1" applyAlignment="1">
      <alignment horizontal="center" vertical="center"/>
    </xf>
    <xf numFmtId="0" fontId="1" fillId="10" borderId="14" xfId="3" applyFill="1" applyBorder="1" applyAlignment="1">
      <alignment horizontal="center" vertical="center" wrapText="1"/>
    </xf>
    <xf numFmtId="0" fontId="83" fillId="0" borderId="3" xfId="3" applyFont="1" applyBorder="1" applyAlignment="1">
      <alignment horizontal="center" vertical="center"/>
    </xf>
    <xf numFmtId="49" fontId="83" fillId="0" borderId="3" xfId="3" applyNumberFormat="1" applyFont="1" applyBorder="1" applyAlignment="1">
      <alignment horizontal="center" vertical="center"/>
    </xf>
    <xf numFmtId="0" fontId="1" fillId="0" borderId="3" xfId="3" applyBorder="1" applyAlignment="1">
      <alignment horizontal="center" vertical="center"/>
    </xf>
    <xf numFmtId="49" fontId="83" fillId="0" borderId="9" xfId="3" applyNumberFormat="1" applyFont="1" applyBorder="1" applyAlignment="1">
      <alignment horizontal="center" vertical="center"/>
    </xf>
    <xf numFmtId="0" fontId="1" fillId="10" borderId="3" xfId="4" applyFill="1" applyBorder="1" applyAlignment="1">
      <alignment horizontal="center" vertical="center" wrapText="1"/>
    </xf>
    <xf numFmtId="0" fontId="1" fillId="10" borderId="3" xfId="3" applyFill="1" applyBorder="1" applyAlignment="1">
      <alignment horizontal="center" vertical="center" wrapText="1"/>
    </xf>
    <xf numFmtId="49" fontId="83" fillId="10" borderId="13" xfId="3" applyNumberFormat="1" applyFont="1" applyFill="1" applyBorder="1" applyAlignment="1">
      <alignment horizontal="center" vertical="center"/>
    </xf>
    <xf numFmtId="14" fontId="83" fillId="10" borderId="3" xfId="3" applyNumberFormat="1" applyFont="1" applyFill="1" applyBorder="1" applyAlignment="1">
      <alignment horizontal="left" vertical="center"/>
    </xf>
    <xf numFmtId="0" fontId="1" fillId="0" borderId="3" xfId="3" applyBorder="1" applyAlignment="1">
      <alignment horizontal="center" vertical="center" wrapText="1"/>
    </xf>
    <xf numFmtId="0" fontId="82" fillId="0" borderId="3" xfId="5" quotePrefix="1" applyFont="1" applyBorder="1" applyAlignment="1">
      <alignment horizontal="center" vertical="center"/>
    </xf>
    <xf numFmtId="49" fontId="83" fillId="10" borderId="29" xfId="3" applyNumberFormat="1" applyFont="1" applyFill="1" applyBorder="1" applyAlignment="1">
      <alignment horizontal="center" vertical="center"/>
    </xf>
    <xf numFmtId="0" fontId="83" fillId="10" borderId="5" xfId="3" applyFont="1" applyFill="1" applyBorder="1" applyAlignment="1">
      <alignment horizontal="left" vertical="center"/>
    </xf>
    <xf numFmtId="0" fontId="1" fillId="0" borderId="5" xfId="3" applyBorder="1" applyAlignment="1">
      <alignment horizontal="center" vertical="center" wrapText="1"/>
    </xf>
    <xf numFmtId="0" fontId="83" fillId="0" borderId="5" xfId="3" applyFont="1" applyBorder="1" applyAlignment="1">
      <alignment horizontal="center" vertical="center"/>
    </xf>
    <xf numFmtId="0" fontId="65" fillId="0" borderId="30" xfId="5" applyFont="1" applyBorder="1"/>
    <xf numFmtId="0" fontId="72" fillId="0" borderId="0" xfId="5" applyFont="1"/>
    <xf numFmtId="0" fontId="72" fillId="0" borderId="24" xfId="5" applyFont="1" applyBorder="1"/>
    <xf numFmtId="0" fontId="0" fillId="0" borderId="13" xfId="0" applyBorder="1" applyAlignment="1">
      <alignment horizontal="center"/>
    </xf>
    <xf numFmtId="0" fontId="44" fillId="0" borderId="17" xfId="0" applyFont="1" applyBorder="1" applyAlignment="1">
      <alignment horizontal="center" vertical="center" wrapText="1"/>
    </xf>
    <xf numFmtId="4" fontId="28" fillId="0" borderId="0" xfId="1" applyNumberFormat="1" applyFont="1" applyAlignment="1">
      <alignment horizontal="right"/>
    </xf>
    <xf numFmtId="9" fontId="28" fillId="0" borderId="0" xfId="9" applyFont="1" applyAlignment="1">
      <alignment horizontal="right"/>
    </xf>
    <xf numFmtId="43" fontId="49" fillId="0" borderId="0" xfId="1" applyFont="1" applyFill="1" applyBorder="1" applyAlignment="1">
      <alignment horizontal="center"/>
    </xf>
    <xf numFmtId="4" fontId="49" fillId="0" borderId="0" xfId="2" applyNumberFormat="1" applyFont="1" applyFill="1" applyBorder="1"/>
    <xf numFmtId="4" fontId="49" fillId="0" borderId="0" xfId="2" applyNumberFormat="1" applyFont="1" applyFill="1" applyBorder="1" applyAlignment="1">
      <alignment horizontal="right"/>
    </xf>
    <xf numFmtId="9" fontId="26" fillId="0" borderId="0" xfId="9" applyFont="1" applyFill="1"/>
    <xf numFmtId="49" fontId="49" fillId="0" borderId="0" xfId="2" applyNumberFormat="1" applyFont="1" applyFill="1" applyBorder="1" applyAlignment="1">
      <alignment horizontal="center"/>
    </xf>
    <xf numFmtId="9" fontId="28" fillId="0" borderId="0" xfId="9" applyFont="1" applyFill="1" applyAlignment="1">
      <alignment vertical="center"/>
    </xf>
    <xf numFmtId="10" fontId="24" fillId="0" borderId="0" xfId="9" applyNumberFormat="1" applyFont="1" applyFill="1" applyAlignment="1">
      <alignment horizontal="right"/>
    </xf>
    <xf numFmtId="10" fontId="28" fillId="0" borderId="0" xfId="9" applyNumberFormat="1" applyFont="1" applyFill="1" applyBorder="1" applyAlignment="1">
      <alignment horizontal="right"/>
    </xf>
    <xf numFmtId="0" fontId="28" fillId="0" borderId="0" xfId="9" applyNumberFormat="1" applyFont="1" applyFill="1" applyAlignment="1">
      <alignment vertical="center"/>
    </xf>
    <xf numFmtId="10" fontId="28" fillId="0" borderId="0" xfId="9" applyNumberFormat="1" applyFont="1" applyFill="1"/>
    <xf numFmtId="0" fontId="24" fillId="0" borderId="33" xfId="0" applyFont="1" applyBorder="1" applyAlignment="1">
      <alignment horizontal="right"/>
    </xf>
    <xf numFmtId="10" fontId="27" fillId="0" borderId="0" xfId="9" applyNumberFormat="1" applyFont="1" applyFill="1" applyBorder="1"/>
    <xf numFmtId="43" fontId="28" fillId="10" borderId="0" xfId="1" applyFont="1" applyFill="1" applyBorder="1" applyAlignment="1">
      <alignment horizontal="right"/>
    </xf>
    <xf numFmtId="10" fontId="28" fillId="0" borderId="0" xfId="9" applyNumberFormat="1" applyFont="1" applyFill="1" applyAlignment="1">
      <alignment vertical="center"/>
    </xf>
    <xf numFmtId="9" fontId="26" fillId="0" borderId="0" xfId="9" applyFont="1" applyFill="1" applyAlignment="1">
      <alignment horizontal="center"/>
    </xf>
    <xf numFmtId="10" fontId="59" fillId="0" borderId="0" xfId="9" applyNumberFormat="1" applyFont="1" applyFill="1" applyAlignment="1">
      <alignment horizontal="right"/>
    </xf>
    <xf numFmtId="3" fontId="28" fillId="3" borderId="25" xfId="0" applyNumberFormat="1" applyFont="1" applyFill="1" applyBorder="1" applyAlignment="1">
      <alignment horizontal="center"/>
    </xf>
    <xf numFmtId="10" fontId="27" fillId="0" borderId="0" xfId="9" applyNumberFormat="1" applyFont="1" applyFill="1" applyAlignment="1">
      <alignment horizontal="right"/>
    </xf>
    <xf numFmtId="1" fontId="27" fillId="0" borderId="0" xfId="0" applyNumberFormat="1" applyFont="1" applyAlignment="1">
      <alignment horizontal="center"/>
    </xf>
    <xf numFmtId="165" fontId="25" fillId="0" borderId="0" xfId="0" applyNumberFormat="1" applyFont="1" applyAlignment="1">
      <alignment horizontal="right"/>
    </xf>
    <xf numFmtId="10" fontId="27" fillId="0" borderId="0" xfId="9" applyNumberFormat="1" applyFont="1" applyFill="1"/>
    <xf numFmtId="0" fontId="24" fillId="0" borderId="0" xfId="0" applyFont="1" applyAlignment="1">
      <alignment horizontal="right"/>
    </xf>
    <xf numFmtId="0" fontId="29" fillId="0" borderId="0" xfId="0" applyFont="1" applyAlignment="1">
      <alignment horizontal="right"/>
    </xf>
    <xf numFmtId="10" fontId="58" fillId="20" borderId="0" xfId="9" applyNumberFormat="1" applyFont="1" applyFill="1" applyAlignment="1">
      <alignment horizontal="right"/>
    </xf>
    <xf numFmtId="43" fontId="24" fillId="20" borderId="0" xfId="1" applyFont="1" applyFill="1" applyBorder="1" applyAlignment="1">
      <alignment horizontal="right"/>
    </xf>
    <xf numFmtId="0" fontId="0" fillId="0" borderId="61" xfId="0" applyBorder="1" applyAlignment="1">
      <alignment horizontal="center" vertical="center"/>
    </xf>
    <xf numFmtId="0" fontId="65" fillId="2" borderId="74" xfId="7" applyFont="1" applyFill="1" applyBorder="1" applyAlignment="1">
      <alignment horizontal="left"/>
    </xf>
    <xf numFmtId="0" fontId="65" fillId="2" borderId="0" xfId="7" applyFont="1" applyFill="1" applyAlignment="1">
      <alignment horizontal="left"/>
    </xf>
    <xf numFmtId="0" fontId="7" fillId="0" borderId="39" xfId="3" applyFont="1" applyBorder="1" applyAlignment="1">
      <alignment horizontal="left"/>
    </xf>
    <xf numFmtId="0" fontId="7" fillId="0" borderId="17" xfId="3" applyFont="1" applyBorder="1" applyAlignment="1">
      <alignment horizontal="left"/>
    </xf>
    <xf numFmtId="0" fontId="7" fillId="0" borderId="18" xfId="3" applyFont="1" applyBorder="1" applyAlignment="1">
      <alignment horizontal="left"/>
    </xf>
    <xf numFmtId="0" fontId="5" fillId="2" borderId="0" xfId="7" applyFont="1" applyFill="1" applyAlignment="1">
      <alignment horizontal="right"/>
    </xf>
    <xf numFmtId="0" fontId="80" fillId="2" borderId="33" xfId="7" applyFont="1" applyFill="1" applyBorder="1" applyAlignment="1">
      <alignment horizontal="center"/>
    </xf>
    <xf numFmtId="0" fontId="5" fillId="2" borderId="0" xfId="7" applyFont="1" applyFill="1"/>
    <xf numFmtId="0" fontId="17" fillId="0" borderId="33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right" vertical="center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23" fillId="0" borderId="43" xfId="0" applyFont="1" applyBorder="1" applyAlignment="1">
      <alignment horizontal="right"/>
    </xf>
    <xf numFmtId="0" fontId="23" fillId="0" borderId="28" xfId="0" applyFont="1" applyBorder="1" applyAlignment="1">
      <alignment horizontal="right"/>
    </xf>
    <xf numFmtId="0" fontId="23" fillId="0" borderId="0" xfId="0" applyFont="1" applyAlignment="1">
      <alignment horizontal="right"/>
    </xf>
    <xf numFmtId="0" fontId="13" fillId="0" borderId="3" xfId="0" applyFont="1" applyBorder="1" applyAlignment="1">
      <alignment horizontal="right" vertical="center"/>
    </xf>
    <xf numFmtId="0" fontId="31" fillId="0" borderId="3" xfId="0" applyFont="1" applyBorder="1" applyAlignment="1">
      <alignment horizontal="right" vertical="center"/>
    </xf>
    <xf numFmtId="0" fontId="32" fillId="0" borderId="30" xfId="0" applyFont="1" applyBorder="1" applyAlignment="1">
      <alignment horizontal="right"/>
    </xf>
    <xf numFmtId="0" fontId="32" fillId="0" borderId="0" xfId="0" applyFont="1" applyAlignment="1">
      <alignment horizontal="right"/>
    </xf>
    <xf numFmtId="0" fontId="32" fillId="0" borderId="24" xfId="0" applyFont="1" applyBorder="1" applyAlignment="1">
      <alignment horizontal="right"/>
    </xf>
    <xf numFmtId="0" fontId="30" fillId="0" borderId="33" xfId="0" applyFont="1" applyBorder="1" applyAlignment="1">
      <alignment horizontal="right"/>
    </xf>
    <xf numFmtId="0" fontId="22" fillId="0" borderId="0" xfId="0" applyFont="1" applyAlignment="1">
      <alignment horizontal="right" vertical="center"/>
    </xf>
    <xf numFmtId="0" fontId="28" fillId="4" borderId="6" xfId="0" applyFont="1" applyFill="1" applyBorder="1" applyAlignment="1">
      <alignment horizontal="right"/>
    </xf>
    <xf numFmtId="0" fontId="28" fillId="4" borderId="7" xfId="0" applyFont="1" applyFill="1" applyBorder="1" applyAlignment="1">
      <alignment horizontal="right"/>
    </xf>
    <xf numFmtId="0" fontId="13" fillId="0" borderId="0" xfId="0" applyFont="1" applyAlignment="1">
      <alignment horizontal="right" vertical="center"/>
    </xf>
    <xf numFmtId="0" fontId="40" fillId="0" borderId="0" xfId="0" applyFont="1" applyAlignment="1">
      <alignment horizontal="right"/>
    </xf>
    <xf numFmtId="0" fontId="14" fillId="0" borderId="33" xfId="0" applyFont="1" applyBorder="1" applyAlignment="1">
      <alignment horizontal="right" vertical="center"/>
    </xf>
    <xf numFmtId="0" fontId="14" fillId="0" borderId="35" xfId="0" applyFont="1" applyBorder="1" applyAlignment="1">
      <alignment horizontal="right" vertical="center"/>
    </xf>
    <xf numFmtId="0" fontId="14" fillId="8" borderId="6" xfId="0" applyFont="1" applyFill="1" applyBorder="1" applyAlignment="1">
      <alignment horizontal="right" vertical="center"/>
    </xf>
    <xf numFmtId="0" fontId="14" fillId="8" borderId="7" xfId="0" applyFont="1" applyFill="1" applyBorder="1" applyAlignment="1">
      <alignment horizontal="right" vertical="center"/>
    </xf>
    <xf numFmtId="0" fontId="14" fillId="8" borderId="8" xfId="0" applyFont="1" applyFill="1" applyBorder="1" applyAlignment="1">
      <alignment horizontal="right" vertical="center"/>
    </xf>
    <xf numFmtId="4" fontId="37" fillId="0" borderId="0" xfId="2" applyNumberFormat="1" applyFont="1" applyFill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39" fillId="0" borderId="6" xfId="0" applyFont="1" applyBorder="1" applyAlignment="1">
      <alignment horizontal="right" vertical="center"/>
    </xf>
    <xf numFmtId="0" fontId="39" fillId="0" borderId="7" xfId="0" applyFont="1" applyBorder="1" applyAlignment="1">
      <alignment horizontal="right" vertical="center"/>
    </xf>
    <xf numFmtId="0" fontId="39" fillId="0" borderId="8" xfId="0" applyFont="1" applyBorder="1" applyAlignment="1">
      <alignment horizontal="right" vertical="center"/>
    </xf>
    <xf numFmtId="0" fontId="9" fillId="0" borderId="39" xfId="3" applyFont="1" applyBorder="1" applyAlignment="1">
      <alignment horizontal="left" wrapText="1"/>
    </xf>
    <xf numFmtId="0" fontId="9" fillId="0" borderId="17" xfId="3" applyFont="1" applyBorder="1" applyAlignment="1">
      <alignment horizontal="left" wrapText="1"/>
    </xf>
    <xf numFmtId="0" fontId="9" fillId="0" borderId="18" xfId="3" applyFont="1" applyBorder="1" applyAlignment="1">
      <alignment horizontal="left" wrapText="1"/>
    </xf>
    <xf numFmtId="0" fontId="7" fillId="0" borderId="34" xfId="3" applyFont="1" applyBorder="1" applyAlignment="1">
      <alignment horizontal="left"/>
    </xf>
    <xf numFmtId="0" fontId="7" fillId="0" borderId="33" xfId="3" applyFont="1" applyBorder="1" applyAlignment="1">
      <alignment horizontal="left"/>
    </xf>
    <xf numFmtId="0" fontId="7" fillId="0" borderId="35" xfId="3" applyFont="1" applyBorder="1" applyAlignment="1">
      <alignment horizontal="left"/>
    </xf>
    <xf numFmtId="0" fontId="4" fillId="3" borderId="6" xfId="3" applyFont="1" applyFill="1" applyBorder="1" applyAlignment="1">
      <alignment horizontal="left"/>
    </xf>
    <xf numFmtId="0" fontId="4" fillId="3" borderId="7" xfId="3" applyFont="1" applyFill="1" applyBorder="1" applyAlignment="1">
      <alignment horizontal="left"/>
    </xf>
    <xf numFmtId="0" fontId="4" fillId="3" borderId="8" xfId="3" applyFont="1" applyFill="1" applyBorder="1" applyAlignment="1">
      <alignment horizontal="left"/>
    </xf>
    <xf numFmtId="0" fontId="9" fillId="0" borderId="49" xfId="3" applyFont="1" applyBorder="1" applyAlignment="1">
      <alignment horizontal="left" vertical="center" wrapText="1"/>
    </xf>
    <xf numFmtId="0" fontId="9" fillId="0" borderId="50" xfId="3" applyFont="1" applyBorder="1" applyAlignment="1">
      <alignment horizontal="left" vertical="center" wrapText="1"/>
    </xf>
    <xf numFmtId="0" fontId="9" fillId="0" borderId="51" xfId="3" applyFont="1" applyBorder="1" applyAlignment="1">
      <alignment horizontal="left" vertical="center" wrapText="1"/>
    </xf>
    <xf numFmtId="0" fontId="4" fillId="0" borderId="41" xfId="3" applyFont="1" applyBorder="1" applyAlignment="1">
      <alignment horizontal="right"/>
    </xf>
    <xf numFmtId="0" fontId="4" fillId="0" borderId="38" xfId="3" applyFont="1" applyBorder="1" applyAlignment="1">
      <alignment horizontal="right"/>
    </xf>
    <xf numFmtId="166" fontId="1" fillId="0" borderId="36" xfId="3" applyNumberFormat="1" applyBorder="1" applyAlignment="1">
      <alignment horizontal="right" wrapText="1"/>
    </xf>
    <xf numFmtId="166" fontId="1" fillId="0" borderId="38" xfId="3" applyNumberFormat="1" applyBorder="1" applyAlignment="1">
      <alignment horizontal="right" wrapText="1"/>
    </xf>
    <xf numFmtId="166" fontId="1" fillId="0" borderId="36" xfId="3" applyNumberFormat="1" applyBorder="1" applyAlignment="1">
      <alignment horizontal="center"/>
    </xf>
    <xf numFmtId="166" fontId="1" fillId="0" borderId="42" xfId="3" applyNumberFormat="1" applyBorder="1" applyAlignment="1">
      <alignment horizontal="center"/>
    </xf>
    <xf numFmtId="0" fontId="4" fillId="0" borderId="29" xfId="3" applyFont="1" applyBorder="1" applyAlignment="1">
      <alignment horizontal="right"/>
    </xf>
    <xf numFmtId="0" fontId="4" fillId="0" borderId="5" xfId="3" applyFont="1" applyBorder="1" applyAlignment="1">
      <alignment horizontal="right"/>
    </xf>
    <xf numFmtId="0" fontId="1" fillId="0" borderId="5" xfId="3" applyBorder="1" applyAlignment="1">
      <alignment horizontal="right"/>
    </xf>
    <xf numFmtId="166" fontId="1" fillId="0" borderId="47" xfId="3" applyNumberFormat="1" applyBorder="1" applyAlignment="1">
      <alignment horizontal="center"/>
    </xf>
    <xf numFmtId="166" fontId="1" fillId="0" borderId="48" xfId="3" applyNumberFormat="1" applyBorder="1" applyAlignment="1">
      <alignment horizontal="center"/>
    </xf>
    <xf numFmtId="0" fontId="1" fillId="0" borderId="3" xfId="3" applyBorder="1" applyAlignment="1">
      <alignment horizontal="right"/>
    </xf>
    <xf numFmtId="0" fontId="4" fillId="0" borderId="39" xfId="3" applyFont="1" applyBorder="1" applyAlignment="1">
      <alignment horizontal="right"/>
    </xf>
    <xf numFmtId="0" fontId="4" fillId="0" borderId="40" xfId="3" applyFont="1" applyBorder="1" applyAlignment="1">
      <alignment horizontal="right"/>
    </xf>
    <xf numFmtId="166" fontId="1" fillId="0" borderId="9" xfId="3" applyNumberFormat="1" applyBorder="1" applyAlignment="1">
      <alignment horizontal="right"/>
    </xf>
    <xf numFmtId="0" fontId="1" fillId="2" borderId="10" xfId="3" applyFill="1" applyBorder="1" applyAlignment="1">
      <alignment horizontal="center"/>
    </xf>
    <xf numFmtId="0" fontId="1" fillId="2" borderId="18" xfId="3" applyFill="1" applyBorder="1" applyAlignment="1">
      <alignment horizontal="center"/>
    </xf>
    <xf numFmtId="0" fontId="4" fillId="3" borderId="16" xfId="3" applyFont="1" applyFill="1" applyBorder="1" applyAlignment="1">
      <alignment horizontal="center" vertical="center"/>
    </xf>
    <xf numFmtId="0" fontId="4" fillId="3" borderId="29" xfId="3" applyFont="1" applyFill="1" applyBorder="1" applyAlignment="1">
      <alignment horizontal="center" vertical="center"/>
    </xf>
    <xf numFmtId="0" fontId="4" fillId="3" borderId="1" xfId="3" applyFont="1" applyFill="1" applyBorder="1" applyAlignment="1">
      <alignment horizontal="center" vertical="center"/>
    </xf>
    <xf numFmtId="0" fontId="4" fillId="3" borderId="5" xfId="3" applyFont="1" applyFill="1" applyBorder="1" applyAlignment="1">
      <alignment horizontal="center" vertical="center"/>
    </xf>
    <xf numFmtId="14" fontId="1" fillId="2" borderId="4" xfId="7" applyNumberFormat="1" applyFont="1" applyFill="1" applyBorder="1" applyAlignment="1">
      <alignment horizontal="center" vertical="center" wrapText="1"/>
    </xf>
    <xf numFmtId="14" fontId="1" fillId="2" borderId="12" xfId="7" applyNumberFormat="1" applyFont="1" applyFill="1" applyBorder="1" applyAlignment="1">
      <alignment horizontal="center" vertical="center" wrapText="1"/>
    </xf>
    <xf numFmtId="0" fontId="1" fillId="2" borderId="3" xfId="7" applyFont="1" applyFill="1" applyBorder="1" applyAlignment="1">
      <alignment horizontal="left"/>
    </xf>
    <xf numFmtId="0" fontId="1" fillId="2" borderId="5" xfId="7" applyFont="1" applyFill="1" applyBorder="1" applyAlignment="1">
      <alignment horizontal="left"/>
    </xf>
    <xf numFmtId="0" fontId="1" fillId="2" borderId="16" xfId="7" applyFont="1" applyFill="1" applyBorder="1" applyAlignment="1">
      <alignment horizontal="center"/>
    </xf>
    <xf numFmtId="0" fontId="1" fillId="2" borderId="13" xfId="7" applyFont="1" applyFill="1" applyBorder="1" applyAlignment="1">
      <alignment horizontal="center"/>
    </xf>
    <xf numFmtId="0" fontId="1" fillId="2" borderId="29" xfId="7" applyFont="1" applyFill="1" applyBorder="1" applyAlignment="1">
      <alignment horizontal="center"/>
    </xf>
    <xf numFmtId="0" fontId="5" fillId="2" borderId="1" xfId="7" applyFont="1" applyFill="1" applyBorder="1" applyAlignment="1">
      <alignment horizontal="center"/>
    </xf>
    <xf numFmtId="0" fontId="5" fillId="2" borderId="3" xfId="7" applyFont="1" applyFill="1" applyBorder="1" applyAlignment="1">
      <alignment horizontal="center"/>
    </xf>
    <xf numFmtId="0" fontId="10" fillId="5" borderId="3" xfId="7" applyFont="1" applyFill="1" applyBorder="1" applyAlignment="1">
      <alignment horizontal="center" vertical="center" wrapText="1"/>
    </xf>
    <xf numFmtId="0" fontId="4" fillId="2" borderId="3" xfId="7" applyFont="1" applyFill="1" applyBorder="1" applyAlignment="1">
      <alignment horizontal="right" vertical="top" wrapText="1"/>
    </xf>
    <xf numFmtId="0" fontId="4" fillId="2" borderId="5" xfId="7" applyFont="1" applyFill="1" applyBorder="1" applyAlignment="1">
      <alignment horizontal="right" vertical="top" wrapText="1"/>
    </xf>
    <xf numFmtId="0" fontId="25" fillId="0" borderId="33" xfId="0" applyFont="1" applyBorder="1" applyAlignment="1">
      <alignment horizontal="right"/>
    </xf>
    <xf numFmtId="0" fontId="4" fillId="3" borderId="16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0" borderId="39" xfId="0" applyFont="1" applyBorder="1" applyAlignment="1">
      <alignment horizontal="right"/>
    </xf>
    <xf numFmtId="0" fontId="4" fillId="0" borderId="40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0" fontId="1" fillId="2" borderId="10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4" fillId="0" borderId="41" xfId="0" applyFont="1" applyBorder="1" applyAlignment="1">
      <alignment horizontal="right"/>
    </xf>
    <xf numFmtId="0" fontId="4" fillId="0" borderId="38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166" fontId="1" fillId="0" borderId="36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0" fontId="4" fillId="3" borderId="6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3" borderId="8" xfId="0" applyFont="1" applyFill="1" applyBorder="1" applyAlignment="1">
      <alignment horizontal="left"/>
    </xf>
    <xf numFmtId="166" fontId="1" fillId="0" borderId="36" xfId="0" applyNumberFormat="1" applyFont="1" applyBorder="1" applyAlignment="1">
      <alignment horizontal="right" wrapText="1"/>
    </xf>
    <xf numFmtId="166" fontId="1" fillId="0" borderId="38" xfId="0" applyNumberFormat="1" applyFont="1" applyBorder="1" applyAlignment="1">
      <alignment horizontal="right" wrapText="1"/>
    </xf>
    <xf numFmtId="1" fontId="1" fillId="0" borderId="3" xfId="3" applyNumberFormat="1" applyBorder="1" applyAlignment="1">
      <alignment horizontal="center"/>
    </xf>
    <xf numFmtId="1" fontId="1" fillId="0" borderId="4" xfId="3" applyNumberFormat="1" applyBorder="1" applyAlignment="1">
      <alignment horizontal="center"/>
    </xf>
    <xf numFmtId="0" fontId="4" fillId="0" borderId="29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166" fontId="1" fillId="0" borderId="47" xfId="0" applyNumberFormat="1" applyFon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0" fontId="65" fillId="0" borderId="41" xfId="3" applyFont="1" applyBorder="1" applyAlignment="1">
      <alignment horizontal="left" vertical="center" wrapText="1"/>
    </xf>
    <xf numFmtId="0" fontId="65" fillId="0" borderId="37" xfId="3" applyFont="1" applyBorder="1" applyAlignment="1">
      <alignment horizontal="left" vertical="center" wrapText="1"/>
    </xf>
    <xf numFmtId="0" fontId="65" fillId="0" borderId="42" xfId="3" applyFont="1" applyBorder="1" applyAlignment="1">
      <alignment horizontal="left" vertical="center" wrapText="1"/>
    </xf>
    <xf numFmtId="0" fontId="73" fillId="0" borderId="19" xfId="5" applyFont="1" applyBorder="1" applyAlignment="1">
      <alignment horizontal="center" vertical="center"/>
    </xf>
    <xf numFmtId="0" fontId="73" fillId="0" borderId="20" xfId="5" applyFont="1" applyBorder="1" applyAlignment="1">
      <alignment horizontal="center" vertical="center"/>
    </xf>
    <xf numFmtId="0" fontId="73" fillId="0" borderId="21" xfId="5" applyFont="1" applyBorder="1" applyAlignment="1">
      <alignment horizontal="center" vertical="center"/>
    </xf>
    <xf numFmtId="0" fontId="65" fillId="0" borderId="6" xfId="5" applyFont="1" applyBorder="1" applyAlignment="1">
      <alignment horizontal="center" vertical="center" wrapText="1"/>
    </xf>
    <xf numFmtId="0" fontId="65" fillId="0" borderId="7" xfId="5" applyFont="1" applyBorder="1" applyAlignment="1">
      <alignment horizontal="center" vertical="center" wrapText="1"/>
    </xf>
    <xf numFmtId="0" fontId="65" fillId="0" borderId="8" xfId="5" applyFont="1" applyBorder="1" applyAlignment="1">
      <alignment horizontal="center" vertical="center" wrapText="1"/>
    </xf>
    <xf numFmtId="0" fontId="73" fillId="0" borderId="6" xfId="5" applyFont="1" applyBorder="1" applyAlignment="1">
      <alignment horizontal="center" vertical="center" wrapText="1"/>
    </xf>
    <xf numFmtId="0" fontId="73" fillId="0" borderId="7" xfId="5" applyFont="1" applyBorder="1" applyAlignment="1">
      <alignment horizontal="center" vertical="center" wrapText="1"/>
    </xf>
    <xf numFmtId="0" fontId="73" fillId="0" borderId="8" xfId="5" applyFont="1" applyBorder="1" applyAlignment="1">
      <alignment horizontal="center" vertical="center" wrapText="1"/>
    </xf>
    <xf numFmtId="0" fontId="71" fillId="0" borderId="41" xfId="5" applyFont="1" applyBorder="1" applyAlignment="1">
      <alignment horizontal="left" vertical="center" wrapText="1"/>
    </xf>
    <xf numFmtId="0" fontId="65" fillId="0" borderId="37" xfId="5" applyFont="1" applyBorder="1" applyAlignment="1">
      <alignment horizontal="left" vertical="center" wrapText="1"/>
    </xf>
    <xf numFmtId="0" fontId="65" fillId="0" borderId="42" xfId="5" applyFont="1" applyBorder="1" applyAlignment="1">
      <alignment horizontal="left" vertical="center" wrapText="1"/>
    </xf>
    <xf numFmtId="0" fontId="83" fillId="0" borderId="5" xfId="3" applyFont="1" applyBorder="1" applyAlignment="1">
      <alignment horizontal="center" vertical="center" wrapText="1"/>
    </xf>
    <xf numFmtId="0" fontId="83" fillId="0" borderId="12" xfId="3" applyFont="1" applyBorder="1" applyAlignment="1">
      <alignment horizontal="center" vertical="center" wrapText="1"/>
    </xf>
    <xf numFmtId="0" fontId="83" fillId="0" borderId="32" xfId="3" applyFont="1" applyBorder="1" applyAlignment="1">
      <alignment horizontal="center" vertical="center" wrapText="1"/>
    </xf>
    <xf numFmtId="0" fontId="83" fillId="0" borderId="52" xfId="3" applyFont="1" applyBorder="1" applyAlignment="1">
      <alignment horizontal="center" vertical="center" wrapText="1"/>
    </xf>
    <xf numFmtId="0" fontId="83" fillId="0" borderId="3" xfId="3" applyFont="1" applyBorder="1" applyAlignment="1">
      <alignment horizontal="center" vertical="center" wrapText="1"/>
    </xf>
    <xf numFmtId="0" fontId="83" fillId="0" borderId="4" xfId="3" applyFont="1" applyBorder="1" applyAlignment="1">
      <alignment horizontal="center" vertical="center" wrapText="1"/>
    </xf>
    <xf numFmtId="0" fontId="74" fillId="0" borderId="30" xfId="5" applyFont="1" applyBorder="1" applyAlignment="1">
      <alignment horizontal="center"/>
    </xf>
    <xf numFmtId="0" fontId="74" fillId="0" borderId="0" xfId="5" applyFont="1" applyAlignment="1">
      <alignment horizontal="center"/>
    </xf>
    <xf numFmtId="0" fontId="74" fillId="0" borderId="0" xfId="6" applyFont="1" applyAlignment="1">
      <alignment horizontal="center"/>
    </xf>
    <xf numFmtId="0" fontId="74" fillId="0" borderId="24" xfId="6" applyFont="1" applyBorder="1" applyAlignment="1">
      <alignment horizontal="center"/>
    </xf>
    <xf numFmtId="0" fontId="67" fillId="0" borderId="33" xfId="5" applyFont="1" applyBorder="1" applyAlignment="1">
      <alignment horizontal="center" vertical="center"/>
    </xf>
    <xf numFmtId="0" fontId="67" fillId="0" borderId="35" xfId="5" applyFont="1" applyBorder="1" applyAlignment="1">
      <alignment horizontal="center" vertical="center"/>
    </xf>
    <xf numFmtId="1" fontId="71" fillId="0" borderId="56" xfId="5" applyNumberFormat="1" applyFont="1" applyBorder="1" applyAlignment="1">
      <alignment horizontal="center" vertical="center" wrapText="1"/>
    </xf>
    <xf numFmtId="1" fontId="71" fillId="0" borderId="21" xfId="5" applyNumberFormat="1" applyFont="1" applyBorder="1" applyAlignment="1">
      <alignment horizontal="center" vertical="center" wrapText="1"/>
    </xf>
    <xf numFmtId="0" fontId="65" fillId="0" borderId="31" xfId="5" applyFont="1" applyBorder="1" applyAlignment="1">
      <alignment horizontal="center" vertical="center" wrapText="1"/>
    </xf>
    <xf numFmtId="0" fontId="65" fillId="0" borderId="53" xfId="5" applyFont="1" applyBorder="1" applyAlignment="1">
      <alignment horizontal="center" vertical="center" wrapText="1"/>
    </xf>
    <xf numFmtId="0" fontId="65" fillId="0" borderId="30" xfId="5" applyFont="1" applyBorder="1" applyAlignment="1">
      <alignment horizontal="center" vertical="center" wrapText="1"/>
    </xf>
    <xf numFmtId="0" fontId="65" fillId="0" borderId="54" xfId="5" applyFont="1" applyBorder="1" applyAlignment="1">
      <alignment horizontal="center" vertical="center" wrapText="1"/>
    </xf>
    <xf numFmtId="0" fontId="66" fillId="0" borderId="1" xfId="5" applyFont="1" applyBorder="1" applyAlignment="1">
      <alignment horizontal="center" vertical="center"/>
    </xf>
    <xf numFmtId="0" fontId="66" fillId="0" borderId="3" xfId="5" applyFont="1" applyBorder="1" applyAlignment="1">
      <alignment horizontal="center" vertical="center"/>
    </xf>
    <xf numFmtId="0" fontId="68" fillId="0" borderId="3" xfId="5" applyFont="1" applyBorder="1" applyAlignment="1">
      <alignment horizontal="center" vertical="center" wrapText="1"/>
    </xf>
    <xf numFmtId="0" fontId="65" fillId="0" borderId="47" xfId="5" applyFont="1" applyBorder="1" applyAlignment="1">
      <alignment horizontal="center" vertical="center"/>
    </xf>
    <xf numFmtId="0" fontId="65" fillId="0" borderId="46" xfId="5" applyFont="1" applyBorder="1" applyAlignment="1">
      <alignment horizontal="center" vertical="center"/>
    </xf>
    <xf numFmtId="0" fontId="67" fillId="0" borderId="47" xfId="5" applyFont="1" applyBorder="1" applyAlignment="1">
      <alignment horizontal="center" vertical="center"/>
    </xf>
    <xf numFmtId="0" fontId="67" fillId="0" borderId="55" xfId="5" applyFont="1" applyBorder="1" applyAlignment="1">
      <alignment horizontal="center" vertical="center"/>
    </xf>
    <xf numFmtId="0" fontId="60" fillId="0" borderId="0" xfId="0" applyFont="1" applyAlignment="1">
      <alignment horizontal="right"/>
    </xf>
    <xf numFmtId="0" fontId="12" fillId="4" borderId="6" xfId="0" applyFont="1" applyFill="1" applyBorder="1" applyAlignment="1">
      <alignment horizontal="right"/>
    </xf>
    <xf numFmtId="0" fontId="12" fillId="4" borderId="7" xfId="0" applyFont="1" applyFill="1" applyBorder="1" applyAlignment="1">
      <alignment horizontal="right"/>
    </xf>
    <xf numFmtId="0" fontId="39" fillId="0" borderId="0" xfId="0" applyFont="1" applyAlignment="1">
      <alignment horizontal="right"/>
    </xf>
    <xf numFmtId="0" fontId="35" fillId="0" borderId="0" xfId="0" applyFont="1" applyAlignment="1">
      <alignment horizontal="right"/>
    </xf>
    <xf numFmtId="0" fontId="31" fillId="0" borderId="0" xfId="0" applyFont="1" applyAlignment="1">
      <alignment horizontal="right"/>
    </xf>
    <xf numFmtId="0" fontId="31" fillId="0" borderId="24" xfId="0" applyFont="1" applyBorder="1" applyAlignment="1">
      <alignment horizontal="right"/>
    </xf>
    <xf numFmtId="10" fontId="84" fillId="21" borderId="22" xfId="9" applyNumberFormat="1" applyFont="1" applyFill="1" applyBorder="1" applyAlignment="1">
      <alignment horizontal="center" vertical="center" wrapText="1"/>
    </xf>
    <xf numFmtId="10" fontId="84" fillId="21" borderId="26" xfId="9" applyNumberFormat="1" applyFont="1" applyFill="1" applyBorder="1" applyAlignment="1">
      <alignment horizontal="center" vertical="center"/>
    </xf>
    <xf numFmtId="43" fontId="62" fillId="0" borderId="22" xfId="1" applyFont="1" applyFill="1" applyBorder="1" applyAlignment="1">
      <alignment horizontal="center" vertical="center"/>
    </xf>
    <xf numFmtId="43" fontId="62" fillId="0" borderId="26" xfId="1" applyFont="1" applyFill="1" applyBorder="1" applyAlignment="1">
      <alignment horizontal="center" vertical="center"/>
    </xf>
    <xf numFmtId="0" fontId="42" fillId="0" borderId="6" xfId="0" applyFont="1" applyBorder="1" applyAlignment="1">
      <alignment horizontal="center"/>
    </xf>
    <xf numFmtId="0" fontId="42" fillId="0" borderId="7" xfId="0" applyFont="1" applyBorder="1" applyAlignment="1">
      <alignment horizontal="center"/>
    </xf>
    <xf numFmtId="0" fontId="42" fillId="0" borderId="8" xfId="0" applyFont="1" applyBorder="1" applyAlignment="1">
      <alignment horizontal="center"/>
    </xf>
    <xf numFmtId="0" fontId="42" fillId="0" borderId="57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0" fontId="19" fillId="0" borderId="0" xfId="0" applyFont="1" applyAlignment="1">
      <alignment horizontal="right" vertical="center" wrapText="1"/>
    </xf>
    <xf numFmtId="0" fontId="45" fillId="0" borderId="0" xfId="0" applyFont="1" applyAlignment="1">
      <alignment horizontal="right"/>
    </xf>
    <xf numFmtId="0" fontId="44" fillId="0" borderId="58" xfId="0" applyFont="1" applyBorder="1" applyAlignment="1">
      <alignment horizontal="center" vertical="center" wrapText="1"/>
    </xf>
    <xf numFmtId="0" fontId="19" fillId="0" borderId="37" xfId="0" applyFont="1" applyBorder="1" applyAlignment="1">
      <alignment horizontal="right" vertical="center" wrapText="1"/>
    </xf>
    <xf numFmtId="0" fontId="27" fillId="0" borderId="0" xfId="0" applyFont="1" applyAlignment="1">
      <alignment horizontal="right"/>
    </xf>
    <xf numFmtId="0" fontId="27" fillId="0" borderId="24" xfId="0" applyFont="1" applyBorder="1" applyAlignment="1">
      <alignment horizontal="right"/>
    </xf>
    <xf numFmtId="0" fontId="24" fillId="4" borderId="6" xfId="0" applyFont="1" applyFill="1" applyBorder="1" applyAlignment="1">
      <alignment horizontal="center"/>
    </xf>
    <xf numFmtId="0" fontId="24" fillId="4" borderId="7" xfId="0" applyFont="1" applyFill="1" applyBorder="1" applyAlignment="1">
      <alignment horizontal="center"/>
    </xf>
    <xf numFmtId="0" fontId="56" fillId="0" borderId="28" xfId="0" applyFont="1" applyBorder="1" applyAlignment="1">
      <alignment horizontal="right"/>
    </xf>
    <xf numFmtId="0" fontId="56" fillId="0" borderId="0" xfId="0" applyFont="1" applyAlignment="1">
      <alignment horizontal="right"/>
    </xf>
    <xf numFmtId="0" fontId="44" fillId="4" borderId="6" xfId="0" applyFont="1" applyFill="1" applyBorder="1" applyAlignment="1">
      <alignment horizontal="right"/>
    </xf>
    <xf numFmtId="0" fontId="44" fillId="4" borderId="7" xfId="0" applyFont="1" applyFill="1" applyBorder="1" applyAlignment="1">
      <alignment horizontal="right"/>
    </xf>
    <xf numFmtId="0" fontId="85" fillId="0" borderId="0" xfId="0" applyFont="1" applyAlignment="1">
      <alignment horizontal="right"/>
    </xf>
    <xf numFmtId="0" fontId="56" fillId="20" borderId="0" xfId="0" applyFont="1" applyFill="1" applyAlignment="1">
      <alignment horizontal="right"/>
    </xf>
    <xf numFmtId="0" fontId="56" fillId="0" borderId="33" xfId="0" applyFont="1" applyBorder="1" applyAlignment="1">
      <alignment horizontal="right"/>
    </xf>
    <xf numFmtId="0" fontId="55" fillId="0" borderId="0" xfId="0" applyFont="1" applyAlignment="1">
      <alignment horizontal="right"/>
    </xf>
    <xf numFmtId="0" fontId="55" fillId="0" borderId="24" xfId="0" applyFont="1" applyBorder="1" applyAlignment="1">
      <alignment horizontal="right"/>
    </xf>
    <xf numFmtId="0" fontId="42" fillId="0" borderId="28" xfId="0" applyFont="1" applyBorder="1" applyAlignment="1">
      <alignment horizontal="center" vertical="center" wrapText="1"/>
    </xf>
    <xf numFmtId="0" fontId="44" fillId="0" borderId="27" xfId="0" applyFont="1" applyBorder="1" applyAlignment="1">
      <alignment horizontal="center" vertical="center" wrapText="1"/>
    </xf>
    <xf numFmtId="0" fontId="45" fillId="0" borderId="58" xfId="0" applyFont="1" applyBorder="1" applyAlignment="1">
      <alignment horizontal="right" vertical="center" wrapText="1"/>
    </xf>
    <xf numFmtId="1" fontId="1" fillId="0" borderId="36" xfId="3" applyNumberFormat="1" applyBorder="1" applyAlignment="1">
      <alignment horizontal="center"/>
    </xf>
    <xf numFmtId="1" fontId="1" fillId="0" borderId="37" xfId="3" applyNumberFormat="1" applyBorder="1" applyAlignment="1">
      <alignment horizontal="center"/>
    </xf>
    <xf numFmtId="1" fontId="1" fillId="0" borderId="42" xfId="3" applyNumberFormat="1" applyBorder="1" applyAlignment="1">
      <alignment horizontal="center"/>
    </xf>
    <xf numFmtId="0" fontId="86" fillId="2" borderId="43" xfId="7" applyFont="1" applyFill="1" applyBorder="1" applyAlignment="1">
      <alignment horizontal="center"/>
    </xf>
    <xf numFmtId="0" fontId="86" fillId="2" borderId="28" xfId="7" applyFont="1" applyFill="1" applyBorder="1" applyAlignment="1">
      <alignment horizontal="center"/>
    </xf>
    <xf numFmtId="0" fontId="66" fillId="2" borderId="1" xfId="7" applyFont="1" applyFill="1" applyBorder="1" applyAlignment="1">
      <alignment horizontal="center"/>
    </xf>
    <xf numFmtId="0" fontId="66" fillId="2" borderId="1" xfId="7" applyFont="1" applyFill="1" applyBorder="1" applyAlignment="1">
      <alignment horizontal="right"/>
    </xf>
    <xf numFmtId="0" fontId="86" fillId="2" borderId="2" xfId="7" applyFont="1" applyFill="1" applyBorder="1" applyAlignment="1">
      <alignment horizontal="center"/>
    </xf>
    <xf numFmtId="0" fontId="86" fillId="2" borderId="30" xfId="7" applyFont="1" applyFill="1" applyBorder="1" applyAlignment="1">
      <alignment horizontal="center"/>
    </xf>
    <xf numFmtId="0" fontId="86" fillId="2" borderId="0" xfId="7" applyFont="1" applyFill="1" applyAlignment="1">
      <alignment horizontal="center"/>
    </xf>
    <xf numFmtId="0" fontId="66" fillId="2" borderId="47" xfId="7" applyFont="1" applyFill="1" applyBorder="1" applyAlignment="1">
      <alignment horizontal="center"/>
    </xf>
    <xf numFmtId="0" fontId="66" fillId="2" borderId="55" xfId="7" applyFont="1" applyFill="1" applyBorder="1" applyAlignment="1">
      <alignment horizontal="center"/>
    </xf>
    <xf numFmtId="0" fontId="66" fillId="2" borderId="46" xfId="7" applyFont="1" applyFill="1" applyBorder="1" applyAlignment="1">
      <alignment horizontal="center"/>
    </xf>
    <xf numFmtId="0" fontId="66" fillId="2" borderId="3" xfId="7" applyFont="1" applyFill="1" applyBorder="1" applyAlignment="1">
      <alignment horizontal="right"/>
    </xf>
    <xf numFmtId="49" fontId="86" fillId="2" borderId="4" xfId="7" applyNumberFormat="1" applyFont="1" applyFill="1" applyBorder="1" applyAlignment="1">
      <alignment horizontal="center"/>
    </xf>
    <xf numFmtId="0" fontId="87" fillId="5" borderId="36" xfId="7" applyFont="1" applyFill="1" applyBorder="1" applyAlignment="1">
      <alignment horizontal="center" vertical="center" wrapText="1"/>
    </xf>
    <xf numFmtId="0" fontId="87" fillId="5" borderId="37" xfId="7" applyFont="1" applyFill="1" applyBorder="1" applyAlignment="1">
      <alignment horizontal="center" vertical="center" wrapText="1"/>
    </xf>
    <xf numFmtId="0" fontId="87" fillId="5" borderId="38" xfId="7" applyFont="1" applyFill="1" applyBorder="1" applyAlignment="1">
      <alignment horizontal="center" vertical="center" wrapText="1"/>
    </xf>
    <xf numFmtId="0" fontId="66" fillId="2" borderId="62" xfId="7" applyFont="1" applyFill="1" applyBorder="1" applyAlignment="1">
      <alignment horizontal="right" vertical="top" wrapText="1"/>
    </xf>
    <xf numFmtId="14" fontId="86" fillId="2" borderId="63" xfId="7" applyNumberFormat="1" applyFont="1" applyFill="1" applyBorder="1" applyAlignment="1">
      <alignment horizontal="center" vertical="center" wrapText="1"/>
    </xf>
    <xf numFmtId="0" fontId="86" fillId="2" borderId="9" xfId="7" applyFont="1" applyFill="1" applyBorder="1" applyAlignment="1">
      <alignment horizontal="right"/>
    </xf>
    <xf numFmtId="0" fontId="86" fillId="2" borderId="64" xfId="7" applyFont="1" applyFill="1" applyBorder="1" applyAlignment="1">
      <alignment horizontal="left"/>
    </xf>
    <xf numFmtId="0" fontId="86" fillId="2" borderId="50" xfId="7" applyFont="1" applyFill="1" applyBorder="1" applyAlignment="1">
      <alignment horizontal="left"/>
    </xf>
    <xf numFmtId="0" fontId="86" fillId="2" borderId="65" xfId="7" applyFont="1" applyFill="1" applyBorder="1" applyAlignment="1">
      <alignment horizontal="left"/>
    </xf>
    <xf numFmtId="0" fontId="66" fillId="2" borderId="44" xfId="7" applyFont="1" applyFill="1" applyBorder="1" applyAlignment="1">
      <alignment horizontal="right" vertical="top" wrapText="1"/>
    </xf>
    <xf numFmtId="14" fontId="86" fillId="2" borderId="66" xfId="7" applyNumberFormat="1" applyFont="1" applyFill="1" applyBorder="1" applyAlignment="1">
      <alignment horizontal="center" vertical="center" wrapText="1"/>
    </xf>
    <xf numFmtId="0" fontId="86" fillId="2" borderId="39" xfId="7" applyFont="1" applyFill="1" applyBorder="1" applyAlignment="1">
      <alignment horizontal="center"/>
    </xf>
    <xf numFmtId="0" fontId="86" fillId="2" borderId="17" xfId="7" applyFont="1" applyFill="1" applyBorder="1" applyAlignment="1">
      <alignment horizontal="center"/>
    </xf>
    <xf numFmtId="0" fontId="86" fillId="2" borderId="3" xfId="7" applyFont="1" applyFill="1" applyBorder="1" applyAlignment="1">
      <alignment horizontal="right"/>
    </xf>
    <xf numFmtId="0" fontId="86" fillId="2" borderId="36" xfId="7" applyFont="1" applyFill="1" applyBorder="1" applyAlignment="1">
      <alignment horizontal="left"/>
    </xf>
    <xf numFmtId="0" fontId="86" fillId="2" borderId="37" xfId="7" applyFont="1" applyFill="1" applyBorder="1" applyAlignment="1">
      <alignment horizontal="left"/>
    </xf>
    <xf numFmtId="0" fontId="86" fillId="2" borderId="38" xfId="7" applyFont="1" applyFill="1" applyBorder="1" applyAlignment="1">
      <alignment horizontal="left"/>
    </xf>
    <xf numFmtId="0" fontId="66" fillId="2" borderId="45" xfId="7" applyFont="1" applyFill="1" applyBorder="1" applyAlignment="1">
      <alignment horizontal="right" vertical="top" wrapText="1"/>
    </xf>
    <xf numFmtId="14" fontId="86" fillId="2" borderId="11" xfId="7" applyNumberFormat="1" applyFont="1" applyFill="1" applyBorder="1" applyAlignment="1">
      <alignment horizontal="center" vertical="center" wrapText="1"/>
    </xf>
    <xf numFmtId="0" fontId="88" fillId="2" borderId="33" xfId="7" applyFont="1" applyFill="1" applyBorder="1" applyAlignment="1">
      <alignment horizontal="center"/>
    </xf>
    <xf numFmtId="14" fontId="88" fillId="2" borderId="0" xfId="7" applyNumberFormat="1" applyFont="1" applyFill="1" applyAlignment="1">
      <alignment horizontal="center" vertical="center" wrapText="1"/>
    </xf>
    <xf numFmtId="0" fontId="66" fillId="3" borderId="16" xfId="3" applyFont="1" applyFill="1" applyBorder="1" applyAlignment="1">
      <alignment horizontal="center" vertical="center"/>
    </xf>
    <xf numFmtId="0" fontId="66" fillId="3" borderId="16" xfId="3" applyFont="1" applyFill="1" applyBorder="1" applyAlignment="1">
      <alignment horizontal="center" vertical="center" wrapText="1"/>
    </xf>
    <xf numFmtId="0" fontId="66" fillId="3" borderId="1" xfId="3" applyFont="1" applyFill="1" applyBorder="1" applyAlignment="1">
      <alignment horizontal="center" vertical="center"/>
    </xf>
    <xf numFmtId="0" fontId="66" fillId="3" borderId="2" xfId="3" applyFont="1" applyFill="1" applyBorder="1" applyAlignment="1">
      <alignment horizontal="center" vertical="center" wrapText="1"/>
    </xf>
    <xf numFmtId="0" fontId="66" fillId="3" borderId="29" xfId="3" applyFont="1" applyFill="1" applyBorder="1" applyAlignment="1">
      <alignment horizontal="center" vertical="center"/>
    </xf>
    <xf numFmtId="0" fontId="66" fillId="3" borderId="29" xfId="3" applyFont="1" applyFill="1" applyBorder="1" applyAlignment="1">
      <alignment horizontal="center" vertical="center" wrapText="1"/>
    </xf>
    <xf numFmtId="0" fontId="66" fillId="3" borderId="5" xfId="3" applyFont="1" applyFill="1" applyBorder="1" applyAlignment="1">
      <alignment horizontal="center" vertical="center"/>
    </xf>
    <xf numFmtId="1" fontId="66" fillId="3" borderId="5" xfId="3" applyNumberFormat="1" applyFont="1" applyFill="1" applyBorder="1" applyAlignment="1">
      <alignment horizontal="center"/>
    </xf>
    <xf numFmtId="1" fontId="66" fillId="3" borderId="5" xfId="3" applyNumberFormat="1" applyFont="1" applyFill="1" applyBorder="1" applyAlignment="1">
      <alignment horizontal="center" wrapText="1"/>
    </xf>
    <xf numFmtId="0" fontId="66" fillId="3" borderId="12" xfId="3" applyFont="1" applyFill="1" applyBorder="1" applyAlignment="1">
      <alignment horizontal="center"/>
    </xf>
    <xf numFmtId="0" fontId="89" fillId="0" borderId="13" xfId="3" applyFont="1" applyBorder="1" applyAlignment="1">
      <alignment horizontal="center" vertical="center"/>
    </xf>
    <xf numFmtId="0" fontId="89" fillId="0" borderId="38" xfId="3" applyFont="1" applyBorder="1" applyAlignment="1">
      <alignment horizontal="center" vertical="center"/>
    </xf>
    <xf numFmtId="0" fontId="90" fillId="0" borderId="3" xfId="3" applyFont="1" applyBorder="1" applyAlignment="1">
      <alignment vertical="center"/>
    </xf>
    <xf numFmtId="0" fontId="89" fillId="0" borderId="3" xfId="3" applyFont="1" applyBorder="1" applyAlignment="1">
      <alignment horizontal="center" vertical="center"/>
    </xf>
    <xf numFmtId="1" fontId="89" fillId="0" borderId="3" xfId="3" applyNumberFormat="1" applyFont="1" applyBorder="1" applyAlignment="1">
      <alignment horizontal="center"/>
    </xf>
    <xf numFmtId="1" fontId="89" fillId="0" borderId="3" xfId="3" applyNumberFormat="1" applyFont="1" applyBorder="1" applyAlignment="1">
      <alignment horizontal="center" wrapText="1"/>
    </xf>
    <xf numFmtId="0" fontId="91" fillId="0" borderId="4" xfId="3" applyFont="1" applyBorder="1" applyAlignment="1">
      <alignment horizontal="center"/>
    </xf>
    <xf numFmtId="1" fontId="92" fillId="0" borderId="0" xfId="0" applyNumberFormat="1" applyFont="1" applyAlignment="1">
      <alignment horizontal="center"/>
    </xf>
    <xf numFmtId="0" fontId="92" fillId="0" borderId="0" xfId="0" applyFont="1" applyAlignment="1">
      <alignment horizontal="center"/>
    </xf>
    <xf numFmtId="0" fontId="92" fillId="0" borderId="0" xfId="0" applyFont="1"/>
    <xf numFmtId="0" fontId="91" fillId="0" borderId="3" xfId="0" applyFont="1" applyBorder="1" applyAlignment="1">
      <alignment horizontal="center"/>
    </xf>
    <xf numFmtId="0" fontId="86" fillId="0" borderId="9" xfId="0" applyFont="1" applyBorder="1" applyAlignment="1">
      <alignment horizontal="center" wrapText="1"/>
    </xf>
    <xf numFmtId="12" fontId="86" fillId="0" borderId="9" xfId="0" applyNumberFormat="1" applyFont="1" applyBorder="1" applyAlignment="1">
      <alignment horizontal="center"/>
    </xf>
    <xf numFmtId="0" fontId="92" fillId="0" borderId="3" xfId="0" applyFont="1" applyBorder="1" applyAlignment="1">
      <alignment horizontal="center"/>
    </xf>
    <xf numFmtId="0" fontId="92" fillId="0" borderId="3" xfId="0" applyFont="1" applyBorder="1"/>
    <xf numFmtId="0" fontId="93" fillId="0" borderId="3" xfId="0" applyFont="1" applyBorder="1" applyAlignment="1">
      <alignment horizontal="center" vertical="center"/>
    </xf>
    <xf numFmtId="0" fontId="89" fillId="0" borderId="3" xfId="0" applyFont="1" applyBorder="1"/>
    <xf numFmtId="0" fontId="86" fillId="0" borderId="3" xfId="0" applyFont="1" applyBorder="1" applyAlignment="1">
      <alignment horizontal="center"/>
    </xf>
    <xf numFmtId="0" fontId="92" fillId="10" borderId="3" xfId="0" applyFont="1" applyFill="1" applyBorder="1"/>
    <xf numFmtId="1" fontId="91" fillId="0" borderId="3" xfId="3" applyNumberFormat="1" applyFont="1" applyBorder="1" applyAlignment="1">
      <alignment horizontal="center"/>
    </xf>
    <xf numFmtId="0" fontId="91" fillId="0" borderId="3" xfId="3" applyFont="1" applyBorder="1" applyAlignment="1">
      <alignment horizontal="center"/>
    </xf>
    <xf numFmtId="1" fontId="91" fillId="0" borderId="3" xfId="3" applyNumberFormat="1" applyFont="1" applyBorder="1" applyAlignment="1">
      <alignment horizontal="center" wrapText="1"/>
    </xf>
    <xf numFmtId="1" fontId="92" fillId="0" borderId="3" xfId="0" applyNumberFormat="1" applyFont="1" applyBorder="1"/>
    <xf numFmtId="0" fontId="86" fillId="10" borderId="3" xfId="3" applyFont="1" applyFill="1" applyBorder="1" applyAlignment="1">
      <alignment horizontal="center"/>
    </xf>
    <xf numFmtId="49" fontId="91" fillId="0" borderId="13" xfId="3" applyNumberFormat="1" applyFont="1" applyBorder="1" applyAlignment="1">
      <alignment horizontal="center"/>
    </xf>
    <xf numFmtId="49" fontId="91" fillId="0" borderId="38" xfId="3" applyNumberFormat="1" applyFont="1" applyBorder="1" applyAlignment="1">
      <alignment horizontal="center"/>
    </xf>
    <xf numFmtId="0" fontId="89" fillId="10" borderId="3" xfId="3" applyFont="1" applyFill="1" applyBorder="1" applyAlignment="1">
      <alignment horizontal="left"/>
    </xf>
    <xf numFmtId="170" fontId="91" fillId="0" borderId="3" xfId="3" applyNumberFormat="1" applyFont="1" applyBorder="1" applyAlignment="1">
      <alignment horizontal="center"/>
    </xf>
    <xf numFmtId="0" fontId="94" fillId="10" borderId="13" xfId="0" applyFont="1" applyFill="1" applyBorder="1" applyAlignment="1">
      <alignment horizontal="center"/>
    </xf>
    <xf numFmtId="0" fontId="94" fillId="10" borderId="40" xfId="0" applyFont="1" applyFill="1" applyBorder="1" applyAlignment="1">
      <alignment horizontal="center"/>
    </xf>
    <xf numFmtId="0" fontId="94" fillId="10" borderId="9" xfId="0" applyFont="1" applyFill="1" applyBorder="1"/>
    <xf numFmtId="0" fontId="86" fillId="10" borderId="38" xfId="0" applyFont="1" applyFill="1" applyBorder="1" applyAlignment="1">
      <alignment horizontal="center"/>
    </xf>
    <xf numFmtId="1" fontId="86" fillId="10" borderId="9" xfId="0" applyNumberFormat="1" applyFont="1" applyFill="1" applyBorder="1" applyAlignment="1">
      <alignment horizontal="center"/>
    </xf>
    <xf numFmtId="1" fontId="86" fillId="10" borderId="9" xfId="0" applyNumberFormat="1" applyFont="1" applyFill="1" applyBorder="1" applyAlignment="1">
      <alignment horizontal="center" wrapText="1"/>
    </xf>
    <xf numFmtId="49" fontId="86" fillId="10" borderId="9" xfId="0" applyNumberFormat="1" applyFont="1" applyFill="1" applyBorder="1" applyAlignment="1">
      <alignment horizontal="center"/>
    </xf>
    <xf numFmtId="1" fontId="86" fillId="10" borderId="3" xfId="3" applyNumberFormat="1" applyFont="1" applyFill="1" applyBorder="1" applyAlignment="1">
      <alignment horizontal="center"/>
    </xf>
    <xf numFmtId="1" fontId="86" fillId="10" borderId="3" xfId="3" applyNumberFormat="1" applyFont="1" applyFill="1" applyBorder="1" applyAlignment="1">
      <alignment horizontal="center" wrapText="1"/>
    </xf>
    <xf numFmtId="1" fontId="86" fillId="10" borderId="3" xfId="0" applyNumberFormat="1" applyFont="1" applyFill="1" applyBorder="1" applyAlignment="1">
      <alignment horizontal="center"/>
    </xf>
    <xf numFmtId="16" fontId="86" fillId="10" borderId="3" xfId="0" applyNumberFormat="1" applyFont="1" applyFill="1" applyBorder="1" applyAlignment="1">
      <alignment horizontal="center"/>
    </xf>
    <xf numFmtId="0" fontId="86" fillId="2" borderId="3" xfId="0" applyFont="1" applyFill="1" applyBorder="1" applyAlignment="1">
      <alignment horizontal="center"/>
    </xf>
    <xf numFmtId="1" fontId="86" fillId="0" borderId="9" xfId="0" applyNumberFormat="1" applyFont="1" applyBorder="1" applyAlignment="1">
      <alignment horizontal="center" wrapText="1"/>
    </xf>
    <xf numFmtId="16" fontId="86" fillId="0" borderId="3" xfId="0" applyNumberFormat="1" applyFont="1" applyBorder="1" applyAlignment="1">
      <alignment horizontal="center"/>
    </xf>
    <xf numFmtId="1" fontId="86" fillId="0" borderId="9" xfId="0" applyNumberFormat="1" applyFont="1" applyBorder="1" applyAlignment="1">
      <alignment horizontal="center"/>
    </xf>
    <xf numFmtId="1" fontId="86" fillId="0" borderId="3" xfId="0" applyNumberFormat="1" applyFont="1" applyBorder="1" applyAlignment="1">
      <alignment horizontal="center"/>
    </xf>
    <xf numFmtId="1" fontId="86" fillId="0" borderId="3" xfId="0" applyNumberFormat="1" applyFont="1" applyBorder="1" applyAlignment="1">
      <alignment horizontal="center" wrapText="1"/>
    </xf>
    <xf numFmtId="49" fontId="89" fillId="0" borderId="41" xfId="3" applyNumberFormat="1" applyFont="1" applyBorder="1" applyAlignment="1">
      <alignment horizontal="center"/>
    </xf>
    <xf numFmtId="49" fontId="89" fillId="0" borderId="37" xfId="3" applyNumberFormat="1" applyFont="1" applyBorder="1" applyAlignment="1">
      <alignment horizontal="center"/>
    </xf>
    <xf numFmtId="0" fontId="90" fillId="10" borderId="3" xfId="3" applyFont="1" applyFill="1" applyBorder="1" applyAlignment="1">
      <alignment vertical="center"/>
    </xf>
    <xf numFmtId="0" fontId="89" fillId="0" borderId="38" xfId="3" applyFont="1" applyBorder="1" applyAlignment="1">
      <alignment horizontal="center"/>
    </xf>
    <xf numFmtId="170" fontId="89" fillId="0" borderId="3" xfId="3" applyNumberFormat="1" applyFont="1" applyBorder="1" applyAlignment="1">
      <alignment horizontal="center"/>
    </xf>
    <xf numFmtId="49" fontId="91" fillId="0" borderId="3" xfId="0" applyNumberFormat="1" applyFont="1" applyBorder="1" applyAlignment="1">
      <alignment horizontal="center"/>
    </xf>
    <xf numFmtId="49" fontId="91" fillId="0" borderId="3" xfId="0" applyNumberFormat="1" applyFont="1" applyBorder="1"/>
    <xf numFmtId="1" fontId="91" fillId="0" borderId="3" xfId="0" applyNumberFormat="1" applyFont="1" applyBorder="1" applyAlignment="1">
      <alignment horizontal="center"/>
    </xf>
    <xf numFmtId="1" fontId="91" fillId="0" borderId="3" xfId="0" applyNumberFormat="1" applyFont="1" applyBorder="1" applyAlignment="1">
      <alignment horizontal="center" wrapText="1"/>
    </xf>
    <xf numFmtId="171" fontId="66" fillId="10" borderId="3" xfId="1" applyNumberFormat="1" applyFont="1" applyFill="1" applyBorder="1" applyAlignment="1">
      <alignment horizontal="center"/>
    </xf>
    <xf numFmtId="0" fontId="95" fillId="0" borderId="3" xfId="10" applyFont="1" applyBorder="1" applyAlignment="1">
      <alignment horizontal="center"/>
    </xf>
    <xf numFmtId="0" fontId="95" fillId="0" borderId="3" xfId="10" applyFont="1" applyBorder="1" applyAlignment="1">
      <alignment horizontal="left"/>
    </xf>
    <xf numFmtId="16" fontId="91" fillId="0" borderId="3" xfId="0" applyNumberFormat="1" applyFont="1" applyBorder="1" applyAlignment="1">
      <alignment horizontal="center"/>
    </xf>
    <xf numFmtId="0" fontId="92" fillId="0" borderId="3" xfId="0" applyFont="1" applyBorder="1" applyAlignment="1">
      <alignment horizontal="center" vertical="center"/>
    </xf>
    <xf numFmtId="0" fontId="92" fillId="0" borderId="3" xfId="0" applyFont="1" applyBorder="1" applyAlignment="1">
      <alignment horizontal="left" vertical="center"/>
    </xf>
    <xf numFmtId="12" fontId="91" fillId="0" borderId="3" xfId="3" applyNumberFormat="1" applyFont="1" applyBorder="1" applyAlignment="1">
      <alignment horizontal="center"/>
    </xf>
    <xf numFmtId="0" fontId="86" fillId="0" borderId="3" xfId="0" quotePrefix="1" applyFont="1" applyBorder="1" applyAlignment="1">
      <alignment horizontal="center"/>
    </xf>
    <xf numFmtId="0" fontId="86" fillId="0" borderId="3" xfId="0" quotePrefix="1" applyFont="1" applyBorder="1"/>
    <xf numFmtId="49" fontId="91" fillId="0" borderId="3" xfId="3" applyNumberFormat="1" applyFont="1" applyBorder="1"/>
    <xf numFmtId="49" fontId="96" fillId="2" borderId="30" xfId="3" applyNumberFormat="1" applyFont="1" applyFill="1" applyBorder="1" applyAlignment="1">
      <alignment horizontal="center" vertical="center"/>
    </xf>
    <xf numFmtId="49" fontId="96" fillId="2" borderId="0" xfId="3" applyNumberFormat="1" applyFont="1" applyFill="1" applyAlignment="1">
      <alignment horizontal="center" vertical="center"/>
    </xf>
    <xf numFmtId="0" fontId="86" fillId="2" borderId="0" xfId="3" applyFont="1" applyFill="1"/>
    <xf numFmtId="1" fontId="86" fillId="2" borderId="0" xfId="3" applyNumberFormat="1" applyFont="1" applyFill="1" applyAlignment="1">
      <alignment horizontal="center"/>
    </xf>
    <xf numFmtId="166" fontId="86" fillId="2" borderId="0" xfId="3" applyNumberFormat="1" applyFont="1" applyFill="1" applyAlignment="1">
      <alignment horizontal="center" wrapText="1"/>
    </xf>
    <xf numFmtId="0" fontId="86" fillId="2" borderId="24" xfId="3" applyFont="1" applyFill="1" applyBorder="1" applyAlignment="1">
      <alignment horizontal="center"/>
    </xf>
    <xf numFmtId="0" fontId="86" fillId="3" borderId="6" xfId="3" applyFont="1" applyFill="1" applyBorder="1" applyAlignment="1">
      <alignment horizontal="center"/>
    </xf>
    <xf numFmtId="0" fontId="86" fillId="3" borderId="7" xfId="3" applyFont="1" applyFill="1" applyBorder="1" applyAlignment="1">
      <alignment horizontal="center"/>
    </xf>
    <xf numFmtId="0" fontId="86" fillId="3" borderId="7" xfId="3" applyFont="1" applyFill="1" applyBorder="1"/>
    <xf numFmtId="0" fontId="66" fillId="3" borderId="7" xfId="3" applyFont="1" applyFill="1" applyBorder="1" applyAlignment="1">
      <alignment horizontal="center"/>
    </xf>
    <xf numFmtId="1" fontId="66" fillId="3" borderId="7" xfId="3" applyNumberFormat="1" applyFont="1" applyFill="1" applyBorder="1" applyAlignment="1">
      <alignment horizontal="center"/>
    </xf>
    <xf numFmtId="166" fontId="86" fillId="3" borderId="7" xfId="3" applyNumberFormat="1" applyFont="1" applyFill="1" applyBorder="1" applyAlignment="1">
      <alignment horizontal="center" wrapText="1"/>
    </xf>
    <xf numFmtId="0" fontId="86" fillId="3" borderId="8" xfId="3" applyFont="1" applyFill="1" applyBorder="1" applyAlignment="1">
      <alignment horizontal="center"/>
    </xf>
    <xf numFmtId="0" fontId="66" fillId="0" borderId="39" xfId="3" applyFont="1" applyBorder="1" applyAlignment="1">
      <alignment horizontal="right"/>
    </xf>
    <xf numFmtId="0" fontId="66" fillId="0" borderId="17" xfId="3" applyFont="1" applyBorder="1" applyAlignment="1">
      <alignment horizontal="right"/>
    </xf>
    <xf numFmtId="0" fontId="66" fillId="0" borderId="40" xfId="3" applyFont="1" applyBorder="1" applyAlignment="1">
      <alignment horizontal="right"/>
    </xf>
    <xf numFmtId="0" fontId="86" fillId="0" borderId="10" xfId="0" applyFont="1" applyBorder="1" applyAlignment="1">
      <alignment horizontal="center"/>
    </xf>
    <xf numFmtId="166" fontId="86" fillId="0" borderId="9" xfId="3" applyNumberFormat="1" applyFont="1" applyBorder="1" applyAlignment="1">
      <alignment horizontal="right"/>
    </xf>
    <xf numFmtId="0" fontId="86" fillId="2" borderId="10" xfId="3" applyFont="1" applyFill="1" applyBorder="1" applyAlignment="1">
      <alignment horizontal="center"/>
    </xf>
    <xf numFmtId="0" fontId="86" fillId="2" borderId="18" xfId="3" applyFont="1" applyFill="1" applyBorder="1" applyAlignment="1">
      <alignment horizontal="center"/>
    </xf>
    <xf numFmtId="0" fontId="66" fillId="0" borderId="41" xfId="3" applyFont="1" applyBorder="1" applyAlignment="1">
      <alignment horizontal="right"/>
    </xf>
    <xf numFmtId="0" fontId="66" fillId="0" borderId="37" xfId="3" applyFont="1" applyBorder="1" applyAlignment="1">
      <alignment horizontal="right"/>
    </xf>
    <xf numFmtId="0" fontId="66" fillId="0" borderId="38" xfId="3" applyFont="1" applyBorder="1" applyAlignment="1">
      <alignment horizontal="right"/>
    </xf>
    <xf numFmtId="0" fontId="86" fillId="0" borderId="3" xfId="3" applyFont="1" applyBorder="1" applyAlignment="1">
      <alignment horizontal="right"/>
    </xf>
    <xf numFmtId="166" fontId="86" fillId="0" borderId="36" xfId="3" applyNumberFormat="1" applyFont="1" applyBorder="1" applyAlignment="1">
      <alignment horizontal="center"/>
    </xf>
    <xf numFmtId="166" fontId="86" fillId="0" borderId="42" xfId="3" applyNumberFormat="1" applyFont="1" applyBorder="1" applyAlignment="1">
      <alignment horizontal="center"/>
    </xf>
    <xf numFmtId="166" fontId="86" fillId="0" borderId="36" xfId="3" applyNumberFormat="1" applyFont="1" applyBorder="1" applyAlignment="1">
      <alignment horizontal="right" wrapText="1"/>
    </xf>
    <xf numFmtId="166" fontId="86" fillId="0" borderId="38" xfId="3" applyNumberFormat="1" applyFont="1" applyBorder="1" applyAlignment="1">
      <alignment horizontal="right" wrapText="1"/>
    </xf>
    <xf numFmtId="166" fontId="86" fillId="0" borderId="36" xfId="0" applyNumberFormat="1" applyFont="1" applyBorder="1" applyAlignment="1">
      <alignment horizontal="center" wrapText="1"/>
    </xf>
    <xf numFmtId="166" fontId="86" fillId="0" borderId="42" xfId="0" applyNumberFormat="1" applyFont="1" applyBorder="1" applyAlignment="1">
      <alignment horizontal="center" wrapText="1"/>
    </xf>
    <xf numFmtId="0" fontId="66" fillId="0" borderId="29" xfId="3" applyFont="1" applyBorder="1" applyAlignment="1">
      <alignment horizontal="right"/>
    </xf>
    <xf numFmtId="0" fontId="66" fillId="0" borderId="46" xfId="3" applyFont="1" applyBorder="1" applyAlignment="1">
      <alignment horizontal="right"/>
    </xf>
    <xf numFmtId="0" fontId="66" fillId="0" borderId="5" xfId="3" applyFont="1" applyBorder="1" applyAlignment="1">
      <alignment horizontal="right"/>
    </xf>
    <xf numFmtId="1" fontId="86" fillId="0" borderId="5" xfId="0" applyNumberFormat="1" applyFont="1" applyBorder="1" applyAlignment="1">
      <alignment horizontal="center"/>
    </xf>
    <xf numFmtId="0" fontId="86" fillId="0" borderId="5" xfId="0" applyFont="1" applyBorder="1" applyAlignment="1">
      <alignment horizontal="center"/>
    </xf>
    <xf numFmtId="0" fontId="86" fillId="0" borderId="5" xfId="3" applyFont="1" applyBorder="1" applyAlignment="1">
      <alignment horizontal="right"/>
    </xf>
    <xf numFmtId="0" fontId="66" fillId="3" borderId="6" xfId="3" applyFont="1" applyFill="1" applyBorder="1" applyAlignment="1">
      <alignment horizontal="left"/>
    </xf>
    <xf numFmtId="0" fontId="66" fillId="3" borderId="7" xfId="3" applyFont="1" applyFill="1" applyBorder="1" applyAlignment="1">
      <alignment horizontal="left"/>
    </xf>
    <xf numFmtId="0" fontId="66" fillId="3" borderId="8" xfId="3" applyFont="1" applyFill="1" applyBorder="1" applyAlignment="1">
      <alignment horizontal="left"/>
    </xf>
    <xf numFmtId="0" fontId="86" fillId="0" borderId="67" xfId="0" applyFont="1" applyBorder="1" applyAlignment="1">
      <alignment horizontal="left"/>
    </xf>
    <xf numFmtId="0" fontId="86" fillId="0" borderId="68" xfId="0" applyFont="1" applyBorder="1" applyAlignment="1">
      <alignment horizontal="left"/>
    </xf>
    <xf numFmtId="0" fontId="86" fillId="0" borderId="69" xfId="0" applyFont="1" applyBorder="1" applyAlignment="1">
      <alignment horizontal="left"/>
    </xf>
    <xf numFmtId="0" fontId="86" fillId="0" borderId="70" xfId="0" applyFont="1" applyBorder="1" applyAlignment="1">
      <alignment horizontal="left"/>
    </xf>
    <xf numFmtId="0" fontId="86" fillId="0" borderId="71" xfId="0" applyFont="1" applyBorder="1" applyAlignment="1">
      <alignment horizontal="left"/>
    </xf>
    <xf numFmtId="0" fontId="86" fillId="0" borderId="72" xfId="0" applyFont="1" applyBorder="1" applyAlignment="1">
      <alignment horizontal="left"/>
    </xf>
    <xf numFmtId="0" fontId="86" fillId="0" borderId="15" xfId="0" applyFont="1" applyBorder="1" applyAlignment="1">
      <alignment horizontal="left" wrapText="1"/>
    </xf>
    <xf numFmtId="0" fontId="86" fillId="0" borderId="40" xfId="0" applyFont="1" applyBorder="1" applyAlignment="1">
      <alignment horizontal="left" wrapText="1"/>
    </xf>
    <xf numFmtId="0" fontId="86" fillId="0" borderId="9" xfId="0" applyFont="1" applyBorder="1" applyAlignment="1">
      <alignment horizontal="left" wrapText="1"/>
    </xf>
    <xf numFmtId="0" fontId="86" fillId="0" borderId="11" xfId="0" applyFont="1" applyBorder="1" applyAlignment="1">
      <alignment horizontal="left" wrapText="1"/>
    </xf>
    <xf numFmtId="0" fontId="86" fillId="0" borderId="41" xfId="0" applyFont="1" applyBorder="1" applyAlignment="1">
      <alignment horizontal="left"/>
    </xf>
    <xf numFmtId="0" fontId="86" fillId="0" borderId="37" xfId="0" applyFont="1" applyBorder="1" applyAlignment="1">
      <alignment horizontal="left"/>
    </xf>
    <xf numFmtId="0" fontId="86" fillId="0" borderId="42" xfId="0" applyFont="1" applyBorder="1" applyAlignment="1">
      <alignment horizontal="left"/>
    </xf>
    <xf numFmtId="0" fontId="91" fillId="0" borderId="41" xfId="3" applyFont="1" applyBorder="1" applyAlignment="1">
      <alignment horizontal="left" wrapText="1"/>
    </xf>
    <xf numFmtId="0" fontId="91" fillId="0" borderId="37" xfId="3" applyFont="1" applyBorder="1" applyAlignment="1">
      <alignment horizontal="left" wrapText="1"/>
    </xf>
    <xf numFmtId="0" fontId="91" fillId="0" borderId="42" xfId="3" applyFont="1" applyBorder="1" applyAlignment="1">
      <alignment horizontal="left" wrapText="1"/>
    </xf>
    <xf numFmtId="0" fontId="92" fillId="0" borderId="39" xfId="3" applyFont="1" applyBorder="1" applyAlignment="1">
      <alignment horizontal="left"/>
    </xf>
    <xf numFmtId="0" fontId="92" fillId="0" borderId="17" xfId="3" applyFont="1" applyBorder="1" applyAlignment="1">
      <alignment horizontal="left"/>
    </xf>
    <xf numFmtId="0" fontId="92" fillId="0" borderId="18" xfId="3" applyFont="1" applyBorder="1" applyAlignment="1">
      <alignment horizontal="left"/>
    </xf>
    <xf numFmtId="0" fontId="66" fillId="22" borderId="73" xfId="7" applyFont="1" applyFill="1" applyBorder="1" applyAlignment="1">
      <alignment horizontal="center"/>
    </xf>
    <xf numFmtId="0" fontId="66" fillId="22" borderId="28" xfId="7" applyFont="1" applyFill="1" applyBorder="1" applyAlignment="1">
      <alignment horizontal="center"/>
    </xf>
  </cellXfs>
  <cellStyles count="11">
    <cellStyle name="Millares" xfId="1" builtinId="3"/>
    <cellStyle name="Millares [0]" xfId="2" builtinId="6"/>
    <cellStyle name="Normal" xfId="0" builtinId="0"/>
    <cellStyle name="Normal 2" xfId="3" xr:uid="{C53AA9CE-91DC-483A-BE30-A5C4BCA93092}"/>
    <cellStyle name="Normal 2 3" xfId="4" xr:uid="{4033DA54-6196-47DA-9166-18EA5A71BE47}"/>
    <cellStyle name="Normal 3" xfId="10" xr:uid="{4A02E950-8F86-419E-B07A-CE30EC4131C4}"/>
    <cellStyle name="Normal 4" xfId="5" xr:uid="{47604725-364A-4C17-8836-346EFCB404C6}"/>
    <cellStyle name="Normal 4 2" xfId="6" xr:uid="{FC354884-12B4-4DCB-B96E-7D87A6571FF8}"/>
    <cellStyle name="Normal_CRITERIOS DE EVALUACION PT DE GB 2" xfId="7" xr:uid="{A5CC80FB-C631-4DC4-BC99-3478E77E4F4A}"/>
    <cellStyle name="Porcentaje" xfId="8" builtinId="5"/>
    <cellStyle name="Porcentaje 2" xfId="9" xr:uid="{85B7876B-7977-4EAB-9B96-E5E627D959F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26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17" name="Picture 1">
          <a:extLst>
            <a:ext uri="{FF2B5EF4-FFF2-40B4-BE49-F238E27FC236}">
              <a16:creationId xmlns:a16="http://schemas.microsoft.com/office/drawing/2014/main" id="{B2EB164B-63C2-2162-2754-E1016FD72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18" name="Picture 2">
          <a:extLst>
            <a:ext uri="{FF2B5EF4-FFF2-40B4-BE49-F238E27FC236}">
              <a16:creationId xmlns:a16="http://schemas.microsoft.com/office/drawing/2014/main" id="{1ADCFBBD-F26C-58D9-A38E-2EA82F1B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19" name="Picture 3">
          <a:extLst>
            <a:ext uri="{FF2B5EF4-FFF2-40B4-BE49-F238E27FC236}">
              <a16:creationId xmlns:a16="http://schemas.microsoft.com/office/drawing/2014/main" id="{019B7E2B-45D6-394F-0320-039907004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20" name="Picture 4">
          <a:extLst>
            <a:ext uri="{FF2B5EF4-FFF2-40B4-BE49-F238E27FC236}">
              <a16:creationId xmlns:a16="http://schemas.microsoft.com/office/drawing/2014/main" id="{060B9799-A009-677E-53D9-2C63CEE9C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21" name="Picture 5">
          <a:extLst>
            <a:ext uri="{FF2B5EF4-FFF2-40B4-BE49-F238E27FC236}">
              <a16:creationId xmlns:a16="http://schemas.microsoft.com/office/drawing/2014/main" id="{91F66826-C0DC-BDEC-91D3-A2A905840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22" name="Picture 6">
          <a:extLst>
            <a:ext uri="{FF2B5EF4-FFF2-40B4-BE49-F238E27FC236}">
              <a16:creationId xmlns:a16="http://schemas.microsoft.com/office/drawing/2014/main" id="{0AB646F0-CF58-4FE1-599C-B0BC69171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23" name="Picture 7">
          <a:extLst>
            <a:ext uri="{FF2B5EF4-FFF2-40B4-BE49-F238E27FC236}">
              <a16:creationId xmlns:a16="http://schemas.microsoft.com/office/drawing/2014/main" id="{B5C2ACFF-AE84-6DC6-D7AB-94CCC89FE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24" name="Picture 8">
          <a:extLst>
            <a:ext uri="{FF2B5EF4-FFF2-40B4-BE49-F238E27FC236}">
              <a16:creationId xmlns:a16="http://schemas.microsoft.com/office/drawing/2014/main" id="{1DD6C511-B288-F9D0-57ED-A30A8AA6B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25" name="Picture 9">
          <a:extLst>
            <a:ext uri="{FF2B5EF4-FFF2-40B4-BE49-F238E27FC236}">
              <a16:creationId xmlns:a16="http://schemas.microsoft.com/office/drawing/2014/main" id="{8F2F5617-0915-323E-D41C-72B571152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26" name="Picture 10">
          <a:extLst>
            <a:ext uri="{FF2B5EF4-FFF2-40B4-BE49-F238E27FC236}">
              <a16:creationId xmlns:a16="http://schemas.microsoft.com/office/drawing/2014/main" id="{193F518F-E512-05E9-47CD-89760D4CE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27" name="Picture 11">
          <a:extLst>
            <a:ext uri="{FF2B5EF4-FFF2-40B4-BE49-F238E27FC236}">
              <a16:creationId xmlns:a16="http://schemas.microsoft.com/office/drawing/2014/main" id="{FDC3352F-B4E0-DB70-0DBB-4E16D9FE4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28" name="Picture 12">
          <a:extLst>
            <a:ext uri="{FF2B5EF4-FFF2-40B4-BE49-F238E27FC236}">
              <a16:creationId xmlns:a16="http://schemas.microsoft.com/office/drawing/2014/main" id="{C9B0389E-2C47-3B67-0F8B-2FAD32CB3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29" name="Picture 13">
          <a:extLst>
            <a:ext uri="{FF2B5EF4-FFF2-40B4-BE49-F238E27FC236}">
              <a16:creationId xmlns:a16="http://schemas.microsoft.com/office/drawing/2014/main" id="{38362B31-F755-E6DE-57AF-5563847A0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30" name="Picture 14">
          <a:extLst>
            <a:ext uri="{FF2B5EF4-FFF2-40B4-BE49-F238E27FC236}">
              <a16:creationId xmlns:a16="http://schemas.microsoft.com/office/drawing/2014/main" id="{59D48686-8537-6944-4900-F0CCD6A17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31" name="Picture 15">
          <a:extLst>
            <a:ext uri="{FF2B5EF4-FFF2-40B4-BE49-F238E27FC236}">
              <a16:creationId xmlns:a16="http://schemas.microsoft.com/office/drawing/2014/main" id="{6FEB9CEA-0BB4-C3B2-2859-0BBB134FE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32" name="Picture 16">
          <a:extLst>
            <a:ext uri="{FF2B5EF4-FFF2-40B4-BE49-F238E27FC236}">
              <a16:creationId xmlns:a16="http://schemas.microsoft.com/office/drawing/2014/main" id="{DB9C751F-2C8A-444D-172A-DE9BBD74D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33" name="Picture 17">
          <a:extLst>
            <a:ext uri="{FF2B5EF4-FFF2-40B4-BE49-F238E27FC236}">
              <a16:creationId xmlns:a16="http://schemas.microsoft.com/office/drawing/2014/main" id="{663EF15D-37B3-C2F9-6B96-E0295E404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34" name="Picture 18">
          <a:extLst>
            <a:ext uri="{FF2B5EF4-FFF2-40B4-BE49-F238E27FC236}">
              <a16:creationId xmlns:a16="http://schemas.microsoft.com/office/drawing/2014/main" id="{8EB1138F-A1F5-A90E-94DC-1990A353D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35" name="Picture 19">
          <a:extLst>
            <a:ext uri="{FF2B5EF4-FFF2-40B4-BE49-F238E27FC236}">
              <a16:creationId xmlns:a16="http://schemas.microsoft.com/office/drawing/2014/main" id="{4676D226-2AE9-E4BE-A8C0-20E90531F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36" name="Picture 20">
          <a:extLst>
            <a:ext uri="{FF2B5EF4-FFF2-40B4-BE49-F238E27FC236}">
              <a16:creationId xmlns:a16="http://schemas.microsoft.com/office/drawing/2014/main" id="{4A858DBC-5ED2-8AB4-AF02-9E9AAB619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37" name="Picture 21">
          <a:extLst>
            <a:ext uri="{FF2B5EF4-FFF2-40B4-BE49-F238E27FC236}">
              <a16:creationId xmlns:a16="http://schemas.microsoft.com/office/drawing/2014/main" id="{F1C049EB-046E-AC4A-C19B-7B7C06E8C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38" name="Picture 22">
          <a:extLst>
            <a:ext uri="{FF2B5EF4-FFF2-40B4-BE49-F238E27FC236}">
              <a16:creationId xmlns:a16="http://schemas.microsoft.com/office/drawing/2014/main" id="{6EA67FF7-87E7-C8C2-1F61-502816E83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39" name="Picture 23">
          <a:extLst>
            <a:ext uri="{FF2B5EF4-FFF2-40B4-BE49-F238E27FC236}">
              <a16:creationId xmlns:a16="http://schemas.microsoft.com/office/drawing/2014/main" id="{1BA7210B-496A-999C-69C9-877CA70E2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40" name="Picture 24">
          <a:extLst>
            <a:ext uri="{FF2B5EF4-FFF2-40B4-BE49-F238E27FC236}">
              <a16:creationId xmlns:a16="http://schemas.microsoft.com/office/drawing/2014/main" id="{3AB2C99C-A034-003A-6536-0034EE04C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41" name="Picture 25">
          <a:extLst>
            <a:ext uri="{FF2B5EF4-FFF2-40B4-BE49-F238E27FC236}">
              <a16:creationId xmlns:a16="http://schemas.microsoft.com/office/drawing/2014/main" id="{33CADD7C-3E52-63BB-8675-EF236E066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42" name="Picture 26">
          <a:extLst>
            <a:ext uri="{FF2B5EF4-FFF2-40B4-BE49-F238E27FC236}">
              <a16:creationId xmlns:a16="http://schemas.microsoft.com/office/drawing/2014/main" id="{89623BE1-0316-5192-75F9-73B82FA52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43" name="Picture 27">
          <a:extLst>
            <a:ext uri="{FF2B5EF4-FFF2-40B4-BE49-F238E27FC236}">
              <a16:creationId xmlns:a16="http://schemas.microsoft.com/office/drawing/2014/main" id="{9107F4B4-11F5-32E8-2352-2F5FA12DF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44" name="Picture 28">
          <a:extLst>
            <a:ext uri="{FF2B5EF4-FFF2-40B4-BE49-F238E27FC236}">
              <a16:creationId xmlns:a16="http://schemas.microsoft.com/office/drawing/2014/main" id="{8ECAC923-03FF-4EC2-C174-1B282D9F4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45" name="Picture 29">
          <a:extLst>
            <a:ext uri="{FF2B5EF4-FFF2-40B4-BE49-F238E27FC236}">
              <a16:creationId xmlns:a16="http://schemas.microsoft.com/office/drawing/2014/main" id="{9A61EC50-894B-5222-16BD-C37ED445A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46" name="Picture 30">
          <a:extLst>
            <a:ext uri="{FF2B5EF4-FFF2-40B4-BE49-F238E27FC236}">
              <a16:creationId xmlns:a16="http://schemas.microsoft.com/office/drawing/2014/main" id="{203DE4FD-9489-D149-6D36-14600F38B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47" name="Picture 31">
          <a:extLst>
            <a:ext uri="{FF2B5EF4-FFF2-40B4-BE49-F238E27FC236}">
              <a16:creationId xmlns:a16="http://schemas.microsoft.com/office/drawing/2014/main" id="{EF5505B5-BA37-65E4-1DD6-D47D99CF9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48" name="Picture 32">
          <a:extLst>
            <a:ext uri="{FF2B5EF4-FFF2-40B4-BE49-F238E27FC236}">
              <a16:creationId xmlns:a16="http://schemas.microsoft.com/office/drawing/2014/main" id="{BEEEEFAE-E021-E262-E855-04D6B21E7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49" name="Picture 33">
          <a:extLst>
            <a:ext uri="{FF2B5EF4-FFF2-40B4-BE49-F238E27FC236}">
              <a16:creationId xmlns:a16="http://schemas.microsoft.com/office/drawing/2014/main" id="{3680A783-3457-09CD-E92D-F0DADB3C7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50" name="Picture 34">
          <a:extLst>
            <a:ext uri="{FF2B5EF4-FFF2-40B4-BE49-F238E27FC236}">
              <a16:creationId xmlns:a16="http://schemas.microsoft.com/office/drawing/2014/main" id="{B23F1EEF-6B38-E259-7088-FFCEEBD77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51" name="Picture 35">
          <a:extLst>
            <a:ext uri="{FF2B5EF4-FFF2-40B4-BE49-F238E27FC236}">
              <a16:creationId xmlns:a16="http://schemas.microsoft.com/office/drawing/2014/main" id="{8CC23476-F5DD-E842-5118-0D06A8722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52" name="Picture 36">
          <a:extLst>
            <a:ext uri="{FF2B5EF4-FFF2-40B4-BE49-F238E27FC236}">
              <a16:creationId xmlns:a16="http://schemas.microsoft.com/office/drawing/2014/main" id="{F7FE9857-C307-E9F9-7F69-0C77F8D60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53" name="Picture 37">
          <a:extLst>
            <a:ext uri="{FF2B5EF4-FFF2-40B4-BE49-F238E27FC236}">
              <a16:creationId xmlns:a16="http://schemas.microsoft.com/office/drawing/2014/main" id="{BBF8819E-D7A5-DC8F-FC37-8C674136E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54" name="Picture 38">
          <a:extLst>
            <a:ext uri="{FF2B5EF4-FFF2-40B4-BE49-F238E27FC236}">
              <a16:creationId xmlns:a16="http://schemas.microsoft.com/office/drawing/2014/main" id="{C94605D8-2E1B-24F0-17DB-727ED0A9D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55" name="Picture 39">
          <a:extLst>
            <a:ext uri="{FF2B5EF4-FFF2-40B4-BE49-F238E27FC236}">
              <a16:creationId xmlns:a16="http://schemas.microsoft.com/office/drawing/2014/main" id="{3ED5F008-20D6-DD7A-78E2-0D758B9BB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56" name="Picture 40">
          <a:extLst>
            <a:ext uri="{FF2B5EF4-FFF2-40B4-BE49-F238E27FC236}">
              <a16:creationId xmlns:a16="http://schemas.microsoft.com/office/drawing/2014/main" id="{9236F4CE-EA70-8F0C-FB89-CEC276D96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57" name="Picture 41">
          <a:extLst>
            <a:ext uri="{FF2B5EF4-FFF2-40B4-BE49-F238E27FC236}">
              <a16:creationId xmlns:a16="http://schemas.microsoft.com/office/drawing/2014/main" id="{9A3EC6A3-A523-9ADD-062F-D9D05B735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58" name="Picture 42">
          <a:extLst>
            <a:ext uri="{FF2B5EF4-FFF2-40B4-BE49-F238E27FC236}">
              <a16:creationId xmlns:a16="http://schemas.microsoft.com/office/drawing/2014/main" id="{10C4B828-CAC3-8B8F-AF8C-739438CCF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59" name="Picture 43">
          <a:extLst>
            <a:ext uri="{FF2B5EF4-FFF2-40B4-BE49-F238E27FC236}">
              <a16:creationId xmlns:a16="http://schemas.microsoft.com/office/drawing/2014/main" id="{CE07274A-33AF-BD43-8955-F0D8A2AE6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60" name="Picture 44">
          <a:extLst>
            <a:ext uri="{FF2B5EF4-FFF2-40B4-BE49-F238E27FC236}">
              <a16:creationId xmlns:a16="http://schemas.microsoft.com/office/drawing/2014/main" id="{29641715-CA62-8907-EFE8-67ADC6455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61" name="Picture 45">
          <a:extLst>
            <a:ext uri="{FF2B5EF4-FFF2-40B4-BE49-F238E27FC236}">
              <a16:creationId xmlns:a16="http://schemas.microsoft.com/office/drawing/2014/main" id="{B5FCC915-E4FC-8754-664C-70AEBA2E9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62" name="Picture 46">
          <a:extLst>
            <a:ext uri="{FF2B5EF4-FFF2-40B4-BE49-F238E27FC236}">
              <a16:creationId xmlns:a16="http://schemas.microsoft.com/office/drawing/2014/main" id="{748978FE-5753-5FF2-2379-CC7519EB2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63" name="Picture 47">
          <a:extLst>
            <a:ext uri="{FF2B5EF4-FFF2-40B4-BE49-F238E27FC236}">
              <a16:creationId xmlns:a16="http://schemas.microsoft.com/office/drawing/2014/main" id="{8D78D0F0-22D0-2396-9930-AD57BA9B0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64" name="Picture 48">
          <a:extLst>
            <a:ext uri="{FF2B5EF4-FFF2-40B4-BE49-F238E27FC236}">
              <a16:creationId xmlns:a16="http://schemas.microsoft.com/office/drawing/2014/main" id="{856C132C-0BEB-9581-6676-A113EFF15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65" name="Picture 49">
          <a:extLst>
            <a:ext uri="{FF2B5EF4-FFF2-40B4-BE49-F238E27FC236}">
              <a16:creationId xmlns:a16="http://schemas.microsoft.com/office/drawing/2014/main" id="{FB8B25BD-E501-5329-4DE3-D6264EBA8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66" name="Picture 50">
          <a:extLst>
            <a:ext uri="{FF2B5EF4-FFF2-40B4-BE49-F238E27FC236}">
              <a16:creationId xmlns:a16="http://schemas.microsoft.com/office/drawing/2014/main" id="{705F3786-6BAE-CBBE-537D-CF39D65AB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67" name="Picture 51">
          <a:extLst>
            <a:ext uri="{FF2B5EF4-FFF2-40B4-BE49-F238E27FC236}">
              <a16:creationId xmlns:a16="http://schemas.microsoft.com/office/drawing/2014/main" id="{E2016560-226D-55FF-AE7D-6DCB106EE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68" name="Picture 52">
          <a:extLst>
            <a:ext uri="{FF2B5EF4-FFF2-40B4-BE49-F238E27FC236}">
              <a16:creationId xmlns:a16="http://schemas.microsoft.com/office/drawing/2014/main" id="{C574C21E-73ED-F9B8-B0EA-636792109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69" name="Picture 53">
          <a:extLst>
            <a:ext uri="{FF2B5EF4-FFF2-40B4-BE49-F238E27FC236}">
              <a16:creationId xmlns:a16="http://schemas.microsoft.com/office/drawing/2014/main" id="{E9EF207C-733D-A0F7-CE62-9A4CA5634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70" name="Picture 54">
          <a:extLst>
            <a:ext uri="{FF2B5EF4-FFF2-40B4-BE49-F238E27FC236}">
              <a16:creationId xmlns:a16="http://schemas.microsoft.com/office/drawing/2014/main" id="{B57211AB-C260-1CBE-DEC5-4117E1053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71" name="Picture 55">
          <a:extLst>
            <a:ext uri="{FF2B5EF4-FFF2-40B4-BE49-F238E27FC236}">
              <a16:creationId xmlns:a16="http://schemas.microsoft.com/office/drawing/2014/main" id="{B6E7D595-D485-48CE-7E94-F723B8D21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72" name="Picture 56">
          <a:extLst>
            <a:ext uri="{FF2B5EF4-FFF2-40B4-BE49-F238E27FC236}">
              <a16:creationId xmlns:a16="http://schemas.microsoft.com/office/drawing/2014/main" id="{15358325-F4DF-3B9C-69E1-612D537FB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73" name="Picture 57">
          <a:extLst>
            <a:ext uri="{FF2B5EF4-FFF2-40B4-BE49-F238E27FC236}">
              <a16:creationId xmlns:a16="http://schemas.microsoft.com/office/drawing/2014/main" id="{2E71CD2C-97AB-E888-DF72-5520711B9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74" name="Picture 58">
          <a:extLst>
            <a:ext uri="{FF2B5EF4-FFF2-40B4-BE49-F238E27FC236}">
              <a16:creationId xmlns:a16="http://schemas.microsoft.com/office/drawing/2014/main" id="{6FF42345-F11D-056A-BA1E-2A3B7841E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75" name="Picture 59">
          <a:extLst>
            <a:ext uri="{FF2B5EF4-FFF2-40B4-BE49-F238E27FC236}">
              <a16:creationId xmlns:a16="http://schemas.microsoft.com/office/drawing/2014/main" id="{1082DA85-377A-A684-36DB-8E7BEE134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76" name="Picture 60">
          <a:extLst>
            <a:ext uri="{FF2B5EF4-FFF2-40B4-BE49-F238E27FC236}">
              <a16:creationId xmlns:a16="http://schemas.microsoft.com/office/drawing/2014/main" id="{96FDD4A2-7C5D-1440-F6EE-2EAD4EBFB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77" name="Picture 61">
          <a:extLst>
            <a:ext uri="{FF2B5EF4-FFF2-40B4-BE49-F238E27FC236}">
              <a16:creationId xmlns:a16="http://schemas.microsoft.com/office/drawing/2014/main" id="{8E0332BB-8BA9-7BD4-A3ED-EE96F1493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78" name="Picture 62">
          <a:extLst>
            <a:ext uri="{FF2B5EF4-FFF2-40B4-BE49-F238E27FC236}">
              <a16:creationId xmlns:a16="http://schemas.microsoft.com/office/drawing/2014/main" id="{D2A59D10-1493-8A61-4021-B894ED73C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79" name="Picture 63">
          <a:extLst>
            <a:ext uri="{FF2B5EF4-FFF2-40B4-BE49-F238E27FC236}">
              <a16:creationId xmlns:a16="http://schemas.microsoft.com/office/drawing/2014/main" id="{4C8E36FE-66C1-A8CE-B231-6FEF88063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80" name="Picture 64">
          <a:extLst>
            <a:ext uri="{FF2B5EF4-FFF2-40B4-BE49-F238E27FC236}">
              <a16:creationId xmlns:a16="http://schemas.microsoft.com/office/drawing/2014/main" id="{CA44AEBD-2F27-404D-BFDB-9A7BF0250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81" name="Picture 65">
          <a:extLst>
            <a:ext uri="{FF2B5EF4-FFF2-40B4-BE49-F238E27FC236}">
              <a16:creationId xmlns:a16="http://schemas.microsoft.com/office/drawing/2014/main" id="{10723213-4204-607D-0E5C-5F99C1C52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82" name="Picture 66">
          <a:extLst>
            <a:ext uri="{FF2B5EF4-FFF2-40B4-BE49-F238E27FC236}">
              <a16:creationId xmlns:a16="http://schemas.microsoft.com/office/drawing/2014/main" id="{A2DB340F-E26A-9F50-CC8F-4487FF060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83" name="Picture 67">
          <a:extLst>
            <a:ext uri="{FF2B5EF4-FFF2-40B4-BE49-F238E27FC236}">
              <a16:creationId xmlns:a16="http://schemas.microsoft.com/office/drawing/2014/main" id="{CEB886C0-A448-62E5-84BE-0EFC6E42F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84" name="Picture 68">
          <a:extLst>
            <a:ext uri="{FF2B5EF4-FFF2-40B4-BE49-F238E27FC236}">
              <a16:creationId xmlns:a16="http://schemas.microsoft.com/office/drawing/2014/main" id="{48FDA927-2BFE-CF50-CD34-09BFE1E86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85" name="Picture 69">
          <a:extLst>
            <a:ext uri="{FF2B5EF4-FFF2-40B4-BE49-F238E27FC236}">
              <a16:creationId xmlns:a16="http://schemas.microsoft.com/office/drawing/2014/main" id="{2D015E47-34F9-9445-E2F5-BC3AD6DBE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86" name="Picture 70">
          <a:extLst>
            <a:ext uri="{FF2B5EF4-FFF2-40B4-BE49-F238E27FC236}">
              <a16:creationId xmlns:a16="http://schemas.microsoft.com/office/drawing/2014/main" id="{6D584285-5220-216C-B8DE-A046F5943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87" name="Picture 71">
          <a:extLst>
            <a:ext uri="{FF2B5EF4-FFF2-40B4-BE49-F238E27FC236}">
              <a16:creationId xmlns:a16="http://schemas.microsoft.com/office/drawing/2014/main" id="{84103C99-7ECA-50A9-3DB4-8ACB83CC8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88" name="Picture 72">
          <a:extLst>
            <a:ext uri="{FF2B5EF4-FFF2-40B4-BE49-F238E27FC236}">
              <a16:creationId xmlns:a16="http://schemas.microsoft.com/office/drawing/2014/main" id="{04781EBF-F3FB-8FAA-4944-A58591518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89" name="Picture 73">
          <a:extLst>
            <a:ext uri="{FF2B5EF4-FFF2-40B4-BE49-F238E27FC236}">
              <a16:creationId xmlns:a16="http://schemas.microsoft.com/office/drawing/2014/main" id="{AA6A6EA7-11A3-3FF9-F181-571142743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90" name="Picture 74">
          <a:extLst>
            <a:ext uri="{FF2B5EF4-FFF2-40B4-BE49-F238E27FC236}">
              <a16:creationId xmlns:a16="http://schemas.microsoft.com/office/drawing/2014/main" id="{25F5075E-D3B0-CB8E-3EFA-D5D53F6CA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91" name="Picture 75">
          <a:extLst>
            <a:ext uri="{FF2B5EF4-FFF2-40B4-BE49-F238E27FC236}">
              <a16:creationId xmlns:a16="http://schemas.microsoft.com/office/drawing/2014/main" id="{FB18A628-B661-51C0-1874-D3F7416A7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92" name="Picture 76">
          <a:extLst>
            <a:ext uri="{FF2B5EF4-FFF2-40B4-BE49-F238E27FC236}">
              <a16:creationId xmlns:a16="http://schemas.microsoft.com/office/drawing/2014/main" id="{54830C97-F9A2-154D-580C-EBEDADA14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93" name="Picture 77">
          <a:extLst>
            <a:ext uri="{FF2B5EF4-FFF2-40B4-BE49-F238E27FC236}">
              <a16:creationId xmlns:a16="http://schemas.microsoft.com/office/drawing/2014/main" id="{A2FCCB53-0E18-A5C3-5A9C-520C5FED8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94" name="Picture 78">
          <a:extLst>
            <a:ext uri="{FF2B5EF4-FFF2-40B4-BE49-F238E27FC236}">
              <a16:creationId xmlns:a16="http://schemas.microsoft.com/office/drawing/2014/main" id="{21276701-250A-18C6-36ED-A5CA99868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895" name="Picture 79">
          <a:extLst>
            <a:ext uri="{FF2B5EF4-FFF2-40B4-BE49-F238E27FC236}">
              <a16:creationId xmlns:a16="http://schemas.microsoft.com/office/drawing/2014/main" id="{658205C7-5578-90E0-5BC6-4296D912B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96" name="Picture 80">
          <a:extLst>
            <a:ext uri="{FF2B5EF4-FFF2-40B4-BE49-F238E27FC236}">
              <a16:creationId xmlns:a16="http://schemas.microsoft.com/office/drawing/2014/main" id="{5E9B1709-25C9-B8E0-BE1E-4FB65694D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97" name="Picture 81">
          <a:extLst>
            <a:ext uri="{FF2B5EF4-FFF2-40B4-BE49-F238E27FC236}">
              <a16:creationId xmlns:a16="http://schemas.microsoft.com/office/drawing/2014/main" id="{18BC3A0F-9E0D-D7EC-E356-7939B0C0F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98" name="Picture 82">
          <a:extLst>
            <a:ext uri="{FF2B5EF4-FFF2-40B4-BE49-F238E27FC236}">
              <a16:creationId xmlns:a16="http://schemas.microsoft.com/office/drawing/2014/main" id="{18ACF342-B465-05A4-0140-B7EAAECA2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899" name="Picture 83">
          <a:extLst>
            <a:ext uri="{FF2B5EF4-FFF2-40B4-BE49-F238E27FC236}">
              <a16:creationId xmlns:a16="http://schemas.microsoft.com/office/drawing/2014/main" id="{C13C2841-8B38-7F1B-A09A-111C26F7A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00" name="Picture 84">
          <a:extLst>
            <a:ext uri="{FF2B5EF4-FFF2-40B4-BE49-F238E27FC236}">
              <a16:creationId xmlns:a16="http://schemas.microsoft.com/office/drawing/2014/main" id="{C57623A5-9C8D-A3C4-A686-A42924566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01" name="Picture 85">
          <a:extLst>
            <a:ext uri="{FF2B5EF4-FFF2-40B4-BE49-F238E27FC236}">
              <a16:creationId xmlns:a16="http://schemas.microsoft.com/office/drawing/2014/main" id="{F8A6EEDE-B150-06F5-0400-33BD4EFB5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02" name="Picture 86">
          <a:extLst>
            <a:ext uri="{FF2B5EF4-FFF2-40B4-BE49-F238E27FC236}">
              <a16:creationId xmlns:a16="http://schemas.microsoft.com/office/drawing/2014/main" id="{1F761EFD-87C9-F33D-C8DB-FFE52C2B8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03" name="Picture 87">
          <a:extLst>
            <a:ext uri="{FF2B5EF4-FFF2-40B4-BE49-F238E27FC236}">
              <a16:creationId xmlns:a16="http://schemas.microsoft.com/office/drawing/2014/main" id="{9042DF67-26C5-EF56-FDDA-513630336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04" name="Picture 88">
          <a:extLst>
            <a:ext uri="{FF2B5EF4-FFF2-40B4-BE49-F238E27FC236}">
              <a16:creationId xmlns:a16="http://schemas.microsoft.com/office/drawing/2014/main" id="{165E2086-642C-D5E4-EC1E-E34B66927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05" name="Picture 89">
          <a:extLst>
            <a:ext uri="{FF2B5EF4-FFF2-40B4-BE49-F238E27FC236}">
              <a16:creationId xmlns:a16="http://schemas.microsoft.com/office/drawing/2014/main" id="{B75CB058-94B7-0D11-13A4-3BAC2875B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06" name="Picture 90">
          <a:extLst>
            <a:ext uri="{FF2B5EF4-FFF2-40B4-BE49-F238E27FC236}">
              <a16:creationId xmlns:a16="http://schemas.microsoft.com/office/drawing/2014/main" id="{761D83C0-74B4-485E-187F-75C4D3307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07" name="Picture 91">
          <a:extLst>
            <a:ext uri="{FF2B5EF4-FFF2-40B4-BE49-F238E27FC236}">
              <a16:creationId xmlns:a16="http://schemas.microsoft.com/office/drawing/2014/main" id="{0E1604D3-A9CE-2C92-7A6E-1892B019A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08" name="Picture 92">
          <a:extLst>
            <a:ext uri="{FF2B5EF4-FFF2-40B4-BE49-F238E27FC236}">
              <a16:creationId xmlns:a16="http://schemas.microsoft.com/office/drawing/2014/main" id="{1364FB5F-82C9-9450-9513-8976391B1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09" name="Picture 93">
          <a:extLst>
            <a:ext uri="{FF2B5EF4-FFF2-40B4-BE49-F238E27FC236}">
              <a16:creationId xmlns:a16="http://schemas.microsoft.com/office/drawing/2014/main" id="{B75198C4-6025-2537-6FD1-8A83B6579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10" name="Picture 94">
          <a:extLst>
            <a:ext uri="{FF2B5EF4-FFF2-40B4-BE49-F238E27FC236}">
              <a16:creationId xmlns:a16="http://schemas.microsoft.com/office/drawing/2014/main" id="{4CEE3E50-088B-D4E2-70FA-CDA732445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11" name="Picture 95">
          <a:extLst>
            <a:ext uri="{FF2B5EF4-FFF2-40B4-BE49-F238E27FC236}">
              <a16:creationId xmlns:a16="http://schemas.microsoft.com/office/drawing/2014/main" id="{228D7A31-6B17-94D0-CCDB-8D5C9B73D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12" name="Picture 96">
          <a:extLst>
            <a:ext uri="{FF2B5EF4-FFF2-40B4-BE49-F238E27FC236}">
              <a16:creationId xmlns:a16="http://schemas.microsoft.com/office/drawing/2014/main" id="{60084531-E144-650D-B761-8C8232BE6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13" name="Picture 97">
          <a:extLst>
            <a:ext uri="{FF2B5EF4-FFF2-40B4-BE49-F238E27FC236}">
              <a16:creationId xmlns:a16="http://schemas.microsoft.com/office/drawing/2014/main" id="{354DAB43-D135-15CD-DA35-634968FF1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14" name="Picture 98">
          <a:extLst>
            <a:ext uri="{FF2B5EF4-FFF2-40B4-BE49-F238E27FC236}">
              <a16:creationId xmlns:a16="http://schemas.microsoft.com/office/drawing/2014/main" id="{A7D5C3F4-2585-F911-0D0D-D6CA0F8B8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15" name="Picture 99">
          <a:extLst>
            <a:ext uri="{FF2B5EF4-FFF2-40B4-BE49-F238E27FC236}">
              <a16:creationId xmlns:a16="http://schemas.microsoft.com/office/drawing/2014/main" id="{6E2EF8BA-9BE5-FAE0-CEBA-20E2ECCA1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16" name="Picture 100">
          <a:extLst>
            <a:ext uri="{FF2B5EF4-FFF2-40B4-BE49-F238E27FC236}">
              <a16:creationId xmlns:a16="http://schemas.microsoft.com/office/drawing/2014/main" id="{ADEE566C-6B6C-6DEA-FFAB-602EB527F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17" name="Picture 101">
          <a:extLst>
            <a:ext uri="{FF2B5EF4-FFF2-40B4-BE49-F238E27FC236}">
              <a16:creationId xmlns:a16="http://schemas.microsoft.com/office/drawing/2014/main" id="{37E3D68B-77E6-211F-6A4D-2922EB198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18" name="Picture 102">
          <a:extLst>
            <a:ext uri="{FF2B5EF4-FFF2-40B4-BE49-F238E27FC236}">
              <a16:creationId xmlns:a16="http://schemas.microsoft.com/office/drawing/2014/main" id="{F398A19D-B480-CCB9-7B70-17F65D11B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19" name="Picture 103">
          <a:extLst>
            <a:ext uri="{FF2B5EF4-FFF2-40B4-BE49-F238E27FC236}">
              <a16:creationId xmlns:a16="http://schemas.microsoft.com/office/drawing/2014/main" id="{4E315F13-5811-6AD1-8123-911798FA5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20" name="Picture 104">
          <a:extLst>
            <a:ext uri="{FF2B5EF4-FFF2-40B4-BE49-F238E27FC236}">
              <a16:creationId xmlns:a16="http://schemas.microsoft.com/office/drawing/2014/main" id="{EB231E1B-0393-9704-EF4A-F2C241AC7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21" name="Picture 105">
          <a:extLst>
            <a:ext uri="{FF2B5EF4-FFF2-40B4-BE49-F238E27FC236}">
              <a16:creationId xmlns:a16="http://schemas.microsoft.com/office/drawing/2014/main" id="{844EA3A8-F173-0CED-C1BF-7C9B3B698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22" name="Picture 106">
          <a:extLst>
            <a:ext uri="{FF2B5EF4-FFF2-40B4-BE49-F238E27FC236}">
              <a16:creationId xmlns:a16="http://schemas.microsoft.com/office/drawing/2014/main" id="{8087D9AF-8640-16E7-032F-C9863EBCB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23" name="Picture 107">
          <a:extLst>
            <a:ext uri="{FF2B5EF4-FFF2-40B4-BE49-F238E27FC236}">
              <a16:creationId xmlns:a16="http://schemas.microsoft.com/office/drawing/2014/main" id="{E8C8CB6C-460F-A938-77CE-02115B844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24" name="Picture 108">
          <a:extLst>
            <a:ext uri="{FF2B5EF4-FFF2-40B4-BE49-F238E27FC236}">
              <a16:creationId xmlns:a16="http://schemas.microsoft.com/office/drawing/2014/main" id="{A6AEE8C2-B667-099F-B7C1-95AAAC882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25" name="Picture 109">
          <a:extLst>
            <a:ext uri="{FF2B5EF4-FFF2-40B4-BE49-F238E27FC236}">
              <a16:creationId xmlns:a16="http://schemas.microsoft.com/office/drawing/2014/main" id="{DE20E999-7EB1-D00D-D51B-9445B58FD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26" name="Picture 110">
          <a:extLst>
            <a:ext uri="{FF2B5EF4-FFF2-40B4-BE49-F238E27FC236}">
              <a16:creationId xmlns:a16="http://schemas.microsoft.com/office/drawing/2014/main" id="{28822869-4CDE-C45F-1DDE-F7C606AFA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27" name="Picture 111">
          <a:extLst>
            <a:ext uri="{FF2B5EF4-FFF2-40B4-BE49-F238E27FC236}">
              <a16:creationId xmlns:a16="http://schemas.microsoft.com/office/drawing/2014/main" id="{7D745913-EB0F-FF2B-7D85-845A7F011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28" name="Picture 112">
          <a:extLst>
            <a:ext uri="{FF2B5EF4-FFF2-40B4-BE49-F238E27FC236}">
              <a16:creationId xmlns:a16="http://schemas.microsoft.com/office/drawing/2014/main" id="{3AFCAA0A-B07E-E22E-EB34-C905EF5A4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29" name="Picture 113">
          <a:extLst>
            <a:ext uri="{FF2B5EF4-FFF2-40B4-BE49-F238E27FC236}">
              <a16:creationId xmlns:a16="http://schemas.microsoft.com/office/drawing/2014/main" id="{FFAEC170-0F9F-65B8-1DD7-7DE292DA6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30" name="Picture 114">
          <a:extLst>
            <a:ext uri="{FF2B5EF4-FFF2-40B4-BE49-F238E27FC236}">
              <a16:creationId xmlns:a16="http://schemas.microsoft.com/office/drawing/2014/main" id="{7479AB7C-1BF0-31C6-7D16-095C0ACEA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31" name="Picture 115">
          <a:extLst>
            <a:ext uri="{FF2B5EF4-FFF2-40B4-BE49-F238E27FC236}">
              <a16:creationId xmlns:a16="http://schemas.microsoft.com/office/drawing/2014/main" id="{94102CE5-3FA6-10C7-0066-45BA8F94E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32" name="Picture 116">
          <a:extLst>
            <a:ext uri="{FF2B5EF4-FFF2-40B4-BE49-F238E27FC236}">
              <a16:creationId xmlns:a16="http://schemas.microsoft.com/office/drawing/2014/main" id="{6E668C21-EAC3-9539-51B8-675CEEC1D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33" name="Picture 117">
          <a:extLst>
            <a:ext uri="{FF2B5EF4-FFF2-40B4-BE49-F238E27FC236}">
              <a16:creationId xmlns:a16="http://schemas.microsoft.com/office/drawing/2014/main" id="{DC869835-B553-649F-41AE-A894A12AB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34" name="Picture 118">
          <a:extLst>
            <a:ext uri="{FF2B5EF4-FFF2-40B4-BE49-F238E27FC236}">
              <a16:creationId xmlns:a16="http://schemas.microsoft.com/office/drawing/2014/main" id="{A4F98DAE-17D2-A35D-B4B2-21283804A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35" name="Picture 119">
          <a:extLst>
            <a:ext uri="{FF2B5EF4-FFF2-40B4-BE49-F238E27FC236}">
              <a16:creationId xmlns:a16="http://schemas.microsoft.com/office/drawing/2014/main" id="{9F3655A8-99BE-1242-AC06-C7B30B10B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36" name="Picture 120">
          <a:extLst>
            <a:ext uri="{FF2B5EF4-FFF2-40B4-BE49-F238E27FC236}">
              <a16:creationId xmlns:a16="http://schemas.microsoft.com/office/drawing/2014/main" id="{A6620F7A-2613-9F6E-86B1-FB54DC46D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37" name="Picture 121">
          <a:extLst>
            <a:ext uri="{FF2B5EF4-FFF2-40B4-BE49-F238E27FC236}">
              <a16:creationId xmlns:a16="http://schemas.microsoft.com/office/drawing/2014/main" id="{29ABF55A-3207-D6C8-3C1C-A2DE1BF6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38" name="Picture 122">
          <a:extLst>
            <a:ext uri="{FF2B5EF4-FFF2-40B4-BE49-F238E27FC236}">
              <a16:creationId xmlns:a16="http://schemas.microsoft.com/office/drawing/2014/main" id="{F87D0E63-77A9-49E0-4217-A43A73592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39" name="Picture 123">
          <a:extLst>
            <a:ext uri="{FF2B5EF4-FFF2-40B4-BE49-F238E27FC236}">
              <a16:creationId xmlns:a16="http://schemas.microsoft.com/office/drawing/2014/main" id="{BCDE2924-1CF8-6C56-AF0B-29D7917F9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40" name="Picture 124">
          <a:extLst>
            <a:ext uri="{FF2B5EF4-FFF2-40B4-BE49-F238E27FC236}">
              <a16:creationId xmlns:a16="http://schemas.microsoft.com/office/drawing/2014/main" id="{0FCD6432-197F-1324-1195-A90C878A2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41" name="Picture 125">
          <a:extLst>
            <a:ext uri="{FF2B5EF4-FFF2-40B4-BE49-F238E27FC236}">
              <a16:creationId xmlns:a16="http://schemas.microsoft.com/office/drawing/2014/main" id="{ACB9D251-0377-60E9-2872-3B5F237CB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42" name="Picture 126">
          <a:extLst>
            <a:ext uri="{FF2B5EF4-FFF2-40B4-BE49-F238E27FC236}">
              <a16:creationId xmlns:a16="http://schemas.microsoft.com/office/drawing/2014/main" id="{5A8D9A71-FC98-1707-B368-04147E011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43" name="Picture 127">
          <a:extLst>
            <a:ext uri="{FF2B5EF4-FFF2-40B4-BE49-F238E27FC236}">
              <a16:creationId xmlns:a16="http://schemas.microsoft.com/office/drawing/2014/main" id="{995C2753-8E0D-E938-3052-513FAE947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44" name="Picture 128">
          <a:extLst>
            <a:ext uri="{FF2B5EF4-FFF2-40B4-BE49-F238E27FC236}">
              <a16:creationId xmlns:a16="http://schemas.microsoft.com/office/drawing/2014/main" id="{4020DE9A-6174-4A99-36B8-FEDF0161D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45" name="Picture 129">
          <a:extLst>
            <a:ext uri="{FF2B5EF4-FFF2-40B4-BE49-F238E27FC236}">
              <a16:creationId xmlns:a16="http://schemas.microsoft.com/office/drawing/2014/main" id="{D0FBE968-2AAD-A805-C41F-86CCD745B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46" name="Picture 130">
          <a:extLst>
            <a:ext uri="{FF2B5EF4-FFF2-40B4-BE49-F238E27FC236}">
              <a16:creationId xmlns:a16="http://schemas.microsoft.com/office/drawing/2014/main" id="{72606257-A3A1-B440-FE81-861F95AE8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47" name="Picture 131">
          <a:extLst>
            <a:ext uri="{FF2B5EF4-FFF2-40B4-BE49-F238E27FC236}">
              <a16:creationId xmlns:a16="http://schemas.microsoft.com/office/drawing/2014/main" id="{DFCDE4E1-2534-0FB0-D8AF-A87C3D2EC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48" name="Picture 132">
          <a:extLst>
            <a:ext uri="{FF2B5EF4-FFF2-40B4-BE49-F238E27FC236}">
              <a16:creationId xmlns:a16="http://schemas.microsoft.com/office/drawing/2014/main" id="{7C3A2748-A479-1983-DD55-E9102971B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49" name="Picture 133">
          <a:extLst>
            <a:ext uri="{FF2B5EF4-FFF2-40B4-BE49-F238E27FC236}">
              <a16:creationId xmlns:a16="http://schemas.microsoft.com/office/drawing/2014/main" id="{3F78297C-3172-E288-D319-C22802910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50" name="Picture 134">
          <a:extLst>
            <a:ext uri="{FF2B5EF4-FFF2-40B4-BE49-F238E27FC236}">
              <a16:creationId xmlns:a16="http://schemas.microsoft.com/office/drawing/2014/main" id="{E1590D0C-F1E6-E7B3-6AB9-E7B6C92E3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51" name="Picture 135">
          <a:extLst>
            <a:ext uri="{FF2B5EF4-FFF2-40B4-BE49-F238E27FC236}">
              <a16:creationId xmlns:a16="http://schemas.microsoft.com/office/drawing/2014/main" id="{788694CB-4D0C-8124-12FE-20125CEE0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52" name="Picture 136">
          <a:extLst>
            <a:ext uri="{FF2B5EF4-FFF2-40B4-BE49-F238E27FC236}">
              <a16:creationId xmlns:a16="http://schemas.microsoft.com/office/drawing/2014/main" id="{36C176D4-BA46-E430-0AB6-F09FCEAD2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53" name="Picture 137">
          <a:extLst>
            <a:ext uri="{FF2B5EF4-FFF2-40B4-BE49-F238E27FC236}">
              <a16:creationId xmlns:a16="http://schemas.microsoft.com/office/drawing/2014/main" id="{7C8811EF-1CBA-701A-82A6-546643FE2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54" name="Picture 138">
          <a:extLst>
            <a:ext uri="{FF2B5EF4-FFF2-40B4-BE49-F238E27FC236}">
              <a16:creationId xmlns:a16="http://schemas.microsoft.com/office/drawing/2014/main" id="{CB2DE082-2E24-CAC8-31E2-363E98BAF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55" name="Picture 139">
          <a:extLst>
            <a:ext uri="{FF2B5EF4-FFF2-40B4-BE49-F238E27FC236}">
              <a16:creationId xmlns:a16="http://schemas.microsoft.com/office/drawing/2014/main" id="{34D2D527-84FD-3AE4-DD29-1E639949C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56" name="Picture 140">
          <a:extLst>
            <a:ext uri="{FF2B5EF4-FFF2-40B4-BE49-F238E27FC236}">
              <a16:creationId xmlns:a16="http://schemas.microsoft.com/office/drawing/2014/main" id="{B3D20E95-834E-DFF4-EAF8-F7ECD3EEB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57" name="Picture 141">
          <a:extLst>
            <a:ext uri="{FF2B5EF4-FFF2-40B4-BE49-F238E27FC236}">
              <a16:creationId xmlns:a16="http://schemas.microsoft.com/office/drawing/2014/main" id="{C1051EDD-5A9D-0423-C9F0-9D87552C8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58" name="Picture 142">
          <a:extLst>
            <a:ext uri="{FF2B5EF4-FFF2-40B4-BE49-F238E27FC236}">
              <a16:creationId xmlns:a16="http://schemas.microsoft.com/office/drawing/2014/main" id="{EC34835C-187F-6875-20B0-B22957100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59" name="Picture 143">
          <a:extLst>
            <a:ext uri="{FF2B5EF4-FFF2-40B4-BE49-F238E27FC236}">
              <a16:creationId xmlns:a16="http://schemas.microsoft.com/office/drawing/2014/main" id="{84034AFA-BBF3-EFE9-9769-B9F474C6F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60" name="Picture 144">
          <a:extLst>
            <a:ext uri="{FF2B5EF4-FFF2-40B4-BE49-F238E27FC236}">
              <a16:creationId xmlns:a16="http://schemas.microsoft.com/office/drawing/2014/main" id="{CF7E6B3C-55F3-F3D8-078B-28F507B6C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61" name="Picture 145">
          <a:extLst>
            <a:ext uri="{FF2B5EF4-FFF2-40B4-BE49-F238E27FC236}">
              <a16:creationId xmlns:a16="http://schemas.microsoft.com/office/drawing/2014/main" id="{AEA6E184-5341-F064-0368-F90E4B897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62" name="Picture 146">
          <a:extLst>
            <a:ext uri="{FF2B5EF4-FFF2-40B4-BE49-F238E27FC236}">
              <a16:creationId xmlns:a16="http://schemas.microsoft.com/office/drawing/2014/main" id="{50E22888-DB5D-285F-016C-62792CF63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63" name="Picture 147">
          <a:extLst>
            <a:ext uri="{FF2B5EF4-FFF2-40B4-BE49-F238E27FC236}">
              <a16:creationId xmlns:a16="http://schemas.microsoft.com/office/drawing/2014/main" id="{7538049A-AF1D-1442-E8FD-1AF02E7FB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64" name="Picture 148">
          <a:extLst>
            <a:ext uri="{FF2B5EF4-FFF2-40B4-BE49-F238E27FC236}">
              <a16:creationId xmlns:a16="http://schemas.microsoft.com/office/drawing/2014/main" id="{0F04A301-9665-DB1F-418A-3BB1D7BD2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65" name="Picture 149">
          <a:extLst>
            <a:ext uri="{FF2B5EF4-FFF2-40B4-BE49-F238E27FC236}">
              <a16:creationId xmlns:a16="http://schemas.microsoft.com/office/drawing/2014/main" id="{AD2E9183-AC6D-C3F7-8432-6EB2B0A17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66" name="Picture 150">
          <a:extLst>
            <a:ext uri="{FF2B5EF4-FFF2-40B4-BE49-F238E27FC236}">
              <a16:creationId xmlns:a16="http://schemas.microsoft.com/office/drawing/2014/main" id="{9A166F85-0125-6DA6-DCF2-A8466F775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67" name="Picture 151">
          <a:extLst>
            <a:ext uri="{FF2B5EF4-FFF2-40B4-BE49-F238E27FC236}">
              <a16:creationId xmlns:a16="http://schemas.microsoft.com/office/drawing/2014/main" id="{760B7C1B-1FC8-20D3-6847-12A11A981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68" name="Picture 152">
          <a:extLst>
            <a:ext uri="{FF2B5EF4-FFF2-40B4-BE49-F238E27FC236}">
              <a16:creationId xmlns:a16="http://schemas.microsoft.com/office/drawing/2014/main" id="{DD9041AF-6CC9-64F8-6A3B-54EEC25E7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69" name="Picture 153">
          <a:extLst>
            <a:ext uri="{FF2B5EF4-FFF2-40B4-BE49-F238E27FC236}">
              <a16:creationId xmlns:a16="http://schemas.microsoft.com/office/drawing/2014/main" id="{C32696C7-9782-2184-F310-6FAD7954A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70" name="Picture 154">
          <a:extLst>
            <a:ext uri="{FF2B5EF4-FFF2-40B4-BE49-F238E27FC236}">
              <a16:creationId xmlns:a16="http://schemas.microsoft.com/office/drawing/2014/main" id="{FD539DAD-7D44-5979-B3A6-E24964C66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71" name="Picture 155">
          <a:extLst>
            <a:ext uri="{FF2B5EF4-FFF2-40B4-BE49-F238E27FC236}">
              <a16:creationId xmlns:a16="http://schemas.microsoft.com/office/drawing/2014/main" id="{DBC4B771-A709-BB1D-4EE3-923385D83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72" name="Picture 156">
          <a:extLst>
            <a:ext uri="{FF2B5EF4-FFF2-40B4-BE49-F238E27FC236}">
              <a16:creationId xmlns:a16="http://schemas.microsoft.com/office/drawing/2014/main" id="{AE51B4C3-E6B1-2549-C94B-95A59EF44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73" name="Picture 157">
          <a:extLst>
            <a:ext uri="{FF2B5EF4-FFF2-40B4-BE49-F238E27FC236}">
              <a16:creationId xmlns:a16="http://schemas.microsoft.com/office/drawing/2014/main" id="{E2B71BD8-19F9-6AB3-F0F9-43C1D8700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74" name="Picture 158">
          <a:extLst>
            <a:ext uri="{FF2B5EF4-FFF2-40B4-BE49-F238E27FC236}">
              <a16:creationId xmlns:a16="http://schemas.microsoft.com/office/drawing/2014/main" id="{ED141D1C-68A2-5CCA-04E0-12724518F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75" name="Picture 159">
          <a:extLst>
            <a:ext uri="{FF2B5EF4-FFF2-40B4-BE49-F238E27FC236}">
              <a16:creationId xmlns:a16="http://schemas.microsoft.com/office/drawing/2014/main" id="{27F265BF-821B-1EB6-88B4-78992CE6A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76" name="Picture 160">
          <a:extLst>
            <a:ext uri="{FF2B5EF4-FFF2-40B4-BE49-F238E27FC236}">
              <a16:creationId xmlns:a16="http://schemas.microsoft.com/office/drawing/2014/main" id="{0FD3588D-C126-D90F-5D0F-C7EC6747C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77" name="Picture 161">
          <a:extLst>
            <a:ext uri="{FF2B5EF4-FFF2-40B4-BE49-F238E27FC236}">
              <a16:creationId xmlns:a16="http://schemas.microsoft.com/office/drawing/2014/main" id="{A82FFA84-DFBC-F77B-1B3B-7ACC0D9E2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78" name="Picture 162">
          <a:extLst>
            <a:ext uri="{FF2B5EF4-FFF2-40B4-BE49-F238E27FC236}">
              <a16:creationId xmlns:a16="http://schemas.microsoft.com/office/drawing/2014/main" id="{6884E868-C47B-5B04-1304-0FC4B4002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79" name="Picture 163">
          <a:extLst>
            <a:ext uri="{FF2B5EF4-FFF2-40B4-BE49-F238E27FC236}">
              <a16:creationId xmlns:a16="http://schemas.microsoft.com/office/drawing/2014/main" id="{9556BB7D-4D37-92A3-D9E8-651E162F3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80" name="Picture 164">
          <a:extLst>
            <a:ext uri="{FF2B5EF4-FFF2-40B4-BE49-F238E27FC236}">
              <a16:creationId xmlns:a16="http://schemas.microsoft.com/office/drawing/2014/main" id="{5DB7C872-452F-759E-EAEF-15C05A1A8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81" name="Picture 165">
          <a:extLst>
            <a:ext uri="{FF2B5EF4-FFF2-40B4-BE49-F238E27FC236}">
              <a16:creationId xmlns:a16="http://schemas.microsoft.com/office/drawing/2014/main" id="{B1361175-9A6C-BCBD-8513-863BA8C35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82" name="Picture 166">
          <a:extLst>
            <a:ext uri="{FF2B5EF4-FFF2-40B4-BE49-F238E27FC236}">
              <a16:creationId xmlns:a16="http://schemas.microsoft.com/office/drawing/2014/main" id="{F863149A-B5FC-B532-73E9-4853FE1AF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83" name="Picture 167">
          <a:extLst>
            <a:ext uri="{FF2B5EF4-FFF2-40B4-BE49-F238E27FC236}">
              <a16:creationId xmlns:a16="http://schemas.microsoft.com/office/drawing/2014/main" id="{0219E7E6-05F1-26A1-9D26-BD010770B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84" name="Picture 168">
          <a:extLst>
            <a:ext uri="{FF2B5EF4-FFF2-40B4-BE49-F238E27FC236}">
              <a16:creationId xmlns:a16="http://schemas.microsoft.com/office/drawing/2014/main" id="{622C7927-7B82-8752-EBDF-761BCAF16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85" name="Picture 169">
          <a:extLst>
            <a:ext uri="{FF2B5EF4-FFF2-40B4-BE49-F238E27FC236}">
              <a16:creationId xmlns:a16="http://schemas.microsoft.com/office/drawing/2014/main" id="{E1484CD6-55A2-7F5A-44D6-377085BAF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86" name="Picture 170">
          <a:extLst>
            <a:ext uri="{FF2B5EF4-FFF2-40B4-BE49-F238E27FC236}">
              <a16:creationId xmlns:a16="http://schemas.microsoft.com/office/drawing/2014/main" id="{A04B26D2-0ED8-7972-6400-F4E34AB22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87" name="Picture 171">
          <a:extLst>
            <a:ext uri="{FF2B5EF4-FFF2-40B4-BE49-F238E27FC236}">
              <a16:creationId xmlns:a16="http://schemas.microsoft.com/office/drawing/2014/main" id="{5C19A259-C80C-045D-04A9-D8C44ABC2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88" name="Picture 172">
          <a:extLst>
            <a:ext uri="{FF2B5EF4-FFF2-40B4-BE49-F238E27FC236}">
              <a16:creationId xmlns:a16="http://schemas.microsoft.com/office/drawing/2014/main" id="{FF061027-D9B0-8C9E-34F9-6509FA100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89" name="Picture 173">
          <a:extLst>
            <a:ext uri="{FF2B5EF4-FFF2-40B4-BE49-F238E27FC236}">
              <a16:creationId xmlns:a16="http://schemas.microsoft.com/office/drawing/2014/main" id="{382B7E10-325E-0E38-8228-20945A186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90" name="Picture 174">
          <a:extLst>
            <a:ext uri="{FF2B5EF4-FFF2-40B4-BE49-F238E27FC236}">
              <a16:creationId xmlns:a16="http://schemas.microsoft.com/office/drawing/2014/main" id="{D0FBE1FA-739F-1BCD-0CCA-1AEAACB2A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91" name="Picture 175">
          <a:extLst>
            <a:ext uri="{FF2B5EF4-FFF2-40B4-BE49-F238E27FC236}">
              <a16:creationId xmlns:a16="http://schemas.microsoft.com/office/drawing/2014/main" id="{FF8AF358-08F6-6500-0E63-8239A42B6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92" name="Picture 176">
          <a:extLst>
            <a:ext uri="{FF2B5EF4-FFF2-40B4-BE49-F238E27FC236}">
              <a16:creationId xmlns:a16="http://schemas.microsoft.com/office/drawing/2014/main" id="{7AC85309-2154-E9AB-74B1-A3EB2E695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93" name="Picture 177">
          <a:extLst>
            <a:ext uri="{FF2B5EF4-FFF2-40B4-BE49-F238E27FC236}">
              <a16:creationId xmlns:a16="http://schemas.microsoft.com/office/drawing/2014/main" id="{A831094A-9191-9A77-A1EA-55DD344C6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94" name="Picture 178">
          <a:extLst>
            <a:ext uri="{FF2B5EF4-FFF2-40B4-BE49-F238E27FC236}">
              <a16:creationId xmlns:a16="http://schemas.microsoft.com/office/drawing/2014/main" id="{ADEDCB92-445A-29E3-F4AD-C42695635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95" name="Picture 179">
          <a:extLst>
            <a:ext uri="{FF2B5EF4-FFF2-40B4-BE49-F238E27FC236}">
              <a16:creationId xmlns:a16="http://schemas.microsoft.com/office/drawing/2014/main" id="{5D652C7C-1393-1830-2082-81B77F234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96" name="Picture 180">
          <a:extLst>
            <a:ext uri="{FF2B5EF4-FFF2-40B4-BE49-F238E27FC236}">
              <a16:creationId xmlns:a16="http://schemas.microsoft.com/office/drawing/2014/main" id="{2833BCB4-91E9-DF25-7913-692C7BFD2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8997" name="Picture 181">
          <a:extLst>
            <a:ext uri="{FF2B5EF4-FFF2-40B4-BE49-F238E27FC236}">
              <a16:creationId xmlns:a16="http://schemas.microsoft.com/office/drawing/2014/main" id="{DA4D163B-A275-5376-A1D9-1925FBE1E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98" name="Picture 182">
          <a:extLst>
            <a:ext uri="{FF2B5EF4-FFF2-40B4-BE49-F238E27FC236}">
              <a16:creationId xmlns:a16="http://schemas.microsoft.com/office/drawing/2014/main" id="{E2276DBC-50BD-FD11-3CD2-901A1D63F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8999" name="Picture 183">
          <a:extLst>
            <a:ext uri="{FF2B5EF4-FFF2-40B4-BE49-F238E27FC236}">
              <a16:creationId xmlns:a16="http://schemas.microsoft.com/office/drawing/2014/main" id="{5D29EB2F-FFC6-16CB-4F86-255F9515A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00" name="Picture 184">
          <a:extLst>
            <a:ext uri="{FF2B5EF4-FFF2-40B4-BE49-F238E27FC236}">
              <a16:creationId xmlns:a16="http://schemas.microsoft.com/office/drawing/2014/main" id="{5E743F5B-B872-F853-826F-6035FC9B8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01" name="Picture 185">
          <a:extLst>
            <a:ext uri="{FF2B5EF4-FFF2-40B4-BE49-F238E27FC236}">
              <a16:creationId xmlns:a16="http://schemas.microsoft.com/office/drawing/2014/main" id="{73ABF8FF-203B-4997-1F7C-678611C65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02" name="Picture 186">
          <a:extLst>
            <a:ext uri="{FF2B5EF4-FFF2-40B4-BE49-F238E27FC236}">
              <a16:creationId xmlns:a16="http://schemas.microsoft.com/office/drawing/2014/main" id="{DC5BA3D7-718C-BB4E-0448-F06CAF4A6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03" name="Picture 187">
          <a:extLst>
            <a:ext uri="{FF2B5EF4-FFF2-40B4-BE49-F238E27FC236}">
              <a16:creationId xmlns:a16="http://schemas.microsoft.com/office/drawing/2014/main" id="{5064EBF5-F1CC-F041-0521-8D23038C5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04" name="Picture 188">
          <a:extLst>
            <a:ext uri="{FF2B5EF4-FFF2-40B4-BE49-F238E27FC236}">
              <a16:creationId xmlns:a16="http://schemas.microsoft.com/office/drawing/2014/main" id="{5A60938D-44C2-DD54-870C-8C017FEA9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05" name="Picture 189">
          <a:extLst>
            <a:ext uri="{FF2B5EF4-FFF2-40B4-BE49-F238E27FC236}">
              <a16:creationId xmlns:a16="http://schemas.microsoft.com/office/drawing/2014/main" id="{C610907B-09A9-B0EA-AA91-FFA6DFEB9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06" name="Picture 190">
          <a:extLst>
            <a:ext uri="{FF2B5EF4-FFF2-40B4-BE49-F238E27FC236}">
              <a16:creationId xmlns:a16="http://schemas.microsoft.com/office/drawing/2014/main" id="{D45D1A2E-08B6-11D8-D3EC-209B54F70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07" name="Picture 191">
          <a:extLst>
            <a:ext uri="{FF2B5EF4-FFF2-40B4-BE49-F238E27FC236}">
              <a16:creationId xmlns:a16="http://schemas.microsoft.com/office/drawing/2014/main" id="{CADADA89-945E-80EA-12E0-0E4674825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08" name="Picture 192">
          <a:extLst>
            <a:ext uri="{FF2B5EF4-FFF2-40B4-BE49-F238E27FC236}">
              <a16:creationId xmlns:a16="http://schemas.microsoft.com/office/drawing/2014/main" id="{7130CE9A-79E9-2A6E-45E3-5A5305F04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09" name="Picture 193">
          <a:extLst>
            <a:ext uri="{FF2B5EF4-FFF2-40B4-BE49-F238E27FC236}">
              <a16:creationId xmlns:a16="http://schemas.microsoft.com/office/drawing/2014/main" id="{01942479-8D90-368F-D357-F03AFA418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10" name="Picture 194">
          <a:extLst>
            <a:ext uri="{FF2B5EF4-FFF2-40B4-BE49-F238E27FC236}">
              <a16:creationId xmlns:a16="http://schemas.microsoft.com/office/drawing/2014/main" id="{4BC3D428-15E9-7EF1-AD0A-3EF358E29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11" name="Picture 195">
          <a:extLst>
            <a:ext uri="{FF2B5EF4-FFF2-40B4-BE49-F238E27FC236}">
              <a16:creationId xmlns:a16="http://schemas.microsoft.com/office/drawing/2014/main" id="{D3DF215B-7749-F759-E616-05FC1DC1A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12" name="Picture 196">
          <a:extLst>
            <a:ext uri="{FF2B5EF4-FFF2-40B4-BE49-F238E27FC236}">
              <a16:creationId xmlns:a16="http://schemas.microsoft.com/office/drawing/2014/main" id="{799BA5F7-1274-81AE-AEF3-EFEA4A388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13" name="Picture 197">
          <a:extLst>
            <a:ext uri="{FF2B5EF4-FFF2-40B4-BE49-F238E27FC236}">
              <a16:creationId xmlns:a16="http://schemas.microsoft.com/office/drawing/2014/main" id="{B90E945D-4A45-F064-34E7-1AC84D298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14" name="Picture 198">
          <a:extLst>
            <a:ext uri="{FF2B5EF4-FFF2-40B4-BE49-F238E27FC236}">
              <a16:creationId xmlns:a16="http://schemas.microsoft.com/office/drawing/2014/main" id="{EF22C5CC-2B77-3A94-F51C-163934003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15" name="Picture 199">
          <a:extLst>
            <a:ext uri="{FF2B5EF4-FFF2-40B4-BE49-F238E27FC236}">
              <a16:creationId xmlns:a16="http://schemas.microsoft.com/office/drawing/2014/main" id="{06C99CE9-13C5-2A51-5C8E-CB9672045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16" name="Picture 200">
          <a:extLst>
            <a:ext uri="{FF2B5EF4-FFF2-40B4-BE49-F238E27FC236}">
              <a16:creationId xmlns:a16="http://schemas.microsoft.com/office/drawing/2014/main" id="{8597186E-CD65-AA2E-D20D-78E9FBE66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17" name="Picture 201">
          <a:extLst>
            <a:ext uri="{FF2B5EF4-FFF2-40B4-BE49-F238E27FC236}">
              <a16:creationId xmlns:a16="http://schemas.microsoft.com/office/drawing/2014/main" id="{5F44F533-26C1-45D7-E42D-625085524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18" name="Picture 202">
          <a:extLst>
            <a:ext uri="{FF2B5EF4-FFF2-40B4-BE49-F238E27FC236}">
              <a16:creationId xmlns:a16="http://schemas.microsoft.com/office/drawing/2014/main" id="{078CB518-6A76-9088-C1C9-AB035688E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19" name="Picture 203">
          <a:extLst>
            <a:ext uri="{FF2B5EF4-FFF2-40B4-BE49-F238E27FC236}">
              <a16:creationId xmlns:a16="http://schemas.microsoft.com/office/drawing/2014/main" id="{645A923A-C4EC-B023-44BA-16BA46048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20" name="Picture 204">
          <a:extLst>
            <a:ext uri="{FF2B5EF4-FFF2-40B4-BE49-F238E27FC236}">
              <a16:creationId xmlns:a16="http://schemas.microsoft.com/office/drawing/2014/main" id="{298214B0-75FD-AAEF-AC84-E1BA42B47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21" name="Picture 205">
          <a:extLst>
            <a:ext uri="{FF2B5EF4-FFF2-40B4-BE49-F238E27FC236}">
              <a16:creationId xmlns:a16="http://schemas.microsoft.com/office/drawing/2014/main" id="{5293A6DB-3BAE-F7AB-7130-3A77A1D4A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22" name="Picture 206">
          <a:extLst>
            <a:ext uri="{FF2B5EF4-FFF2-40B4-BE49-F238E27FC236}">
              <a16:creationId xmlns:a16="http://schemas.microsoft.com/office/drawing/2014/main" id="{202092A5-4E78-712A-F8B9-3637C309A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23" name="Picture 207">
          <a:extLst>
            <a:ext uri="{FF2B5EF4-FFF2-40B4-BE49-F238E27FC236}">
              <a16:creationId xmlns:a16="http://schemas.microsoft.com/office/drawing/2014/main" id="{4077522F-07AF-EE8B-4C32-F3832D327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24" name="Picture 208">
          <a:extLst>
            <a:ext uri="{FF2B5EF4-FFF2-40B4-BE49-F238E27FC236}">
              <a16:creationId xmlns:a16="http://schemas.microsoft.com/office/drawing/2014/main" id="{4847717E-D571-4D86-02EF-ED277EB14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25" name="Picture 209">
          <a:extLst>
            <a:ext uri="{FF2B5EF4-FFF2-40B4-BE49-F238E27FC236}">
              <a16:creationId xmlns:a16="http://schemas.microsoft.com/office/drawing/2014/main" id="{418ED123-25AE-F409-3D7D-6FA4143BC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26" name="Picture 210">
          <a:extLst>
            <a:ext uri="{FF2B5EF4-FFF2-40B4-BE49-F238E27FC236}">
              <a16:creationId xmlns:a16="http://schemas.microsoft.com/office/drawing/2014/main" id="{60AFB293-FD62-00D5-C2F2-6D6BD2094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27" name="Picture 211">
          <a:extLst>
            <a:ext uri="{FF2B5EF4-FFF2-40B4-BE49-F238E27FC236}">
              <a16:creationId xmlns:a16="http://schemas.microsoft.com/office/drawing/2014/main" id="{0691E199-1300-3B4C-18BA-C849FD0BC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28" name="Picture 212">
          <a:extLst>
            <a:ext uri="{FF2B5EF4-FFF2-40B4-BE49-F238E27FC236}">
              <a16:creationId xmlns:a16="http://schemas.microsoft.com/office/drawing/2014/main" id="{19331325-0FAB-533C-A38F-85F8E8658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29" name="Picture 213">
          <a:extLst>
            <a:ext uri="{FF2B5EF4-FFF2-40B4-BE49-F238E27FC236}">
              <a16:creationId xmlns:a16="http://schemas.microsoft.com/office/drawing/2014/main" id="{E579FFCC-68D0-7556-8CAA-DCC09FC4A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30" name="Picture 214">
          <a:extLst>
            <a:ext uri="{FF2B5EF4-FFF2-40B4-BE49-F238E27FC236}">
              <a16:creationId xmlns:a16="http://schemas.microsoft.com/office/drawing/2014/main" id="{5E397FDB-6314-3D76-5CF0-8B80A30B1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31" name="Picture 215">
          <a:extLst>
            <a:ext uri="{FF2B5EF4-FFF2-40B4-BE49-F238E27FC236}">
              <a16:creationId xmlns:a16="http://schemas.microsoft.com/office/drawing/2014/main" id="{1CE4BBDA-1706-0423-C412-76A6C8ECD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32" name="Picture 216">
          <a:extLst>
            <a:ext uri="{FF2B5EF4-FFF2-40B4-BE49-F238E27FC236}">
              <a16:creationId xmlns:a16="http://schemas.microsoft.com/office/drawing/2014/main" id="{29E29880-EBB2-185F-0D45-186318D13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33" name="Picture 217">
          <a:extLst>
            <a:ext uri="{FF2B5EF4-FFF2-40B4-BE49-F238E27FC236}">
              <a16:creationId xmlns:a16="http://schemas.microsoft.com/office/drawing/2014/main" id="{D3D01BE6-70BB-BBB7-BBBF-902D20249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34" name="Picture 218">
          <a:extLst>
            <a:ext uri="{FF2B5EF4-FFF2-40B4-BE49-F238E27FC236}">
              <a16:creationId xmlns:a16="http://schemas.microsoft.com/office/drawing/2014/main" id="{11616789-F4CC-DF3E-3A97-7C5EC54E3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35" name="Picture 219">
          <a:extLst>
            <a:ext uri="{FF2B5EF4-FFF2-40B4-BE49-F238E27FC236}">
              <a16:creationId xmlns:a16="http://schemas.microsoft.com/office/drawing/2014/main" id="{40700D60-17D0-AC92-8BAC-DBCA3B72D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36" name="Picture 220">
          <a:extLst>
            <a:ext uri="{FF2B5EF4-FFF2-40B4-BE49-F238E27FC236}">
              <a16:creationId xmlns:a16="http://schemas.microsoft.com/office/drawing/2014/main" id="{B952E6B7-DAC9-9CA2-3226-1E6228A6A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37" name="Picture 221">
          <a:extLst>
            <a:ext uri="{FF2B5EF4-FFF2-40B4-BE49-F238E27FC236}">
              <a16:creationId xmlns:a16="http://schemas.microsoft.com/office/drawing/2014/main" id="{1816FDC0-5F48-52A7-EE75-5D148E8EA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38" name="Picture 222">
          <a:extLst>
            <a:ext uri="{FF2B5EF4-FFF2-40B4-BE49-F238E27FC236}">
              <a16:creationId xmlns:a16="http://schemas.microsoft.com/office/drawing/2014/main" id="{5C9FD075-7547-FD55-7EE6-765AB3A8E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39" name="Picture 223">
          <a:extLst>
            <a:ext uri="{FF2B5EF4-FFF2-40B4-BE49-F238E27FC236}">
              <a16:creationId xmlns:a16="http://schemas.microsoft.com/office/drawing/2014/main" id="{DF79BFF8-8472-9107-9044-B9BB972C1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40" name="Picture 224">
          <a:extLst>
            <a:ext uri="{FF2B5EF4-FFF2-40B4-BE49-F238E27FC236}">
              <a16:creationId xmlns:a16="http://schemas.microsoft.com/office/drawing/2014/main" id="{E86AE312-4BE9-4F2C-2B81-D14598CC4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41" name="Picture 225">
          <a:extLst>
            <a:ext uri="{FF2B5EF4-FFF2-40B4-BE49-F238E27FC236}">
              <a16:creationId xmlns:a16="http://schemas.microsoft.com/office/drawing/2014/main" id="{816EFE58-C9B5-B51E-7B1E-4EC1CC7D6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42" name="Picture 226">
          <a:extLst>
            <a:ext uri="{FF2B5EF4-FFF2-40B4-BE49-F238E27FC236}">
              <a16:creationId xmlns:a16="http://schemas.microsoft.com/office/drawing/2014/main" id="{B569D5EB-1DC8-7293-40E2-F588D0EA4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43" name="Picture 227">
          <a:extLst>
            <a:ext uri="{FF2B5EF4-FFF2-40B4-BE49-F238E27FC236}">
              <a16:creationId xmlns:a16="http://schemas.microsoft.com/office/drawing/2014/main" id="{99C6FE19-C78B-29E2-3019-858B9E2C9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44" name="Picture 228">
          <a:extLst>
            <a:ext uri="{FF2B5EF4-FFF2-40B4-BE49-F238E27FC236}">
              <a16:creationId xmlns:a16="http://schemas.microsoft.com/office/drawing/2014/main" id="{BF3331D8-5246-E3A1-61C6-6F1192C3D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45" name="Picture 229">
          <a:extLst>
            <a:ext uri="{FF2B5EF4-FFF2-40B4-BE49-F238E27FC236}">
              <a16:creationId xmlns:a16="http://schemas.microsoft.com/office/drawing/2014/main" id="{24451ACD-2593-D4D8-13E7-02CCBC3E8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46" name="Picture 230">
          <a:extLst>
            <a:ext uri="{FF2B5EF4-FFF2-40B4-BE49-F238E27FC236}">
              <a16:creationId xmlns:a16="http://schemas.microsoft.com/office/drawing/2014/main" id="{25F65A15-62DE-E6ED-0432-1002F2F81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47" name="Picture 231">
          <a:extLst>
            <a:ext uri="{FF2B5EF4-FFF2-40B4-BE49-F238E27FC236}">
              <a16:creationId xmlns:a16="http://schemas.microsoft.com/office/drawing/2014/main" id="{728A8088-A217-1585-3879-D65CE2A64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48" name="Picture 232">
          <a:extLst>
            <a:ext uri="{FF2B5EF4-FFF2-40B4-BE49-F238E27FC236}">
              <a16:creationId xmlns:a16="http://schemas.microsoft.com/office/drawing/2014/main" id="{A95B0EFA-2B18-F0BF-DD08-CB58151CA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49" name="Picture 233">
          <a:extLst>
            <a:ext uri="{FF2B5EF4-FFF2-40B4-BE49-F238E27FC236}">
              <a16:creationId xmlns:a16="http://schemas.microsoft.com/office/drawing/2014/main" id="{BE24B334-3D77-05BB-9B94-F3E65D986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50" name="Picture 234">
          <a:extLst>
            <a:ext uri="{FF2B5EF4-FFF2-40B4-BE49-F238E27FC236}">
              <a16:creationId xmlns:a16="http://schemas.microsoft.com/office/drawing/2014/main" id="{3914BE97-8A66-ED5F-D8E1-07F936701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51" name="Picture 235">
          <a:extLst>
            <a:ext uri="{FF2B5EF4-FFF2-40B4-BE49-F238E27FC236}">
              <a16:creationId xmlns:a16="http://schemas.microsoft.com/office/drawing/2014/main" id="{26146B1D-68C6-3641-D627-C422B69DA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52" name="Picture 236">
          <a:extLst>
            <a:ext uri="{FF2B5EF4-FFF2-40B4-BE49-F238E27FC236}">
              <a16:creationId xmlns:a16="http://schemas.microsoft.com/office/drawing/2014/main" id="{AFD69D3F-5F93-DB89-73F1-CA92EB602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53" name="Picture 237">
          <a:extLst>
            <a:ext uri="{FF2B5EF4-FFF2-40B4-BE49-F238E27FC236}">
              <a16:creationId xmlns:a16="http://schemas.microsoft.com/office/drawing/2014/main" id="{C4A331B2-22C4-B691-BE20-FE1829C91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54" name="Picture 238">
          <a:extLst>
            <a:ext uri="{FF2B5EF4-FFF2-40B4-BE49-F238E27FC236}">
              <a16:creationId xmlns:a16="http://schemas.microsoft.com/office/drawing/2014/main" id="{2BC4FD55-B039-1E52-AE28-51C8D3BDE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55" name="Picture 239">
          <a:extLst>
            <a:ext uri="{FF2B5EF4-FFF2-40B4-BE49-F238E27FC236}">
              <a16:creationId xmlns:a16="http://schemas.microsoft.com/office/drawing/2014/main" id="{79D30C48-7652-B24B-21D4-318F2DACB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56" name="Picture 240">
          <a:extLst>
            <a:ext uri="{FF2B5EF4-FFF2-40B4-BE49-F238E27FC236}">
              <a16:creationId xmlns:a16="http://schemas.microsoft.com/office/drawing/2014/main" id="{36728BC8-0822-1114-D78B-2C8BCA9C0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57" name="Picture 241">
          <a:extLst>
            <a:ext uri="{FF2B5EF4-FFF2-40B4-BE49-F238E27FC236}">
              <a16:creationId xmlns:a16="http://schemas.microsoft.com/office/drawing/2014/main" id="{104224B6-A878-BB1A-4235-BB186DF88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58" name="Picture 242">
          <a:extLst>
            <a:ext uri="{FF2B5EF4-FFF2-40B4-BE49-F238E27FC236}">
              <a16:creationId xmlns:a16="http://schemas.microsoft.com/office/drawing/2014/main" id="{AEC373E6-2ED1-85DC-0A84-DC75414F7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59" name="Picture 243">
          <a:extLst>
            <a:ext uri="{FF2B5EF4-FFF2-40B4-BE49-F238E27FC236}">
              <a16:creationId xmlns:a16="http://schemas.microsoft.com/office/drawing/2014/main" id="{D0C826D9-3012-7FFB-32A7-5E8359D60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60" name="Picture 244">
          <a:extLst>
            <a:ext uri="{FF2B5EF4-FFF2-40B4-BE49-F238E27FC236}">
              <a16:creationId xmlns:a16="http://schemas.microsoft.com/office/drawing/2014/main" id="{820F93B5-CDA0-2B42-514B-DB1A6E21F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61" name="Picture 245">
          <a:extLst>
            <a:ext uri="{FF2B5EF4-FFF2-40B4-BE49-F238E27FC236}">
              <a16:creationId xmlns:a16="http://schemas.microsoft.com/office/drawing/2014/main" id="{71221972-A1D4-F9A7-B66A-594E92E88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62" name="Picture 246">
          <a:extLst>
            <a:ext uri="{FF2B5EF4-FFF2-40B4-BE49-F238E27FC236}">
              <a16:creationId xmlns:a16="http://schemas.microsoft.com/office/drawing/2014/main" id="{2EF9DAC5-00B7-F66E-9FF2-7E7A190FB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63" name="Picture 247">
          <a:extLst>
            <a:ext uri="{FF2B5EF4-FFF2-40B4-BE49-F238E27FC236}">
              <a16:creationId xmlns:a16="http://schemas.microsoft.com/office/drawing/2014/main" id="{CAF37B54-A916-D2CC-B652-42CA68011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64" name="Picture 248">
          <a:extLst>
            <a:ext uri="{FF2B5EF4-FFF2-40B4-BE49-F238E27FC236}">
              <a16:creationId xmlns:a16="http://schemas.microsoft.com/office/drawing/2014/main" id="{8CE4BE4F-3DAB-A8BB-6C6D-8B98DDC03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65" name="Picture 249">
          <a:extLst>
            <a:ext uri="{FF2B5EF4-FFF2-40B4-BE49-F238E27FC236}">
              <a16:creationId xmlns:a16="http://schemas.microsoft.com/office/drawing/2014/main" id="{977C4C81-A804-4D48-65B3-CAF0E60A9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66" name="Picture 250">
          <a:extLst>
            <a:ext uri="{FF2B5EF4-FFF2-40B4-BE49-F238E27FC236}">
              <a16:creationId xmlns:a16="http://schemas.microsoft.com/office/drawing/2014/main" id="{0C7B5DF7-E27B-07BF-FB02-7D4381425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67" name="Picture 251">
          <a:extLst>
            <a:ext uri="{FF2B5EF4-FFF2-40B4-BE49-F238E27FC236}">
              <a16:creationId xmlns:a16="http://schemas.microsoft.com/office/drawing/2014/main" id="{88307E0D-B6E5-E230-1DD0-BC5324D4D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68" name="Picture 252">
          <a:extLst>
            <a:ext uri="{FF2B5EF4-FFF2-40B4-BE49-F238E27FC236}">
              <a16:creationId xmlns:a16="http://schemas.microsoft.com/office/drawing/2014/main" id="{8CDDE3E2-75C5-FBFD-1E37-8509C1B54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69" name="Picture 253">
          <a:extLst>
            <a:ext uri="{FF2B5EF4-FFF2-40B4-BE49-F238E27FC236}">
              <a16:creationId xmlns:a16="http://schemas.microsoft.com/office/drawing/2014/main" id="{A50C8846-8284-E1DD-D33C-05CDE2DFE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70" name="Picture 254">
          <a:extLst>
            <a:ext uri="{FF2B5EF4-FFF2-40B4-BE49-F238E27FC236}">
              <a16:creationId xmlns:a16="http://schemas.microsoft.com/office/drawing/2014/main" id="{07089442-32F7-8A80-BBCF-731E4B5B3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71" name="Picture 255">
          <a:extLst>
            <a:ext uri="{FF2B5EF4-FFF2-40B4-BE49-F238E27FC236}">
              <a16:creationId xmlns:a16="http://schemas.microsoft.com/office/drawing/2014/main" id="{DF1CD8B1-B23C-42D3-E492-D9B1633EC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72" name="Picture 256">
          <a:extLst>
            <a:ext uri="{FF2B5EF4-FFF2-40B4-BE49-F238E27FC236}">
              <a16:creationId xmlns:a16="http://schemas.microsoft.com/office/drawing/2014/main" id="{15016353-6F06-2B00-97DC-07F972F9E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73" name="Picture 257">
          <a:extLst>
            <a:ext uri="{FF2B5EF4-FFF2-40B4-BE49-F238E27FC236}">
              <a16:creationId xmlns:a16="http://schemas.microsoft.com/office/drawing/2014/main" id="{FDFAF2CD-46D2-774D-2C63-6D2CE0D74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74" name="Picture 258">
          <a:extLst>
            <a:ext uri="{FF2B5EF4-FFF2-40B4-BE49-F238E27FC236}">
              <a16:creationId xmlns:a16="http://schemas.microsoft.com/office/drawing/2014/main" id="{E49B8523-2D73-6D53-AF1F-723524DF2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75" name="Picture 259">
          <a:extLst>
            <a:ext uri="{FF2B5EF4-FFF2-40B4-BE49-F238E27FC236}">
              <a16:creationId xmlns:a16="http://schemas.microsoft.com/office/drawing/2014/main" id="{F2F81C18-77F3-2014-3EDC-D2FF6896B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76" name="Picture 260">
          <a:extLst>
            <a:ext uri="{FF2B5EF4-FFF2-40B4-BE49-F238E27FC236}">
              <a16:creationId xmlns:a16="http://schemas.microsoft.com/office/drawing/2014/main" id="{3BB3E537-63E3-907E-3C07-62B517F20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77" name="Picture 261">
          <a:extLst>
            <a:ext uri="{FF2B5EF4-FFF2-40B4-BE49-F238E27FC236}">
              <a16:creationId xmlns:a16="http://schemas.microsoft.com/office/drawing/2014/main" id="{4BC4E561-A315-8771-5C29-2F912F048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78" name="Picture 262">
          <a:extLst>
            <a:ext uri="{FF2B5EF4-FFF2-40B4-BE49-F238E27FC236}">
              <a16:creationId xmlns:a16="http://schemas.microsoft.com/office/drawing/2014/main" id="{43A5540E-60C2-7874-6C85-3DEF335CD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79" name="Picture 263">
          <a:extLst>
            <a:ext uri="{FF2B5EF4-FFF2-40B4-BE49-F238E27FC236}">
              <a16:creationId xmlns:a16="http://schemas.microsoft.com/office/drawing/2014/main" id="{7219B3EA-4AD3-E0F6-B515-08A38DCA8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80" name="Picture 264">
          <a:extLst>
            <a:ext uri="{FF2B5EF4-FFF2-40B4-BE49-F238E27FC236}">
              <a16:creationId xmlns:a16="http://schemas.microsoft.com/office/drawing/2014/main" id="{1D429E4E-FB5A-4CA4-7EBF-654A95D1B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81" name="Picture 265">
          <a:extLst>
            <a:ext uri="{FF2B5EF4-FFF2-40B4-BE49-F238E27FC236}">
              <a16:creationId xmlns:a16="http://schemas.microsoft.com/office/drawing/2014/main" id="{283A07B4-AAD0-378B-4806-8FDFF6396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82" name="Picture 266">
          <a:extLst>
            <a:ext uri="{FF2B5EF4-FFF2-40B4-BE49-F238E27FC236}">
              <a16:creationId xmlns:a16="http://schemas.microsoft.com/office/drawing/2014/main" id="{165EAC1D-B4C7-E233-13F1-F298FB1D2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83" name="Picture 267">
          <a:extLst>
            <a:ext uri="{FF2B5EF4-FFF2-40B4-BE49-F238E27FC236}">
              <a16:creationId xmlns:a16="http://schemas.microsoft.com/office/drawing/2014/main" id="{268F1D4A-CDBB-CF8A-8F5A-93CC8EBE2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84" name="Picture 268">
          <a:extLst>
            <a:ext uri="{FF2B5EF4-FFF2-40B4-BE49-F238E27FC236}">
              <a16:creationId xmlns:a16="http://schemas.microsoft.com/office/drawing/2014/main" id="{439AD27C-D2D1-B461-A46E-F14B36374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85" name="Picture 269">
          <a:extLst>
            <a:ext uri="{FF2B5EF4-FFF2-40B4-BE49-F238E27FC236}">
              <a16:creationId xmlns:a16="http://schemas.microsoft.com/office/drawing/2014/main" id="{132CEFA8-4C91-E7CD-725C-AC28823B7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86" name="Picture 270">
          <a:extLst>
            <a:ext uri="{FF2B5EF4-FFF2-40B4-BE49-F238E27FC236}">
              <a16:creationId xmlns:a16="http://schemas.microsoft.com/office/drawing/2014/main" id="{7B69215A-D512-E614-578D-BB65D6973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87" name="Picture 271">
          <a:extLst>
            <a:ext uri="{FF2B5EF4-FFF2-40B4-BE49-F238E27FC236}">
              <a16:creationId xmlns:a16="http://schemas.microsoft.com/office/drawing/2014/main" id="{B21827FE-DE41-D8EA-4CF8-2D789AFB4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88" name="Picture 272">
          <a:extLst>
            <a:ext uri="{FF2B5EF4-FFF2-40B4-BE49-F238E27FC236}">
              <a16:creationId xmlns:a16="http://schemas.microsoft.com/office/drawing/2014/main" id="{BED4F0CE-379F-B5F5-7AF3-4E14C071E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89" name="Picture 273">
          <a:extLst>
            <a:ext uri="{FF2B5EF4-FFF2-40B4-BE49-F238E27FC236}">
              <a16:creationId xmlns:a16="http://schemas.microsoft.com/office/drawing/2014/main" id="{BF47C71E-1E77-E7F2-C665-3B73BCD91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90" name="Picture 274">
          <a:extLst>
            <a:ext uri="{FF2B5EF4-FFF2-40B4-BE49-F238E27FC236}">
              <a16:creationId xmlns:a16="http://schemas.microsoft.com/office/drawing/2014/main" id="{8B2F042D-780B-B23A-4D6E-02D9AABC9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91" name="Picture 275">
          <a:extLst>
            <a:ext uri="{FF2B5EF4-FFF2-40B4-BE49-F238E27FC236}">
              <a16:creationId xmlns:a16="http://schemas.microsoft.com/office/drawing/2014/main" id="{B8F5CA9B-30A9-B4B6-9594-076A41D2B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92" name="Picture 276">
          <a:extLst>
            <a:ext uri="{FF2B5EF4-FFF2-40B4-BE49-F238E27FC236}">
              <a16:creationId xmlns:a16="http://schemas.microsoft.com/office/drawing/2014/main" id="{554C68EE-E56D-899C-33F6-E9FB4FDC9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93" name="Picture 277">
          <a:extLst>
            <a:ext uri="{FF2B5EF4-FFF2-40B4-BE49-F238E27FC236}">
              <a16:creationId xmlns:a16="http://schemas.microsoft.com/office/drawing/2014/main" id="{49C8BD69-A75B-A49E-B142-13F7BDAD1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94" name="Picture 278">
          <a:extLst>
            <a:ext uri="{FF2B5EF4-FFF2-40B4-BE49-F238E27FC236}">
              <a16:creationId xmlns:a16="http://schemas.microsoft.com/office/drawing/2014/main" id="{40FF9906-952A-DE6D-405E-D9613474C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95" name="Picture 279">
          <a:extLst>
            <a:ext uri="{FF2B5EF4-FFF2-40B4-BE49-F238E27FC236}">
              <a16:creationId xmlns:a16="http://schemas.microsoft.com/office/drawing/2014/main" id="{06CD7ADD-0768-BC8F-793E-E60D16017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96" name="Picture 280">
          <a:extLst>
            <a:ext uri="{FF2B5EF4-FFF2-40B4-BE49-F238E27FC236}">
              <a16:creationId xmlns:a16="http://schemas.microsoft.com/office/drawing/2014/main" id="{87C1C76A-EA28-8A5B-C22A-FAD502130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097" name="Picture 281">
          <a:extLst>
            <a:ext uri="{FF2B5EF4-FFF2-40B4-BE49-F238E27FC236}">
              <a16:creationId xmlns:a16="http://schemas.microsoft.com/office/drawing/2014/main" id="{6687F097-A332-2C59-D1BB-4C3179BDD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98" name="Picture 282">
          <a:extLst>
            <a:ext uri="{FF2B5EF4-FFF2-40B4-BE49-F238E27FC236}">
              <a16:creationId xmlns:a16="http://schemas.microsoft.com/office/drawing/2014/main" id="{A16DDFD1-811D-F614-C3DE-0DD6A5288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099" name="Picture 283">
          <a:extLst>
            <a:ext uri="{FF2B5EF4-FFF2-40B4-BE49-F238E27FC236}">
              <a16:creationId xmlns:a16="http://schemas.microsoft.com/office/drawing/2014/main" id="{740499F6-369A-C5CC-5DF8-4BA652B7F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00" name="Picture 284">
          <a:extLst>
            <a:ext uri="{FF2B5EF4-FFF2-40B4-BE49-F238E27FC236}">
              <a16:creationId xmlns:a16="http://schemas.microsoft.com/office/drawing/2014/main" id="{47612AF8-521F-59C2-F1F3-EEC662CB3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01" name="Picture 285">
          <a:extLst>
            <a:ext uri="{FF2B5EF4-FFF2-40B4-BE49-F238E27FC236}">
              <a16:creationId xmlns:a16="http://schemas.microsoft.com/office/drawing/2014/main" id="{B9608890-4971-1FD4-641B-991B90B31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02" name="Picture 286">
          <a:extLst>
            <a:ext uri="{FF2B5EF4-FFF2-40B4-BE49-F238E27FC236}">
              <a16:creationId xmlns:a16="http://schemas.microsoft.com/office/drawing/2014/main" id="{1D3F725C-D808-25C0-4253-980A61A39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03" name="Picture 287">
          <a:extLst>
            <a:ext uri="{FF2B5EF4-FFF2-40B4-BE49-F238E27FC236}">
              <a16:creationId xmlns:a16="http://schemas.microsoft.com/office/drawing/2014/main" id="{063EEF52-7C2A-6A8C-FC66-3C4BC6B9E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04" name="Picture 288">
          <a:extLst>
            <a:ext uri="{FF2B5EF4-FFF2-40B4-BE49-F238E27FC236}">
              <a16:creationId xmlns:a16="http://schemas.microsoft.com/office/drawing/2014/main" id="{DADECA6E-28A5-7188-15A0-30709339B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05" name="Picture 289">
          <a:extLst>
            <a:ext uri="{FF2B5EF4-FFF2-40B4-BE49-F238E27FC236}">
              <a16:creationId xmlns:a16="http://schemas.microsoft.com/office/drawing/2014/main" id="{6221D2D4-A6DC-DE5A-3B5D-518FC86DB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06" name="Picture 290">
          <a:extLst>
            <a:ext uri="{FF2B5EF4-FFF2-40B4-BE49-F238E27FC236}">
              <a16:creationId xmlns:a16="http://schemas.microsoft.com/office/drawing/2014/main" id="{F75E0093-9D1D-3482-0B31-EA46888EB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07" name="Picture 291">
          <a:extLst>
            <a:ext uri="{FF2B5EF4-FFF2-40B4-BE49-F238E27FC236}">
              <a16:creationId xmlns:a16="http://schemas.microsoft.com/office/drawing/2014/main" id="{2E10A389-5F21-4A2D-11F5-861D51F5B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08" name="Picture 292">
          <a:extLst>
            <a:ext uri="{FF2B5EF4-FFF2-40B4-BE49-F238E27FC236}">
              <a16:creationId xmlns:a16="http://schemas.microsoft.com/office/drawing/2014/main" id="{38962AEA-ABFB-D01C-9E1A-A28F0DAB2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09" name="Picture 293">
          <a:extLst>
            <a:ext uri="{FF2B5EF4-FFF2-40B4-BE49-F238E27FC236}">
              <a16:creationId xmlns:a16="http://schemas.microsoft.com/office/drawing/2014/main" id="{909AE71D-3DA6-DE58-592A-1E7148EE9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10" name="Picture 294">
          <a:extLst>
            <a:ext uri="{FF2B5EF4-FFF2-40B4-BE49-F238E27FC236}">
              <a16:creationId xmlns:a16="http://schemas.microsoft.com/office/drawing/2014/main" id="{3C0231E7-98A9-D290-891F-C952A4E98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11" name="Picture 295">
          <a:extLst>
            <a:ext uri="{FF2B5EF4-FFF2-40B4-BE49-F238E27FC236}">
              <a16:creationId xmlns:a16="http://schemas.microsoft.com/office/drawing/2014/main" id="{7F3BCA37-DD0D-76F7-38BE-8DFD93B5A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12" name="Picture 296">
          <a:extLst>
            <a:ext uri="{FF2B5EF4-FFF2-40B4-BE49-F238E27FC236}">
              <a16:creationId xmlns:a16="http://schemas.microsoft.com/office/drawing/2014/main" id="{2A7C184D-9CA9-F2E4-12A6-3AB2F09E2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13" name="Picture 297">
          <a:extLst>
            <a:ext uri="{FF2B5EF4-FFF2-40B4-BE49-F238E27FC236}">
              <a16:creationId xmlns:a16="http://schemas.microsoft.com/office/drawing/2014/main" id="{48D0E5DC-9BF5-4376-6CA3-B672A617E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14" name="Picture 298">
          <a:extLst>
            <a:ext uri="{FF2B5EF4-FFF2-40B4-BE49-F238E27FC236}">
              <a16:creationId xmlns:a16="http://schemas.microsoft.com/office/drawing/2014/main" id="{60569CC7-1F90-25BA-4CA6-4F7B04876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15" name="Picture 299">
          <a:extLst>
            <a:ext uri="{FF2B5EF4-FFF2-40B4-BE49-F238E27FC236}">
              <a16:creationId xmlns:a16="http://schemas.microsoft.com/office/drawing/2014/main" id="{1EED8B22-BB58-C017-5346-82469B9A5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16" name="Picture 300">
          <a:extLst>
            <a:ext uri="{FF2B5EF4-FFF2-40B4-BE49-F238E27FC236}">
              <a16:creationId xmlns:a16="http://schemas.microsoft.com/office/drawing/2014/main" id="{958D0E11-4D4C-6F80-96D2-8837067F0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17" name="Picture 301">
          <a:extLst>
            <a:ext uri="{FF2B5EF4-FFF2-40B4-BE49-F238E27FC236}">
              <a16:creationId xmlns:a16="http://schemas.microsoft.com/office/drawing/2014/main" id="{D1AB5044-3B70-C360-811F-A5E1028F7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18" name="Picture 302">
          <a:extLst>
            <a:ext uri="{FF2B5EF4-FFF2-40B4-BE49-F238E27FC236}">
              <a16:creationId xmlns:a16="http://schemas.microsoft.com/office/drawing/2014/main" id="{81DCD45E-2DB9-89B0-E27E-A83F4B08A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19" name="Picture 303">
          <a:extLst>
            <a:ext uri="{FF2B5EF4-FFF2-40B4-BE49-F238E27FC236}">
              <a16:creationId xmlns:a16="http://schemas.microsoft.com/office/drawing/2014/main" id="{E2BD02E7-EF9B-5728-714D-8B3B9EB6B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20" name="Picture 304">
          <a:extLst>
            <a:ext uri="{FF2B5EF4-FFF2-40B4-BE49-F238E27FC236}">
              <a16:creationId xmlns:a16="http://schemas.microsoft.com/office/drawing/2014/main" id="{98893DE5-B1FD-434F-253F-5369934D7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21" name="Picture 305">
          <a:extLst>
            <a:ext uri="{FF2B5EF4-FFF2-40B4-BE49-F238E27FC236}">
              <a16:creationId xmlns:a16="http://schemas.microsoft.com/office/drawing/2014/main" id="{009631DE-CEDB-EAF2-AB95-9E2F4D247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22" name="Picture 306">
          <a:extLst>
            <a:ext uri="{FF2B5EF4-FFF2-40B4-BE49-F238E27FC236}">
              <a16:creationId xmlns:a16="http://schemas.microsoft.com/office/drawing/2014/main" id="{D1E76736-7B55-554C-F980-1D7ECD442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23" name="Picture 307">
          <a:extLst>
            <a:ext uri="{FF2B5EF4-FFF2-40B4-BE49-F238E27FC236}">
              <a16:creationId xmlns:a16="http://schemas.microsoft.com/office/drawing/2014/main" id="{55A4AB15-E0BF-2AB9-8DD3-A697A9E8D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24" name="Picture 308">
          <a:extLst>
            <a:ext uri="{FF2B5EF4-FFF2-40B4-BE49-F238E27FC236}">
              <a16:creationId xmlns:a16="http://schemas.microsoft.com/office/drawing/2014/main" id="{853B6572-A497-E0A3-9396-99077C14D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25" name="Picture 309">
          <a:extLst>
            <a:ext uri="{FF2B5EF4-FFF2-40B4-BE49-F238E27FC236}">
              <a16:creationId xmlns:a16="http://schemas.microsoft.com/office/drawing/2014/main" id="{BA2FB920-9759-0202-B916-A4DA81EF7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26" name="Picture 310">
          <a:extLst>
            <a:ext uri="{FF2B5EF4-FFF2-40B4-BE49-F238E27FC236}">
              <a16:creationId xmlns:a16="http://schemas.microsoft.com/office/drawing/2014/main" id="{24BB4131-3D34-5E20-32F2-AF58FA06F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27" name="Picture 311">
          <a:extLst>
            <a:ext uri="{FF2B5EF4-FFF2-40B4-BE49-F238E27FC236}">
              <a16:creationId xmlns:a16="http://schemas.microsoft.com/office/drawing/2014/main" id="{32CADFC5-00DB-2BB3-BD15-3BFD8E32F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28" name="Picture 312">
          <a:extLst>
            <a:ext uri="{FF2B5EF4-FFF2-40B4-BE49-F238E27FC236}">
              <a16:creationId xmlns:a16="http://schemas.microsoft.com/office/drawing/2014/main" id="{1CFF5E7E-A195-B096-4D1D-682831AA2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29" name="Picture 313">
          <a:extLst>
            <a:ext uri="{FF2B5EF4-FFF2-40B4-BE49-F238E27FC236}">
              <a16:creationId xmlns:a16="http://schemas.microsoft.com/office/drawing/2014/main" id="{EC3BE6CB-6648-DF5E-0511-0F856D576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30" name="Picture 314">
          <a:extLst>
            <a:ext uri="{FF2B5EF4-FFF2-40B4-BE49-F238E27FC236}">
              <a16:creationId xmlns:a16="http://schemas.microsoft.com/office/drawing/2014/main" id="{1D5466CE-2DD8-E18E-D0F3-CB27C4678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31" name="Picture 315">
          <a:extLst>
            <a:ext uri="{FF2B5EF4-FFF2-40B4-BE49-F238E27FC236}">
              <a16:creationId xmlns:a16="http://schemas.microsoft.com/office/drawing/2014/main" id="{E9653B09-2869-5DAC-1D8C-1669BDF78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32" name="Picture 316">
          <a:extLst>
            <a:ext uri="{FF2B5EF4-FFF2-40B4-BE49-F238E27FC236}">
              <a16:creationId xmlns:a16="http://schemas.microsoft.com/office/drawing/2014/main" id="{0E3D9707-0B7F-48C0-8C4C-CD336680B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33" name="Picture 317">
          <a:extLst>
            <a:ext uri="{FF2B5EF4-FFF2-40B4-BE49-F238E27FC236}">
              <a16:creationId xmlns:a16="http://schemas.microsoft.com/office/drawing/2014/main" id="{1E64A9FA-43C0-3E54-D237-20204D4DD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34" name="Picture 318">
          <a:extLst>
            <a:ext uri="{FF2B5EF4-FFF2-40B4-BE49-F238E27FC236}">
              <a16:creationId xmlns:a16="http://schemas.microsoft.com/office/drawing/2014/main" id="{B4C65C02-DF84-3102-89D3-144E12AA4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35" name="Picture 319">
          <a:extLst>
            <a:ext uri="{FF2B5EF4-FFF2-40B4-BE49-F238E27FC236}">
              <a16:creationId xmlns:a16="http://schemas.microsoft.com/office/drawing/2014/main" id="{36F159ED-B2D2-FA57-3EEE-E63C40B19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36" name="Picture 320">
          <a:extLst>
            <a:ext uri="{FF2B5EF4-FFF2-40B4-BE49-F238E27FC236}">
              <a16:creationId xmlns:a16="http://schemas.microsoft.com/office/drawing/2014/main" id="{A3871922-044E-5C78-4765-87B23F6D3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37" name="Picture 321">
          <a:extLst>
            <a:ext uri="{FF2B5EF4-FFF2-40B4-BE49-F238E27FC236}">
              <a16:creationId xmlns:a16="http://schemas.microsoft.com/office/drawing/2014/main" id="{18705DA9-9535-75C1-B32E-FE31BDC1A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38" name="Picture 322">
          <a:extLst>
            <a:ext uri="{FF2B5EF4-FFF2-40B4-BE49-F238E27FC236}">
              <a16:creationId xmlns:a16="http://schemas.microsoft.com/office/drawing/2014/main" id="{F9BF3BA6-E8D6-2667-752E-0EE2D7985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39" name="Picture 323">
          <a:extLst>
            <a:ext uri="{FF2B5EF4-FFF2-40B4-BE49-F238E27FC236}">
              <a16:creationId xmlns:a16="http://schemas.microsoft.com/office/drawing/2014/main" id="{0932AFBD-AAEF-2D1F-414F-26846AB92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40" name="Picture 324">
          <a:extLst>
            <a:ext uri="{FF2B5EF4-FFF2-40B4-BE49-F238E27FC236}">
              <a16:creationId xmlns:a16="http://schemas.microsoft.com/office/drawing/2014/main" id="{8A9E49D8-82DC-7A89-B02F-C8ED25FED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41" name="Picture 325">
          <a:extLst>
            <a:ext uri="{FF2B5EF4-FFF2-40B4-BE49-F238E27FC236}">
              <a16:creationId xmlns:a16="http://schemas.microsoft.com/office/drawing/2014/main" id="{3BA8A6B1-E358-B1B3-038D-A86494317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42" name="Picture 326">
          <a:extLst>
            <a:ext uri="{FF2B5EF4-FFF2-40B4-BE49-F238E27FC236}">
              <a16:creationId xmlns:a16="http://schemas.microsoft.com/office/drawing/2014/main" id="{99BED426-271D-58B7-E65F-D3BE0E9EA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43" name="Picture 327">
          <a:extLst>
            <a:ext uri="{FF2B5EF4-FFF2-40B4-BE49-F238E27FC236}">
              <a16:creationId xmlns:a16="http://schemas.microsoft.com/office/drawing/2014/main" id="{29BE6060-4DE5-56AB-ABDA-53BA10E4D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44" name="Picture 328">
          <a:extLst>
            <a:ext uri="{FF2B5EF4-FFF2-40B4-BE49-F238E27FC236}">
              <a16:creationId xmlns:a16="http://schemas.microsoft.com/office/drawing/2014/main" id="{CD65B8C8-EABD-9CEE-DB00-645A43466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45" name="Picture 329">
          <a:extLst>
            <a:ext uri="{FF2B5EF4-FFF2-40B4-BE49-F238E27FC236}">
              <a16:creationId xmlns:a16="http://schemas.microsoft.com/office/drawing/2014/main" id="{A61453C9-9FA6-CB6F-A4DD-107395EC3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46" name="Picture 330">
          <a:extLst>
            <a:ext uri="{FF2B5EF4-FFF2-40B4-BE49-F238E27FC236}">
              <a16:creationId xmlns:a16="http://schemas.microsoft.com/office/drawing/2014/main" id="{D063F1C2-3BBD-7288-0A66-CF015CD61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47" name="Picture 331">
          <a:extLst>
            <a:ext uri="{FF2B5EF4-FFF2-40B4-BE49-F238E27FC236}">
              <a16:creationId xmlns:a16="http://schemas.microsoft.com/office/drawing/2014/main" id="{F6A0212C-B09A-35EB-F2F5-0CFE1D573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48" name="Picture 332">
          <a:extLst>
            <a:ext uri="{FF2B5EF4-FFF2-40B4-BE49-F238E27FC236}">
              <a16:creationId xmlns:a16="http://schemas.microsoft.com/office/drawing/2014/main" id="{F685A429-1CEC-D992-8261-F9D59A983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49" name="Picture 333">
          <a:extLst>
            <a:ext uri="{FF2B5EF4-FFF2-40B4-BE49-F238E27FC236}">
              <a16:creationId xmlns:a16="http://schemas.microsoft.com/office/drawing/2014/main" id="{04FC237F-0E4F-A25A-FC4D-8B6111EB4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50" name="Picture 334">
          <a:extLst>
            <a:ext uri="{FF2B5EF4-FFF2-40B4-BE49-F238E27FC236}">
              <a16:creationId xmlns:a16="http://schemas.microsoft.com/office/drawing/2014/main" id="{8736B86E-45BB-7481-852A-5A42B703F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51" name="Picture 335">
          <a:extLst>
            <a:ext uri="{FF2B5EF4-FFF2-40B4-BE49-F238E27FC236}">
              <a16:creationId xmlns:a16="http://schemas.microsoft.com/office/drawing/2014/main" id="{4DDA7965-4A8B-3BD9-1186-8AD8FEE0C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52" name="Picture 336">
          <a:extLst>
            <a:ext uri="{FF2B5EF4-FFF2-40B4-BE49-F238E27FC236}">
              <a16:creationId xmlns:a16="http://schemas.microsoft.com/office/drawing/2014/main" id="{7D66FF74-1A80-E9EA-8AA0-E9728A7E7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53" name="Picture 337">
          <a:extLst>
            <a:ext uri="{FF2B5EF4-FFF2-40B4-BE49-F238E27FC236}">
              <a16:creationId xmlns:a16="http://schemas.microsoft.com/office/drawing/2014/main" id="{A313838A-AB6A-857E-BF27-971FC17C4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54" name="Picture 338">
          <a:extLst>
            <a:ext uri="{FF2B5EF4-FFF2-40B4-BE49-F238E27FC236}">
              <a16:creationId xmlns:a16="http://schemas.microsoft.com/office/drawing/2014/main" id="{0DDB2162-63B9-17A5-B844-CBC7A502A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55" name="Picture 339">
          <a:extLst>
            <a:ext uri="{FF2B5EF4-FFF2-40B4-BE49-F238E27FC236}">
              <a16:creationId xmlns:a16="http://schemas.microsoft.com/office/drawing/2014/main" id="{4A0BFB4B-FD68-FDA9-F987-C22F4B937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56" name="Picture 340">
          <a:extLst>
            <a:ext uri="{FF2B5EF4-FFF2-40B4-BE49-F238E27FC236}">
              <a16:creationId xmlns:a16="http://schemas.microsoft.com/office/drawing/2014/main" id="{7650C700-0655-5B8E-6843-7A6827C7C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57" name="Picture 341">
          <a:extLst>
            <a:ext uri="{FF2B5EF4-FFF2-40B4-BE49-F238E27FC236}">
              <a16:creationId xmlns:a16="http://schemas.microsoft.com/office/drawing/2014/main" id="{E2051D61-396C-3FD3-75D3-763EEBC7F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58" name="Picture 342">
          <a:extLst>
            <a:ext uri="{FF2B5EF4-FFF2-40B4-BE49-F238E27FC236}">
              <a16:creationId xmlns:a16="http://schemas.microsoft.com/office/drawing/2014/main" id="{A8D0EE13-71C0-4B62-3D94-D36FB1907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59" name="Picture 343">
          <a:extLst>
            <a:ext uri="{FF2B5EF4-FFF2-40B4-BE49-F238E27FC236}">
              <a16:creationId xmlns:a16="http://schemas.microsoft.com/office/drawing/2014/main" id="{A78F3F2B-8C1A-020E-05AD-94A39490D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60" name="Picture 344">
          <a:extLst>
            <a:ext uri="{FF2B5EF4-FFF2-40B4-BE49-F238E27FC236}">
              <a16:creationId xmlns:a16="http://schemas.microsoft.com/office/drawing/2014/main" id="{3D1A435F-75AD-561E-06B7-AEA31539E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61" name="Picture 345">
          <a:extLst>
            <a:ext uri="{FF2B5EF4-FFF2-40B4-BE49-F238E27FC236}">
              <a16:creationId xmlns:a16="http://schemas.microsoft.com/office/drawing/2014/main" id="{AF4CAFA4-5CEE-52E8-0B00-FE4EDAB6B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62" name="Picture 346">
          <a:extLst>
            <a:ext uri="{FF2B5EF4-FFF2-40B4-BE49-F238E27FC236}">
              <a16:creationId xmlns:a16="http://schemas.microsoft.com/office/drawing/2014/main" id="{0402BB4D-492F-6ADD-45CF-FD51AA5B9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63" name="Picture 347">
          <a:extLst>
            <a:ext uri="{FF2B5EF4-FFF2-40B4-BE49-F238E27FC236}">
              <a16:creationId xmlns:a16="http://schemas.microsoft.com/office/drawing/2014/main" id="{9BD33433-5DF1-FE44-D4ED-18B805E0B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64" name="Picture 348">
          <a:extLst>
            <a:ext uri="{FF2B5EF4-FFF2-40B4-BE49-F238E27FC236}">
              <a16:creationId xmlns:a16="http://schemas.microsoft.com/office/drawing/2014/main" id="{248683F3-2F40-1FA7-622D-1CBFF7435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65" name="Picture 349">
          <a:extLst>
            <a:ext uri="{FF2B5EF4-FFF2-40B4-BE49-F238E27FC236}">
              <a16:creationId xmlns:a16="http://schemas.microsoft.com/office/drawing/2014/main" id="{4830C526-DCB2-705A-BC7C-4930B7B39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66" name="Picture 350">
          <a:extLst>
            <a:ext uri="{FF2B5EF4-FFF2-40B4-BE49-F238E27FC236}">
              <a16:creationId xmlns:a16="http://schemas.microsoft.com/office/drawing/2014/main" id="{D3E2B94F-6E6F-52F2-1E22-D8BCBD994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67" name="Picture 351">
          <a:extLst>
            <a:ext uri="{FF2B5EF4-FFF2-40B4-BE49-F238E27FC236}">
              <a16:creationId xmlns:a16="http://schemas.microsoft.com/office/drawing/2014/main" id="{7CEB549F-90FB-3ACD-D5E5-1B9BB267B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68" name="Picture 352">
          <a:extLst>
            <a:ext uri="{FF2B5EF4-FFF2-40B4-BE49-F238E27FC236}">
              <a16:creationId xmlns:a16="http://schemas.microsoft.com/office/drawing/2014/main" id="{CE825054-958D-39F2-46FF-4711A5F4B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69" name="Picture 353">
          <a:extLst>
            <a:ext uri="{FF2B5EF4-FFF2-40B4-BE49-F238E27FC236}">
              <a16:creationId xmlns:a16="http://schemas.microsoft.com/office/drawing/2014/main" id="{16F049B8-0E91-9CEB-9051-2F99F0B50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70" name="Picture 354">
          <a:extLst>
            <a:ext uri="{FF2B5EF4-FFF2-40B4-BE49-F238E27FC236}">
              <a16:creationId xmlns:a16="http://schemas.microsoft.com/office/drawing/2014/main" id="{DC95434E-AA77-196E-7F6C-E6CC9AE0F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71" name="Picture 355">
          <a:extLst>
            <a:ext uri="{FF2B5EF4-FFF2-40B4-BE49-F238E27FC236}">
              <a16:creationId xmlns:a16="http://schemas.microsoft.com/office/drawing/2014/main" id="{F62CB81C-D658-3FC2-6A00-51779F3A5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72" name="Picture 356">
          <a:extLst>
            <a:ext uri="{FF2B5EF4-FFF2-40B4-BE49-F238E27FC236}">
              <a16:creationId xmlns:a16="http://schemas.microsoft.com/office/drawing/2014/main" id="{2FF04DC4-50CD-3BE9-66C4-57C46BEFC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73" name="Picture 357">
          <a:extLst>
            <a:ext uri="{FF2B5EF4-FFF2-40B4-BE49-F238E27FC236}">
              <a16:creationId xmlns:a16="http://schemas.microsoft.com/office/drawing/2014/main" id="{211531F4-B554-91E4-E5D3-FCD4E72C0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74" name="Picture 358">
          <a:extLst>
            <a:ext uri="{FF2B5EF4-FFF2-40B4-BE49-F238E27FC236}">
              <a16:creationId xmlns:a16="http://schemas.microsoft.com/office/drawing/2014/main" id="{CE05A233-993A-DBEC-3BAF-1803439DE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75" name="Picture 359">
          <a:extLst>
            <a:ext uri="{FF2B5EF4-FFF2-40B4-BE49-F238E27FC236}">
              <a16:creationId xmlns:a16="http://schemas.microsoft.com/office/drawing/2014/main" id="{D6D61E10-9889-D02A-EFA5-D18618CED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76" name="Picture 360">
          <a:extLst>
            <a:ext uri="{FF2B5EF4-FFF2-40B4-BE49-F238E27FC236}">
              <a16:creationId xmlns:a16="http://schemas.microsoft.com/office/drawing/2014/main" id="{D9098D65-0C8A-4AB3-9EFC-2EB6391CC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77" name="Picture 361">
          <a:extLst>
            <a:ext uri="{FF2B5EF4-FFF2-40B4-BE49-F238E27FC236}">
              <a16:creationId xmlns:a16="http://schemas.microsoft.com/office/drawing/2014/main" id="{FCCC12A8-B994-3750-3CF5-77BF89F39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78" name="Picture 362">
          <a:extLst>
            <a:ext uri="{FF2B5EF4-FFF2-40B4-BE49-F238E27FC236}">
              <a16:creationId xmlns:a16="http://schemas.microsoft.com/office/drawing/2014/main" id="{492F0B60-4431-274C-C6E3-4EFB41BE0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79" name="Picture 363">
          <a:extLst>
            <a:ext uri="{FF2B5EF4-FFF2-40B4-BE49-F238E27FC236}">
              <a16:creationId xmlns:a16="http://schemas.microsoft.com/office/drawing/2014/main" id="{BA3FBCB8-632A-267E-5B62-0EE661828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80" name="Picture 364">
          <a:extLst>
            <a:ext uri="{FF2B5EF4-FFF2-40B4-BE49-F238E27FC236}">
              <a16:creationId xmlns:a16="http://schemas.microsoft.com/office/drawing/2014/main" id="{580D9DAD-E300-F1FE-6D45-A6D9365BF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81" name="Picture 365">
          <a:extLst>
            <a:ext uri="{FF2B5EF4-FFF2-40B4-BE49-F238E27FC236}">
              <a16:creationId xmlns:a16="http://schemas.microsoft.com/office/drawing/2014/main" id="{54A6E67B-A998-40E8-5223-069AE7ED2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82" name="Picture 366">
          <a:extLst>
            <a:ext uri="{FF2B5EF4-FFF2-40B4-BE49-F238E27FC236}">
              <a16:creationId xmlns:a16="http://schemas.microsoft.com/office/drawing/2014/main" id="{27A43A4A-36A3-CC12-3276-A04B8F33E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83" name="Picture 367">
          <a:extLst>
            <a:ext uri="{FF2B5EF4-FFF2-40B4-BE49-F238E27FC236}">
              <a16:creationId xmlns:a16="http://schemas.microsoft.com/office/drawing/2014/main" id="{33568D18-8F95-7E8D-A862-B6F56D632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84" name="Picture 368">
          <a:extLst>
            <a:ext uri="{FF2B5EF4-FFF2-40B4-BE49-F238E27FC236}">
              <a16:creationId xmlns:a16="http://schemas.microsoft.com/office/drawing/2014/main" id="{962F01AA-B467-52E9-5C69-1FE40DCC1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85" name="Picture 369">
          <a:extLst>
            <a:ext uri="{FF2B5EF4-FFF2-40B4-BE49-F238E27FC236}">
              <a16:creationId xmlns:a16="http://schemas.microsoft.com/office/drawing/2014/main" id="{2AD82DA7-F595-5599-4693-28FB28AA0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86" name="Picture 370">
          <a:extLst>
            <a:ext uri="{FF2B5EF4-FFF2-40B4-BE49-F238E27FC236}">
              <a16:creationId xmlns:a16="http://schemas.microsoft.com/office/drawing/2014/main" id="{77DF7E31-52D1-FDEE-FDA8-BCBC331C8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87" name="Picture 371">
          <a:extLst>
            <a:ext uri="{FF2B5EF4-FFF2-40B4-BE49-F238E27FC236}">
              <a16:creationId xmlns:a16="http://schemas.microsoft.com/office/drawing/2014/main" id="{A24D6039-42A8-61C2-B9DA-88A03C404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88" name="Picture 372">
          <a:extLst>
            <a:ext uri="{FF2B5EF4-FFF2-40B4-BE49-F238E27FC236}">
              <a16:creationId xmlns:a16="http://schemas.microsoft.com/office/drawing/2014/main" id="{0E69F274-0400-11E4-7B4E-7076E84E7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89" name="Picture 373">
          <a:extLst>
            <a:ext uri="{FF2B5EF4-FFF2-40B4-BE49-F238E27FC236}">
              <a16:creationId xmlns:a16="http://schemas.microsoft.com/office/drawing/2014/main" id="{C9A9E846-A6C5-6D22-66EE-3D69B495B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90" name="Picture 374">
          <a:extLst>
            <a:ext uri="{FF2B5EF4-FFF2-40B4-BE49-F238E27FC236}">
              <a16:creationId xmlns:a16="http://schemas.microsoft.com/office/drawing/2014/main" id="{7BB1DEB0-BD4E-9054-26A8-28721FB28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91" name="Picture 375">
          <a:extLst>
            <a:ext uri="{FF2B5EF4-FFF2-40B4-BE49-F238E27FC236}">
              <a16:creationId xmlns:a16="http://schemas.microsoft.com/office/drawing/2014/main" id="{01E237E7-9C99-F2F8-9395-904A7EDF2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92" name="Picture 376">
          <a:extLst>
            <a:ext uri="{FF2B5EF4-FFF2-40B4-BE49-F238E27FC236}">
              <a16:creationId xmlns:a16="http://schemas.microsoft.com/office/drawing/2014/main" id="{657D9458-5091-C166-AA50-E5D639A80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193" name="Picture 377">
          <a:extLst>
            <a:ext uri="{FF2B5EF4-FFF2-40B4-BE49-F238E27FC236}">
              <a16:creationId xmlns:a16="http://schemas.microsoft.com/office/drawing/2014/main" id="{9B5B7C45-3A1E-E78F-54DE-DA699F757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94" name="Picture 378">
          <a:extLst>
            <a:ext uri="{FF2B5EF4-FFF2-40B4-BE49-F238E27FC236}">
              <a16:creationId xmlns:a16="http://schemas.microsoft.com/office/drawing/2014/main" id="{5578124B-57C3-C00B-39E7-F5D362B0F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95" name="Picture 379">
          <a:extLst>
            <a:ext uri="{FF2B5EF4-FFF2-40B4-BE49-F238E27FC236}">
              <a16:creationId xmlns:a16="http://schemas.microsoft.com/office/drawing/2014/main" id="{E41363B1-6813-3544-DBB4-D3E0982CE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96" name="Picture 380">
          <a:extLst>
            <a:ext uri="{FF2B5EF4-FFF2-40B4-BE49-F238E27FC236}">
              <a16:creationId xmlns:a16="http://schemas.microsoft.com/office/drawing/2014/main" id="{D3C6E018-4ED8-B408-7601-4000F9BD1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97" name="Picture 381">
          <a:extLst>
            <a:ext uri="{FF2B5EF4-FFF2-40B4-BE49-F238E27FC236}">
              <a16:creationId xmlns:a16="http://schemas.microsoft.com/office/drawing/2014/main" id="{5282A9FC-2253-4E23-47B4-5479968FE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98" name="Picture 382">
          <a:extLst>
            <a:ext uri="{FF2B5EF4-FFF2-40B4-BE49-F238E27FC236}">
              <a16:creationId xmlns:a16="http://schemas.microsoft.com/office/drawing/2014/main" id="{C39D2922-68B8-A261-76A0-128378477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199" name="Picture 383">
          <a:extLst>
            <a:ext uri="{FF2B5EF4-FFF2-40B4-BE49-F238E27FC236}">
              <a16:creationId xmlns:a16="http://schemas.microsoft.com/office/drawing/2014/main" id="{EBBBBA71-2BBE-F5B4-3D0D-72EE477AE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00" name="Picture 384">
          <a:extLst>
            <a:ext uri="{FF2B5EF4-FFF2-40B4-BE49-F238E27FC236}">
              <a16:creationId xmlns:a16="http://schemas.microsoft.com/office/drawing/2014/main" id="{1F746DF5-84F5-BFE7-5D19-C912BFB32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01" name="Picture 385">
          <a:extLst>
            <a:ext uri="{FF2B5EF4-FFF2-40B4-BE49-F238E27FC236}">
              <a16:creationId xmlns:a16="http://schemas.microsoft.com/office/drawing/2014/main" id="{8C2D9F65-1584-9E4F-0EDF-241468720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02" name="Picture 386">
          <a:extLst>
            <a:ext uri="{FF2B5EF4-FFF2-40B4-BE49-F238E27FC236}">
              <a16:creationId xmlns:a16="http://schemas.microsoft.com/office/drawing/2014/main" id="{6E1BA7E3-6DDF-B986-65C2-C8CF55D04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03" name="Picture 387">
          <a:extLst>
            <a:ext uri="{FF2B5EF4-FFF2-40B4-BE49-F238E27FC236}">
              <a16:creationId xmlns:a16="http://schemas.microsoft.com/office/drawing/2014/main" id="{40B993E3-E171-8E17-6B0D-9F4AA5108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04" name="Picture 388">
          <a:extLst>
            <a:ext uri="{FF2B5EF4-FFF2-40B4-BE49-F238E27FC236}">
              <a16:creationId xmlns:a16="http://schemas.microsoft.com/office/drawing/2014/main" id="{A2C3AE28-0A56-1127-9E3C-B8BD1A6BB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05" name="Picture 389">
          <a:extLst>
            <a:ext uri="{FF2B5EF4-FFF2-40B4-BE49-F238E27FC236}">
              <a16:creationId xmlns:a16="http://schemas.microsoft.com/office/drawing/2014/main" id="{5E38FAD8-3B95-F9DA-70F6-8D980D167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06" name="Picture 390">
          <a:extLst>
            <a:ext uri="{FF2B5EF4-FFF2-40B4-BE49-F238E27FC236}">
              <a16:creationId xmlns:a16="http://schemas.microsoft.com/office/drawing/2014/main" id="{694B1303-8B66-C05E-84C2-31C140461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07" name="Picture 391">
          <a:extLst>
            <a:ext uri="{FF2B5EF4-FFF2-40B4-BE49-F238E27FC236}">
              <a16:creationId xmlns:a16="http://schemas.microsoft.com/office/drawing/2014/main" id="{FB7CE686-44ED-E923-ECF3-4F1BA9B72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08" name="Picture 392">
          <a:extLst>
            <a:ext uri="{FF2B5EF4-FFF2-40B4-BE49-F238E27FC236}">
              <a16:creationId xmlns:a16="http://schemas.microsoft.com/office/drawing/2014/main" id="{9695FE22-1F36-6667-1E89-996B9D4D1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09" name="Picture 393">
          <a:extLst>
            <a:ext uri="{FF2B5EF4-FFF2-40B4-BE49-F238E27FC236}">
              <a16:creationId xmlns:a16="http://schemas.microsoft.com/office/drawing/2014/main" id="{4D8978B9-4B29-2A61-6B24-8AE5DECCC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10" name="Picture 394">
          <a:extLst>
            <a:ext uri="{FF2B5EF4-FFF2-40B4-BE49-F238E27FC236}">
              <a16:creationId xmlns:a16="http://schemas.microsoft.com/office/drawing/2014/main" id="{905DA469-091B-290F-A1FE-D70657DC4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11" name="Picture 395">
          <a:extLst>
            <a:ext uri="{FF2B5EF4-FFF2-40B4-BE49-F238E27FC236}">
              <a16:creationId xmlns:a16="http://schemas.microsoft.com/office/drawing/2014/main" id="{36C70BE8-1489-A8DF-422E-94EA31DF0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12" name="Picture 396">
          <a:extLst>
            <a:ext uri="{FF2B5EF4-FFF2-40B4-BE49-F238E27FC236}">
              <a16:creationId xmlns:a16="http://schemas.microsoft.com/office/drawing/2014/main" id="{43CD2A1E-9CC1-4267-5870-BA27959B8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13" name="Picture 397">
          <a:extLst>
            <a:ext uri="{FF2B5EF4-FFF2-40B4-BE49-F238E27FC236}">
              <a16:creationId xmlns:a16="http://schemas.microsoft.com/office/drawing/2014/main" id="{244A393C-F5F1-416D-23D7-CC0F91853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14" name="Picture 398">
          <a:extLst>
            <a:ext uri="{FF2B5EF4-FFF2-40B4-BE49-F238E27FC236}">
              <a16:creationId xmlns:a16="http://schemas.microsoft.com/office/drawing/2014/main" id="{E5FCC3D5-6889-2AAC-6BDD-5B569A00D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15" name="Picture 399">
          <a:extLst>
            <a:ext uri="{FF2B5EF4-FFF2-40B4-BE49-F238E27FC236}">
              <a16:creationId xmlns:a16="http://schemas.microsoft.com/office/drawing/2014/main" id="{D99425DA-5D19-D207-4E66-402F0A850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16" name="Picture 400">
          <a:extLst>
            <a:ext uri="{FF2B5EF4-FFF2-40B4-BE49-F238E27FC236}">
              <a16:creationId xmlns:a16="http://schemas.microsoft.com/office/drawing/2014/main" id="{1EE225D9-26B4-4271-5E79-9ECAABDCA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17" name="Picture 401">
          <a:extLst>
            <a:ext uri="{FF2B5EF4-FFF2-40B4-BE49-F238E27FC236}">
              <a16:creationId xmlns:a16="http://schemas.microsoft.com/office/drawing/2014/main" id="{C9779EBB-F57D-29EC-4BE0-C8A5C0FA5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18" name="Picture 402">
          <a:extLst>
            <a:ext uri="{FF2B5EF4-FFF2-40B4-BE49-F238E27FC236}">
              <a16:creationId xmlns:a16="http://schemas.microsoft.com/office/drawing/2014/main" id="{9EE644C4-6C55-2A4C-1310-6AD168A0C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19" name="Picture 403">
          <a:extLst>
            <a:ext uri="{FF2B5EF4-FFF2-40B4-BE49-F238E27FC236}">
              <a16:creationId xmlns:a16="http://schemas.microsoft.com/office/drawing/2014/main" id="{BA6A14B9-7846-F2F9-6478-247316E4E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20" name="Picture 404">
          <a:extLst>
            <a:ext uri="{FF2B5EF4-FFF2-40B4-BE49-F238E27FC236}">
              <a16:creationId xmlns:a16="http://schemas.microsoft.com/office/drawing/2014/main" id="{A6CA6DD6-6F4C-B70F-56E6-1FE759EEC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21" name="Picture 405">
          <a:extLst>
            <a:ext uri="{FF2B5EF4-FFF2-40B4-BE49-F238E27FC236}">
              <a16:creationId xmlns:a16="http://schemas.microsoft.com/office/drawing/2014/main" id="{81966473-C2E8-9975-3EE6-DCB6C7CDF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22" name="Picture 406">
          <a:extLst>
            <a:ext uri="{FF2B5EF4-FFF2-40B4-BE49-F238E27FC236}">
              <a16:creationId xmlns:a16="http://schemas.microsoft.com/office/drawing/2014/main" id="{2F75297D-BEEC-B618-C952-696886544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23" name="Picture 407">
          <a:extLst>
            <a:ext uri="{FF2B5EF4-FFF2-40B4-BE49-F238E27FC236}">
              <a16:creationId xmlns:a16="http://schemas.microsoft.com/office/drawing/2014/main" id="{A18D4828-B80D-CEBC-48FE-3A8423A7A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24" name="Picture 408">
          <a:extLst>
            <a:ext uri="{FF2B5EF4-FFF2-40B4-BE49-F238E27FC236}">
              <a16:creationId xmlns:a16="http://schemas.microsoft.com/office/drawing/2014/main" id="{5781CB4B-A3D2-632A-C243-9BE5F3FEF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25" name="Picture 409">
          <a:extLst>
            <a:ext uri="{FF2B5EF4-FFF2-40B4-BE49-F238E27FC236}">
              <a16:creationId xmlns:a16="http://schemas.microsoft.com/office/drawing/2014/main" id="{E721ED4D-C140-51E0-9296-F78188BF9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26" name="Picture 410">
          <a:extLst>
            <a:ext uri="{FF2B5EF4-FFF2-40B4-BE49-F238E27FC236}">
              <a16:creationId xmlns:a16="http://schemas.microsoft.com/office/drawing/2014/main" id="{2156A391-35B3-9577-D3CA-21276E455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27" name="Picture 411">
          <a:extLst>
            <a:ext uri="{FF2B5EF4-FFF2-40B4-BE49-F238E27FC236}">
              <a16:creationId xmlns:a16="http://schemas.microsoft.com/office/drawing/2014/main" id="{65FF9A32-C075-0677-E3ED-3F270CE74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28" name="Picture 412">
          <a:extLst>
            <a:ext uri="{FF2B5EF4-FFF2-40B4-BE49-F238E27FC236}">
              <a16:creationId xmlns:a16="http://schemas.microsoft.com/office/drawing/2014/main" id="{AA649536-0C48-2D68-72FA-AD701778B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29" name="Picture 413">
          <a:extLst>
            <a:ext uri="{FF2B5EF4-FFF2-40B4-BE49-F238E27FC236}">
              <a16:creationId xmlns:a16="http://schemas.microsoft.com/office/drawing/2014/main" id="{46406BF1-2AA6-4F87-93AD-F72D0C828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30" name="Picture 414">
          <a:extLst>
            <a:ext uri="{FF2B5EF4-FFF2-40B4-BE49-F238E27FC236}">
              <a16:creationId xmlns:a16="http://schemas.microsoft.com/office/drawing/2014/main" id="{AFD97577-AB03-01A4-9004-519DA15FD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31" name="Picture 415">
          <a:extLst>
            <a:ext uri="{FF2B5EF4-FFF2-40B4-BE49-F238E27FC236}">
              <a16:creationId xmlns:a16="http://schemas.microsoft.com/office/drawing/2014/main" id="{E09FECDD-A07E-8950-82E9-6F7E36BB5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32" name="Picture 416">
          <a:extLst>
            <a:ext uri="{FF2B5EF4-FFF2-40B4-BE49-F238E27FC236}">
              <a16:creationId xmlns:a16="http://schemas.microsoft.com/office/drawing/2014/main" id="{8ECDFE51-124A-20BF-560D-7B57F1F93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33" name="Picture 417">
          <a:extLst>
            <a:ext uri="{FF2B5EF4-FFF2-40B4-BE49-F238E27FC236}">
              <a16:creationId xmlns:a16="http://schemas.microsoft.com/office/drawing/2014/main" id="{D16CE6ED-F1A5-FB88-8B21-8D1C7CEDD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34" name="Picture 418">
          <a:extLst>
            <a:ext uri="{FF2B5EF4-FFF2-40B4-BE49-F238E27FC236}">
              <a16:creationId xmlns:a16="http://schemas.microsoft.com/office/drawing/2014/main" id="{874F2341-2C12-5AFF-F045-12E9EE95A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35" name="Picture 419">
          <a:extLst>
            <a:ext uri="{FF2B5EF4-FFF2-40B4-BE49-F238E27FC236}">
              <a16:creationId xmlns:a16="http://schemas.microsoft.com/office/drawing/2014/main" id="{FA81BE1F-BA99-7516-CE3E-06B2ED84E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36" name="Picture 420">
          <a:extLst>
            <a:ext uri="{FF2B5EF4-FFF2-40B4-BE49-F238E27FC236}">
              <a16:creationId xmlns:a16="http://schemas.microsoft.com/office/drawing/2014/main" id="{B5CEC4EE-E80F-3AE2-8D91-BDE3CDDB1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37" name="Picture 421">
          <a:extLst>
            <a:ext uri="{FF2B5EF4-FFF2-40B4-BE49-F238E27FC236}">
              <a16:creationId xmlns:a16="http://schemas.microsoft.com/office/drawing/2014/main" id="{65F72572-B3F0-0144-9559-062E17E75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38" name="Picture 422">
          <a:extLst>
            <a:ext uri="{FF2B5EF4-FFF2-40B4-BE49-F238E27FC236}">
              <a16:creationId xmlns:a16="http://schemas.microsoft.com/office/drawing/2014/main" id="{F1D15C4C-1F1A-CA2A-0DB3-7511B576C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39" name="Picture 423">
          <a:extLst>
            <a:ext uri="{FF2B5EF4-FFF2-40B4-BE49-F238E27FC236}">
              <a16:creationId xmlns:a16="http://schemas.microsoft.com/office/drawing/2014/main" id="{EFE3DD58-3395-C553-0940-05D302BA9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40" name="Picture 424">
          <a:extLst>
            <a:ext uri="{FF2B5EF4-FFF2-40B4-BE49-F238E27FC236}">
              <a16:creationId xmlns:a16="http://schemas.microsoft.com/office/drawing/2014/main" id="{CD0B31F7-F639-7C5E-AD3B-854A5A2A6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41" name="Picture 425">
          <a:extLst>
            <a:ext uri="{FF2B5EF4-FFF2-40B4-BE49-F238E27FC236}">
              <a16:creationId xmlns:a16="http://schemas.microsoft.com/office/drawing/2014/main" id="{BF03125E-5EEF-5BFB-0AC2-113FB76B3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42" name="Picture 426">
          <a:extLst>
            <a:ext uri="{FF2B5EF4-FFF2-40B4-BE49-F238E27FC236}">
              <a16:creationId xmlns:a16="http://schemas.microsoft.com/office/drawing/2014/main" id="{4C50D086-565E-AC0C-EA9E-42B7D9AA7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43" name="Picture 427">
          <a:extLst>
            <a:ext uri="{FF2B5EF4-FFF2-40B4-BE49-F238E27FC236}">
              <a16:creationId xmlns:a16="http://schemas.microsoft.com/office/drawing/2014/main" id="{9DCB263A-D722-48B8-7F63-635D60071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44" name="Picture 428">
          <a:extLst>
            <a:ext uri="{FF2B5EF4-FFF2-40B4-BE49-F238E27FC236}">
              <a16:creationId xmlns:a16="http://schemas.microsoft.com/office/drawing/2014/main" id="{06F1F163-D713-4A1C-FD5F-F3144F0F3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45" name="Picture 429">
          <a:extLst>
            <a:ext uri="{FF2B5EF4-FFF2-40B4-BE49-F238E27FC236}">
              <a16:creationId xmlns:a16="http://schemas.microsoft.com/office/drawing/2014/main" id="{FBD92286-9F05-43E5-D473-CE351A800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46" name="Picture 430">
          <a:extLst>
            <a:ext uri="{FF2B5EF4-FFF2-40B4-BE49-F238E27FC236}">
              <a16:creationId xmlns:a16="http://schemas.microsoft.com/office/drawing/2014/main" id="{07EB9652-575A-6DD6-17EB-065207336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47" name="Picture 431">
          <a:extLst>
            <a:ext uri="{FF2B5EF4-FFF2-40B4-BE49-F238E27FC236}">
              <a16:creationId xmlns:a16="http://schemas.microsoft.com/office/drawing/2014/main" id="{4F53F9D9-F743-F27F-19FE-671CE9922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48" name="Picture 432">
          <a:extLst>
            <a:ext uri="{FF2B5EF4-FFF2-40B4-BE49-F238E27FC236}">
              <a16:creationId xmlns:a16="http://schemas.microsoft.com/office/drawing/2014/main" id="{0CCFB67A-64A9-810D-D27B-254DCFB4D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49" name="Picture 433">
          <a:extLst>
            <a:ext uri="{FF2B5EF4-FFF2-40B4-BE49-F238E27FC236}">
              <a16:creationId xmlns:a16="http://schemas.microsoft.com/office/drawing/2014/main" id="{CCF49B57-8807-DDAA-9E1C-5CB579462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50" name="Picture 434">
          <a:extLst>
            <a:ext uri="{FF2B5EF4-FFF2-40B4-BE49-F238E27FC236}">
              <a16:creationId xmlns:a16="http://schemas.microsoft.com/office/drawing/2014/main" id="{D348794C-BD83-1D63-43EF-BDEEB95B8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51" name="Picture 435">
          <a:extLst>
            <a:ext uri="{FF2B5EF4-FFF2-40B4-BE49-F238E27FC236}">
              <a16:creationId xmlns:a16="http://schemas.microsoft.com/office/drawing/2014/main" id="{07F706A0-7163-5F2B-E54A-0CDB33292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52" name="Picture 436">
          <a:extLst>
            <a:ext uri="{FF2B5EF4-FFF2-40B4-BE49-F238E27FC236}">
              <a16:creationId xmlns:a16="http://schemas.microsoft.com/office/drawing/2014/main" id="{8531277D-F560-FE9D-58B4-24B8D6AB7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53" name="Picture 437">
          <a:extLst>
            <a:ext uri="{FF2B5EF4-FFF2-40B4-BE49-F238E27FC236}">
              <a16:creationId xmlns:a16="http://schemas.microsoft.com/office/drawing/2014/main" id="{58F44499-5BF7-63B7-02D7-6A13D05BD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54" name="Picture 438">
          <a:extLst>
            <a:ext uri="{FF2B5EF4-FFF2-40B4-BE49-F238E27FC236}">
              <a16:creationId xmlns:a16="http://schemas.microsoft.com/office/drawing/2014/main" id="{BD1DE5A3-C444-BE16-9022-BE65EC5B4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55" name="Picture 439">
          <a:extLst>
            <a:ext uri="{FF2B5EF4-FFF2-40B4-BE49-F238E27FC236}">
              <a16:creationId xmlns:a16="http://schemas.microsoft.com/office/drawing/2014/main" id="{11016BA1-B83D-DCFD-1B20-D255AAB90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56" name="Picture 440">
          <a:extLst>
            <a:ext uri="{FF2B5EF4-FFF2-40B4-BE49-F238E27FC236}">
              <a16:creationId xmlns:a16="http://schemas.microsoft.com/office/drawing/2014/main" id="{5DCDD940-C776-7CD2-1394-7BC4286B9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57" name="Picture 441">
          <a:extLst>
            <a:ext uri="{FF2B5EF4-FFF2-40B4-BE49-F238E27FC236}">
              <a16:creationId xmlns:a16="http://schemas.microsoft.com/office/drawing/2014/main" id="{2713D31F-36A3-FF78-2317-6278E54A1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58" name="Picture 442">
          <a:extLst>
            <a:ext uri="{FF2B5EF4-FFF2-40B4-BE49-F238E27FC236}">
              <a16:creationId xmlns:a16="http://schemas.microsoft.com/office/drawing/2014/main" id="{B4F9F9A8-1BFA-D636-6F7F-381480AD9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59" name="Picture 443">
          <a:extLst>
            <a:ext uri="{FF2B5EF4-FFF2-40B4-BE49-F238E27FC236}">
              <a16:creationId xmlns:a16="http://schemas.microsoft.com/office/drawing/2014/main" id="{ACD4D124-CBE3-5706-EE3F-C94EC7B68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60" name="Picture 444">
          <a:extLst>
            <a:ext uri="{FF2B5EF4-FFF2-40B4-BE49-F238E27FC236}">
              <a16:creationId xmlns:a16="http://schemas.microsoft.com/office/drawing/2014/main" id="{5F7EC4C3-9024-C83B-7FF6-764C732A7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61" name="Picture 445">
          <a:extLst>
            <a:ext uri="{FF2B5EF4-FFF2-40B4-BE49-F238E27FC236}">
              <a16:creationId xmlns:a16="http://schemas.microsoft.com/office/drawing/2014/main" id="{EE966AEE-36D3-4BF5-42C3-7635C6EB9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62" name="Picture 446">
          <a:extLst>
            <a:ext uri="{FF2B5EF4-FFF2-40B4-BE49-F238E27FC236}">
              <a16:creationId xmlns:a16="http://schemas.microsoft.com/office/drawing/2014/main" id="{252030B8-0CCE-8AFA-38E5-8A3AE3C3B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63" name="Picture 447">
          <a:extLst>
            <a:ext uri="{FF2B5EF4-FFF2-40B4-BE49-F238E27FC236}">
              <a16:creationId xmlns:a16="http://schemas.microsoft.com/office/drawing/2014/main" id="{6BBF7BAC-EF65-B724-F910-F4F5E1967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64" name="Picture 448">
          <a:extLst>
            <a:ext uri="{FF2B5EF4-FFF2-40B4-BE49-F238E27FC236}">
              <a16:creationId xmlns:a16="http://schemas.microsoft.com/office/drawing/2014/main" id="{AD30E55B-B2F9-8487-8783-B40175974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65" name="Picture 449">
          <a:extLst>
            <a:ext uri="{FF2B5EF4-FFF2-40B4-BE49-F238E27FC236}">
              <a16:creationId xmlns:a16="http://schemas.microsoft.com/office/drawing/2014/main" id="{C0899F58-A8E1-4B3B-4187-18AAEE574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66" name="Picture 450">
          <a:extLst>
            <a:ext uri="{FF2B5EF4-FFF2-40B4-BE49-F238E27FC236}">
              <a16:creationId xmlns:a16="http://schemas.microsoft.com/office/drawing/2014/main" id="{D58D3639-F9E9-60BC-0D71-7989CCD0A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67" name="Picture 451">
          <a:extLst>
            <a:ext uri="{FF2B5EF4-FFF2-40B4-BE49-F238E27FC236}">
              <a16:creationId xmlns:a16="http://schemas.microsoft.com/office/drawing/2014/main" id="{4A9CDD93-9AF4-9D4F-7E5D-2345EEC74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68" name="Picture 452">
          <a:extLst>
            <a:ext uri="{FF2B5EF4-FFF2-40B4-BE49-F238E27FC236}">
              <a16:creationId xmlns:a16="http://schemas.microsoft.com/office/drawing/2014/main" id="{1F09C1E8-949C-EAC7-114F-B57A65A3F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69" name="Picture 453">
          <a:extLst>
            <a:ext uri="{FF2B5EF4-FFF2-40B4-BE49-F238E27FC236}">
              <a16:creationId xmlns:a16="http://schemas.microsoft.com/office/drawing/2014/main" id="{A05F9CAD-C62A-817B-3AD0-634DE9A2A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70" name="Picture 454">
          <a:extLst>
            <a:ext uri="{FF2B5EF4-FFF2-40B4-BE49-F238E27FC236}">
              <a16:creationId xmlns:a16="http://schemas.microsoft.com/office/drawing/2014/main" id="{01153FE3-1B06-92B3-ABF8-F32803DEF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71" name="Picture 455">
          <a:extLst>
            <a:ext uri="{FF2B5EF4-FFF2-40B4-BE49-F238E27FC236}">
              <a16:creationId xmlns:a16="http://schemas.microsoft.com/office/drawing/2014/main" id="{DAC0E963-559E-6467-2F86-66C489D76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72" name="Picture 456">
          <a:extLst>
            <a:ext uri="{FF2B5EF4-FFF2-40B4-BE49-F238E27FC236}">
              <a16:creationId xmlns:a16="http://schemas.microsoft.com/office/drawing/2014/main" id="{70F5607A-0347-40AE-2295-BA689B55A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73" name="Picture 457">
          <a:extLst>
            <a:ext uri="{FF2B5EF4-FFF2-40B4-BE49-F238E27FC236}">
              <a16:creationId xmlns:a16="http://schemas.microsoft.com/office/drawing/2014/main" id="{60D55C66-D7C3-22F5-485C-2C8E3C0C4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74" name="Picture 458">
          <a:extLst>
            <a:ext uri="{FF2B5EF4-FFF2-40B4-BE49-F238E27FC236}">
              <a16:creationId xmlns:a16="http://schemas.microsoft.com/office/drawing/2014/main" id="{2C428191-2B53-EF35-7759-3CA9838AD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75" name="Picture 459">
          <a:extLst>
            <a:ext uri="{FF2B5EF4-FFF2-40B4-BE49-F238E27FC236}">
              <a16:creationId xmlns:a16="http://schemas.microsoft.com/office/drawing/2014/main" id="{259F6AAC-221D-E2A1-DC6B-0E148AB11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76" name="Picture 460">
          <a:extLst>
            <a:ext uri="{FF2B5EF4-FFF2-40B4-BE49-F238E27FC236}">
              <a16:creationId xmlns:a16="http://schemas.microsoft.com/office/drawing/2014/main" id="{801E7EF7-7C0B-66B7-2C83-6F13015AC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77" name="Picture 461">
          <a:extLst>
            <a:ext uri="{FF2B5EF4-FFF2-40B4-BE49-F238E27FC236}">
              <a16:creationId xmlns:a16="http://schemas.microsoft.com/office/drawing/2014/main" id="{1EBCE90D-77B6-4700-12FB-A2132A185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78" name="Picture 462">
          <a:extLst>
            <a:ext uri="{FF2B5EF4-FFF2-40B4-BE49-F238E27FC236}">
              <a16:creationId xmlns:a16="http://schemas.microsoft.com/office/drawing/2014/main" id="{8E9ACB84-5B68-C7B9-0F83-713CE4A47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79" name="Picture 463">
          <a:extLst>
            <a:ext uri="{FF2B5EF4-FFF2-40B4-BE49-F238E27FC236}">
              <a16:creationId xmlns:a16="http://schemas.microsoft.com/office/drawing/2014/main" id="{9B9472B4-ED82-7A42-A24E-0EDFDADDD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80" name="Picture 464">
          <a:extLst>
            <a:ext uri="{FF2B5EF4-FFF2-40B4-BE49-F238E27FC236}">
              <a16:creationId xmlns:a16="http://schemas.microsoft.com/office/drawing/2014/main" id="{0D6AE9FD-48AD-BD03-A2C5-C83D10D35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81" name="Picture 465">
          <a:extLst>
            <a:ext uri="{FF2B5EF4-FFF2-40B4-BE49-F238E27FC236}">
              <a16:creationId xmlns:a16="http://schemas.microsoft.com/office/drawing/2014/main" id="{4D0A0849-5952-D6C7-CCBD-39DACE75D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82" name="Picture 466">
          <a:extLst>
            <a:ext uri="{FF2B5EF4-FFF2-40B4-BE49-F238E27FC236}">
              <a16:creationId xmlns:a16="http://schemas.microsoft.com/office/drawing/2014/main" id="{74DBA1A1-0BEB-6794-45A0-081806CC2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83" name="Picture 467">
          <a:extLst>
            <a:ext uri="{FF2B5EF4-FFF2-40B4-BE49-F238E27FC236}">
              <a16:creationId xmlns:a16="http://schemas.microsoft.com/office/drawing/2014/main" id="{E1BD2896-409B-5B2A-F8E6-EE6E8596B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84" name="Picture 468">
          <a:extLst>
            <a:ext uri="{FF2B5EF4-FFF2-40B4-BE49-F238E27FC236}">
              <a16:creationId xmlns:a16="http://schemas.microsoft.com/office/drawing/2014/main" id="{6A527E5F-083D-08D2-BB42-A8F0DA41B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85" name="Picture 469">
          <a:extLst>
            <a:ext uri="{FF2B5EF4-FFF2-40B4-BE49-F238E27FC236}">
              <a16:creationId xmlns:a16="http://schemas.microsoft.com/office/drawing/2014/main" id="{40D61695-4E98-EB53-CBA5-87D2C153A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86" name="Picture 470">
          <a:extLst>
            <a:ext uri="{FF2B5EF4-FFF2-40B4-BE49-F238E27FC236}">
              <a16:creationId xmlns:a16="http://schemas.microsoft.com/office/drawing/2014/main" id="{27D0CCFF-81A7-E4E6-046B-AA9F1AD24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87" name="Picture 471">
          <a:extLst>
            <a:ext uri="{FF2B5EF4-FFF2-40B4-BE49-F238E27FC236}">
              <a16:creationId xmlns:a16="http://schemas.microsoft.com/office/drawing/2014/main" id="{7D1EAD11-607D-39E3-5061-C0DF8D730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88" name="Picture 472">
          <a:extLst>
            <a:ext uri="{FF2B5EF4-FFF2-40B4-BE49-F238E27FC236}">
              <a16:creationId xmlns:a16="http://schemas.microsoft.com/office/drawing/2014/main" id="{F91AC8D0-A4D8-3020-DB86-69F9D7D10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89" name="Picture 473">
          <a:extLst>
            <a:ext uri="{FF2B5EF4-FFF2-40B4-BE49-F238E27FC236}">
              <a16:creationId xmlns:a16="http://schemas.microsoft.com/office/drawing/2014/main" id="{911053BD-6DDB-49B3-E82A-51FB27641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90" name="Picture 474">
          <a:extLst>
            <a:ext uri="{FF2B5EF4-FFF2-40B4-BE49-F238E27FC236}">
              <a16:creationId xmlns:a16="http://schemas.microsoft.com/office/drawing/2014/main" id="{5967ADD4-AFE9-1C63-AED4-D554498BF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91" name="Picture 475">
          <a:extLst>
            <a:ext uri="{FF2B5EF4-FFF2-40B4-BE49-F238E27FC236}">
              <a16:creationId xmlns:a16="http://schemas.microsoft.com/office/drawing/2014/main" id="{D0C2A360-A542-B28F-4184-6C22371FB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92" name="Picture 476">
          <a:extLst>
            <a:ext uri="{FF2B5EF4-FFF2-40B4-BE49-F238E27FC236}">
              <a16:creationId xmlns:a16="http://schemas.microsoft.com/office/drawing/2014/main" id="{22E5DF8E-07FC-77C1-5800-46ADD3F08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93" name="Picture 477">
          <a:extLst>
            <a:ext uri="{FF2B5EF4-FFF2-40B4-BE49-F238E27FC236}">
              <a16:creationId xmlns:a16="http://schemas.microsoft.com/office/drawing/2014/main" id="{25D4E63E-CA86-6FEB-1036-C236E8CF0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94" name="Picture 478">
          <a:extLst>
            <a:ext uri="{FF2B5EF4-FFF2-40B4-BE49-F238E27FC236}">
              <a16:creationId xmlns:a16="http://schemas.microsoft.com/office/drawing/2014/main" id="{AEC1DAF2-B7A7-0088-A2FB-4FBFCB42D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295" name="Picture 479">
          <a:extLst>
            <a:ext uri="{FF2B5EF4-FFF2-40B4-BE49-F238E27FC236}">
              <a16:creationId xmlns:a16="http://schemas.microsoft.com/office/drawing/2014/main" id="{C924D74C-D375-E62E-F896-C9E638316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96" name="Picture 480">
          <a:extLst>
            <a:ext uri="{FF2B5EF4-FFF2-40B4-BE49-F238E27FC236}">
              <a16:creationId xmlns:a16="http://schemas.microsoft.com/office/drawing/2014/main" id="{6D498E07-DED2-8D5A-5488-73ACE48D7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97" name="Picture 481">
          <a:extLst>
            <a:ext uri="{FF2B5EF4-FFF2-40B4-BE49-F238E27FC236}">
              <a16:creationId xmlns:a16="http://schemas.microsoft.com/office/drawing/2014/main" id="{D4FAE2F5-8C29-9158-932A-9E10E5040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98" name="Picture 482">
          <a:extLst>
            <a:ext uri="{FF2B5EF4-FFF2-40B4-BE49-F238E27FC236}">
              <a16:creationId xmlns:a16="http://schemas.microsoft.com/office/drawing/2014/main" id="{E8464B56-240A-B286-561A-8DF0E3813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299" name="Picture 483">
          <a:extLst>
            <a:ext uri="{FF2B5EF4-FFF2-40B4-BE49-F238E27FC236}">
              <a16:creationId xmlns:a16="http://schemas.microsoft.com/office/drawing/2014/main" id="{E838210D-F421-789F-08F3-DDEDA03E4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00" name="Picture 484">
          <a:extLst>
            <a:ext uri="{FF2B5EF4-FFF2-40B4-BE49-F238E27FC236}">
              <a16:creationId xmlns:a16="http://schemas.microsoft.com/office/drawing/2014/main" id="{F4B50EC4-EA29-5807-09FC-7A50E8FD1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01" name="Picture 485">
          <a:extLst>
            <a:ext uri="{FF2B5EF4-FFF2-40B4-BE49-F238E27FC236}">
              <a16:creationId xmlns:a16="http://schemas.microsoft.com/office/drawing/2014/main" id="{144D3CB6-3ED4-07FD-4EBC-8771E16BF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02" name="Picture 486">
          <a:extLst>
            <a:ext uri="{FF2B5EF4-FFF2-40B4-BE49-F238E27FC236}">
              <a16:creationId xmlns:a16="http://schemas.microsoft.com/office/drawing/2014/main" id="{00C3FB05-73EB-078A-6742-725366796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03" name="Picture 487">
          <a:extLst>
            <a:ext uri="{FF2B5EF4-FFF2-40B4-BE49-F238E27FC236}">
              <a16:creationId xmlns:a16="http://schemas.microsoft.com/office/drawing/2014/main" id="{B13B2C29-AA2A-A229-3B46-BD5FE90BB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04" name="Picture 488">
          <a:extLst>
            <a:ext uri="{FF2B5EF4-FFF2-40B4-BE49-F238E27FC236}">
              <a16:creationId xmlns:a16="http://schemas.microsoft.com/office/drawing/2014/main" id="{C705EA92-CDCB-C65E-F9DF-01ED22CD0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05" name="Picture 489">
          <a:extLst>
            <a:ext uri="{FF2B5EF4-FFF2-40B4-BE49-F238E27FC236}">
              <a16:creationId xmlns:a16="http://schemas.microsoft.com/office/drawing/2014/main" id="{B32306B4-FB2D-DC2C-DF86-D81726F2B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06" name="Picture 490">
          <a:extLst>
            <a:ext uri="{FF2B5EF4-FFF2-40B4-BE49-F238E27FC236}">
              <a16:creationId xmlns:a16="http://schemas.microsoft.com/office/drawing/2014/main" id="{94CA7FF3-AB45-1FD8-4225-BE3A2F780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07" name="Picture 491">
          <a:extLst>
            <a:ext uri="{FF2B5EF4-FFF2-40B4-BE49-F238E27FC236}">
              <a16:creationId xmlns:a16="http://schemas.microsoft.com/office/drawing/2014/main" id="{CF7D3620-0C9E-F723-F114-17F76977A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08" name="Picture 492">
          <a:extLst>
            <a:ext uri="{FF2B5EF4-FFF2-40B4-BE49-F238E27FC236}">
              <a16:creationId xmlns:a16="http://schemas.microsoft.com/office/drawing/2014/main" id="{84E9E7BC-A6AC-373E-3EB5-2078C1E0F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09" name="Picture 493">
          <a:extLst>
            <a:ext uri="{FF2B5EF4-FFF2-40B4-BE49-F238E27FC236}">
              <a16:creationId xmlns:a16="http://schemas.microsoft.com/office/drawing/2014/main" id="{1F5688D2-BE48-846F-A1F6-A174C62FB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10" name="Picture 494">
          <a:extLst>
            <a:ext uri="{FF2B5EF4-FFF2-40B4-BE49-F238E27FC236}">
              <a16:creationId xmlns:a16="http://schemas.microsoft.com/office/drawing/2014/main" id="{5D89148F-D1FE-59F4-CFBB-699A83B10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11" name="Picture 495">
          <a:extLst>
            <a:ext uri="{FF2B5EF4-FFF2-40B4-BE49-F238E27FC236}">
              <a16:creationId xmlns:a16="http://schemas.microsoft.com/office/drawing/2014/main" id="{004ADC14-9F74-A331-9CC1-41DB3A76A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12" name="Picture 496">
          <a:extLst>
            <a:ext uri="{FF2B5EF4-FFF2-40B4-BE49-F238E27FC236}">
              <a16:creationId xmlns:a16="http://schemas.microsoft.com/office/drawing/2014/main" id="{C5E15F88-A0E9-07DE-D67E-0DB96A5BC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13" name="Picture 497">
          <a:extLst>
            <a:ext uri="{FF2B5EF4-FFF2-40B4-BE49-F238E27FC236}">
              <a16:creationId xmlns:a16="http://schemas.microsoft.com/office/drawing/2014/main" id="{C1FDB4EB-CDF1-423E-3935-E87596DA2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14" name="Picture 498">
          <a:extLst>
            <a:ext uri="{FF2B5EF4-FFF2-40B4-BE49-F238E27FC236}">
              <a16:creationId xmlns:a16="http://schemas.microsoft.com/office/drawing/2014/main" id="{6FD67319-988C-8E79-4088-9852ED72E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15" name="Picture 499">
          <a:extLst>
            <a:ext uri="{FF2B5EF4-FFF2-40B4-BE49-F238E27FC236}">
              <a16:creationId xmlns:a16="http://schemas.microsoft.com/office/drawing/2014/main" id="{51DF0FDD-3E87-3179-80A9-E030AED83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16" name="Picture 500">
          <a:extLst>
            <a:ext uri="{FF2B5EF4-FFF2-40B4-BE49-F238E27FC236}">
              <a16:creationId xmlns:a16="http://schemas.microsoft.com/office/drawing/2014/main" id="{EC3DB791-8688-2C99-F1E3-96C3CD7F0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17" name="Picture 501">
          <a:extLst>
            <a:ext uri="{FF2B5EF4-FFF2-40B4-BE49-F238E27FC236}">
              <a16:creationId xmlns:a16="http://schemas.microsoft.com/office/drawing/2014/main" id="{7E6ADDB1-5D2C-06FA-9EAD-7E7630D12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18" name="Picture 502">
          <a:extLst>
            <a:ext uri="{FF2B5EF4-FFF2-40B4-BE49-F238E27FC236}">
              <a16:creationId xmlns:a16="http://schemas.microsoft.com/office/drawing/2014/main" id="{A641A6F9-1590-4B40-59D0-EE2E3F621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19" name="Picture 503">
          <a:extLst>
            <a:ext uri="{FF2B5EF4-FFF2-40B4-BE49-F238E27FC236}">
              <a16:creationId xmlns:a16="http://schemas.microsoft.com/office/drawing/2014/main" id="{29F3D644-3027-2EE0-C6EE-F1685E5CF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20" name="Picture 504">
          <a:extLst>
            <a:ext uri="{FF2B5EF4-FFF2-40B4-BE49-F238E27FC236}">
              <a16:creationId xmlns:a16="http://schemas.microsoft.com/office/drawing/2014/main" id="{BAD6E27D-B2AF-0644-A4E0-DD3B75532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21" name="Picture 505">
          <a:extLst>
            <a:ext uri="{FF2B5EF4-FFF2-40B4-BE49-F238E27FC236}">
              <a16:creationId xmlns:a16="http://schemas.microsoft.com/office/drawing/2014/main" id="{8229F031-E6DD-221E-54DB-BF546DCCE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22" name="Picture 506">
          <a:extLst>
            <a:ext uri="{FF2B5EF4-FFF2-40B4-BE49-F238E27FC236}">
              <a16:creationId xmlns:a16="http://schemas.microsoft.com/office/drawing/2014/main" id="{49DF725F-1280-294B-F4E9-6EED679D1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23" name="Picture 507">
          <a:extLst>
            <a:ext uri="{FF2B5EF4-FFF2-40B4-BE49-F238E27FC236}">
              <a16:creationId xmlns:a16="http://schemas.microsoft.com/office/drawing/2014/main" id="{CC27FF2E-794A-82F4-155F-1F1E5E3C0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24" name="Picture 508">
          <a:extLst>
            <a:ext uri="{FF2B5EF4-FFF2-40B4-BE49-F238E27FC236}">
              <a16:creationId xmlns:a16="http://schemas.microsoft.com/office/drawing/2014/main" id="{24F9414B-8997-78F4-6D73-9A6A72980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25" name="Picture 509">
          <a:extLst>
            <a:ext uri="{FF2B5EF4-FFF2-40B4-BE49-F238E27FC236}">
              <a16:creationId xmlns:a16="http://schemas.microsoft.com/office/drawing/2014/main" id="{57828E41-B08F-2917-A8F1-F39B0234F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26" name="Picture 510">
          <a:extLst>
            <a:ext uri="{FF2B5EF4-FFF2-40B4-BE49-F238E27FC236}">
              <a16:creationId xmlns:a16="http://schemas.microsoft.com/office/drawing/2014/main" id="{6D4B1C26-BBB6-CFCE-1461-259CBA3CD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27" name="Picture 511">
          <a:extLst>
            <a:ext uri="{FF2B5EF4-FFF2-40B4-BE49-F238E27FC236}">
              <a16:creationId xmlns:a16="http://schemas.microsoft.com/office/drawing/2014/main" id="{6C7AB634-0FD4-58F9-B661-B6A0EB538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28" name="Picture 512">
          <a:extLst>
            <a:ext uri="{FF2B5EF4-FFF2-40B4-BE49-F238E27FC236}">
              <a16:creationId xmlns:a16="http://schemas.microsoft.com/office/drawing/2014/main" id="{E0DFCDA2-FA7B-F2B3-2BC2-2F5E4E0C8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29" name="Picture 513">
          <a:extLst>
            <a:ext uri="{FF2B5EF4-FFF2-40B4-BE49-F238E27FC236}">
              <a16:creationId xmlns:a16="http://schemas.microsoft.com/office/drawing/2014/main" id="{4507E5EF-5E5C-8DBA-1034-334C6EDCC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30" name="Picture 514">
          <a:extLst>
            <a:ext uri="{FF2B5EF4-FFF2-40B4-BE49-F238E27FC236}">
              <a16:creationId xmlns:a16="http://schemas.microsoft.com/office/drawing/2014/main" id="{224BBE9E-0422-BFD9-5884-BFAB8039E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31" name="Picture 515">
          <a:extLst>
            <a:ext uri="{FF2B5EF4-FFF2-40B4-BE49-F238E27FC236}">
              <a16:creationId xmlns:a16="http://schemas.microsoft.com/office/drawing/2014/main" id="{EAEF78AA-DF59-E9BD-A765-298150191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32" name="Picture 516">
          <a:extLst>
            <a:ext uri="{FF2B5EF4-FFF2-40B4-BE49-F238E27FC236}">
              <a16:creationId xmlns:a16="http://schemas.microsoft.com/office/drawing/2014/main" id="{3064499D-E55A-63A9-8600-DE178F2B1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33" name="Picture 517">
          <a:extLst>
            <a:ext uri="{FF2B5EF4-FFF2-40B4-BE49-F238E27FC236}">
              <a16:creationId xmlns:a16="http://schemas.microsoft.com/office/drawing/2014/main" id="{D7865CC4-6D18-40B9-7B04-34E69063E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34" name="Picture 518">
          <a:extLst>
            <a:ext uri="{FF2B5EF4-FFF2-40B4-BE49-F238E27FC236}">
              <a16:creationId xmlns:a16="http://schemas.microsoft.com/office/drawing/2014/main" id="{9D3571A8-73E7-2DC6-02B2-38D52A5DA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35" name="Picture 519">
          <a:extLst>
            <a:ext uri="{FF2B5EF4-FFF2-40B4-BE49-F238E27FC236}">
              <a16:creationId xmlns:a16="http://schemas.microsoft.com/office/drawing/2014/main" id="{B4C3E3E7-CD08-9B74-C340-83895B501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36" name="Picture 520">
          <a:extLst>
            <a:ext uri="{FF2B5EF4-FFF2-40B4-BE49-F238E27FC236}">
              <a16:creationId xmlns:a16="http://schemas.microsoft.com/office/drawing/2014/main" id="{F44637A7-F18F-FC9E-B6B1-E1CC0D0AC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37" name="Picture 521">
          <a:extLst>
            <a:ext uri="{FF2B5EF4-FFF2-40B4-BE49-F238E27FC236}">
              <a16:creationId xmlns:a16="http://schemas.microsoft.com/office/drawing/2014/main" id="{76FFBEFC-5895-DF4D-5274-8766A0B78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38" name="Picture 522">
          <a:extLst>
            <a:ext uri="{FF2B5EF4-FFF2-40B4-BE49-F238E27FC236}">
              <a16:creationId xmlns:a16="http://schemas.microsoft.com/office/drawing/2014/main" id="{D9B09104-D03E-49D2-393C-22651646B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39" name="Picture 523">
          <a:extLst>
            <a:ext uri="{FF2B5EF4-FFF2-40B4-BE49-F238E27FC236}">
              <a16:creationId xmlns:a16="http://schemas.microsoft.com/office/drawing/2014/main" id="{E8F8CE3B-8B23-B302-3CC4-2BE112CAD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40" name="Picture 524">
          <a:extLst>
            <a:ext uri="{FF2B5EF4-FFF2-40B4-BE49-F238E27FC236}">
              <a16:creationId xmlns:a16="http://schemas.microsoft.com/office/drawing/2014/main" id="{E8C1E996-FB5B-7C3D-FCC8-F6DE23C13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41" name="Picture 525">
          <a:extLst>
            <a:ext uri="{FF2B5EF4-FFF2-40B4-BE49-F238E27FC236}">
              <a16:creationId xmlns:a16="http://schemas.microsoft.com/office/drawing/2014/main" id="{D78AB7BE-E751-E576-4E94-2B6D9A53B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42" name="Picture 526">
          <a:extLst>
            <a:ext uri="{FF2B5EF4-FFF2-40B4-BE49-F238E27FC236}">
              <a16:creationId xmlns:a16="http://schemas.microsoft.com/office/drawing/2014/main" id="{1BA06ADF-4039-4FFA-0184-601F472DB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43" name="Picture 527">
          <a:extLst>
            <a:ext uri="{FF2B5EF4-FFF2-40B4-BE49-F238E27FC236}">
              <a16:creationId xmlns:a16="http://schemas.microsoft.com/office/drawing/2014/main" id="{E356C545-6203-3022-5816-3528F6603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44" name="Picture 528">
          <a:extLst>
            <a:ext uri="{FF2B5EF4-FFF2-40B4-BE49-F238E27FC236}">
              <a16:creationId xmlns:a16="http://schemas.microsoft.com/office/drawing/2014/main" id="{E27503B7-2487-E303-5511-E67CAD640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45" name="Picture 529">
          <a:extLst>
            <a:ext uri="{FF2B5EF4-FFF2-40B4-BE49-F238E27FC236}">
              <a16:creationId xmlns:a16="http://schemas.microsoft.com/office/drawing/2014/main" id="{98820D1E-FF90-6B45-DAE7-940477DA8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46" name="Picture 530">
          <a:extLst>
            <a:ext uri="{FF2B5EF4-FFF2-40B4-BE49-F238E27FC236}">
              <a16:creationId xmlns:a16="http://schemas.microsoft.com/office/drawing/2014/main" id="{A5105072-846D-C23B-949A-402277F37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47" name="Picture 531">
          <a:extLst>
            <a:ext uri="{FF2B5EF4-FFF2-40B4-BE49-F238E27FC236}">
              <a16:creationId xmlns:a16="http://schemas.microsoft.com/office/drawing/2014/main" id="{D39A2A77-64F2-4419-9C2C-989633236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48" name="Picture 532">
          <a:extLst>
            <a:ext uri="{FF2B5EF4-FFF2-40B4-BE49-F238E27FC236}">
              <a16:creationId xmlns:a16="http://schemas.microsoft.com/office/drawing/2014/main" id="{15090B3D-FDCD-2654-36BD-C23571104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49" name="Picture 533">
          <a:extLst>
            <a:ext uri="{FF2B5EF4-FFF2-40B4-BE49-F238E27FC236}">
              <a16:creationId xmlns:a16="http://schemas.microsoft.com/office/drawing/2014/main" id="{5B21801D-B74F-81CA-8A19-AD98E48C8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50" name="Picture 534">
          <a:extLst>
            <a:ext uri="{FF2B5EF4-FFF2-40B4-BE49-F238E27FC236}">
              <a16:creationId xmlns:a16="http://schemas.microsoft.com/office/drawing/2014/main" id="{14C4FF79-0F57-BF86-DD69-4F2019279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51" name="Picture 535">
          <a:extLst>
            <a:ext uri="{FF2B5EF4-FFF2-40B4-BE49-F238E27FC236}">
              <a16:creationId xmlns:a16="http://schemas.microsoft.com/office/drawing/2014/main" id="{9E006112-CCBA-16EF-7204-D1A2E4F8E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52" name="Picture 536">
          <a:extLst>
            <a:ext uri="{FF2B5EF4-FFF2-40B4-BE49-F238E27FC236}">
              <a16:creationId xmlns:a16="http://schemas.microsoft.com/office/drawing/2014/main" id="{FC6D5614-7885-9A7D-8755-AE9BC0D6D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53" name="Picture 537">
          <a:extLst>
            <a:ext uri="{FF2B5EF4-FFF2-40B4-BE49-F238E27FC236}">
              <a16:creationId xmlns:a16="http://schemas.microsoft.com/office/drawing/2014/main" id="{925448C2-168A-C112-6829-35B566F9A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54" name="Picture 538">
          <a:extLst>
            <a:ext uri="{FF2B5EF4-FFF2-40B4-BE49-F238E27FC236}">
              <a16:creationId xmlns:a16="http://schemas.microsoft.com/office/drawing/2014/main" id="{9335612F-5150-0F4E-EC9F-55CFE90E8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55" name="Picture 539">
          <a:extLst>
            <a:ext uri="{FF2B5EF4-FFF2-40B4-BE49-F238E27FC236}">
              <a16:creationId xmlns:a16="http://schemas.microsoft.com/office/drawing/2014/main" id="{F18C7EC1-0364-D08F-53F9-770F04643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56" name="Picture 540">
          <a:extLst>
            <a:ext uri="{FF2B5EF4-FFF2-40B4-BE49-F238E27FC236}">
              <a16:creationId xmlns:a16="http://schemas.microsoft.com/office/drawing/2014/main" id="{96F63D68-2317-15C0-C96B-E7BF467B5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57" name="Picture 541">
          <a:extLst>
            <a:ext uri="{FF2B5EF4-FFF2-40B4-BE49-F238E27FC236}">
              <a16:creationId xmlns:a16="http://schemas.microsoft.com/office/drawing/2014/main" id="{4A4066EC-E550-ED1E-7C08-7626A1DAB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58" name="Picture 542">
          <a:extLst>
            <a:ext uri="{FF2B5EF4-FFF2-40B4-BE49-F238E27FC236}">
              <a16:creationId xmlns:a16="http://schemas.microsoft.com/office/drawing/2014/main" id="{CAAF6BB0-B37D-1FEE-3ED5-BCCE83257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59" name="Picture 543">
          <a:extLst>
            <a:ext uri="{FF2B5EF4-FFF2-40B4-BE49-F238E27FC236}">
              <a16:creationId xmlns:a16="http://schemas.microsoft.com/office/drawing/2014/main" id="{92A19AD1-7589-51D8-6AD9-E5FA40C91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60" name="Picture 544">
          <a:extLst>
            <a:ext uri="{FF2B5EF4-FFF2-40B4-BE49-F238E27FC236}">
              <a16:creationId xmlns:a16="http://schemas.microsoft.com/office/drawing/2014/main" id="{97743533-06E3-1C27-474A-48B81611A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61" name="Picture 545">
          <a:extLst>
            <a:ext uri="{FF2B5EF4-FFF2-40B4-BE49-F238E27FC236}">
              <a16:creationId xmlns:a16="http://schemas.microsoft.com/office/drawing/2014/main" id="{4A479ED0-0A5E-DC26-BD79-A711057A4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62" name="Picture 546">
          <a:extLst>
            <a:ext uri="{FF2B5EF4-FFF2-40B4-BE49-F238E27FC236}">
              <a16:creationId xmlns:a16="http://schemas.microsoft.com/office/drawing/2014/main" id="{C87CF32D-2DF5-F0C0-8EF0-834162E84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63" name="Picture 547">
          <a:extLst>
            <a:ext uri="{FF2B5EF4-FFF2-40B4-BE49-F238E27FC236}">
              <a16:creationId xmlns:a16="http://schemas.microsoft.com/office/drawing/2014/main" id="{11B2316A-00E7-8492-F433-A2520F347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64" name="Picture 548">
          <a:extLst>
            <a:ext uri="{FF2B5EF4-FFF2-40B4-BE49-F238E27FC236}">
              <a16:creationId xmlns:a16="http://schemas.microsoft.com/office/drawing/2014/main" id="{67DE28A5-BB03-B8D2-5C52-26868EC24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65" name="Picture 549">
          <a:extLst>
            <a:ext uri="{FF2B5EF4-FFF2-40B4-BE49-F238E27FC236}">
              <a16:creationId xmlns:a16="http://schemas.microsoft.com/office/drawing/2014/main" id="{7818FB4A-FA5D-EFE8-7AB7-7FD165ED5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66" name="Picture 550">
          <a:extLst>
            <a:ext uri="{FF2B5EF4-FFF2-40B4-BE49-F238E27FC236}">
              <a16:creationId xmlns:a16="http://schemas.microsoft.com/office/drawing/2014/main" id="{6D174F5D-AD88-580B-AE5E-6CB0886D6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67" name="Picture 551">
          <a:extLst>
            <a:ext uri="{FF2B5EF4-FFF2-40B4-BE49-F238E27FC236}">
              <a16:creationId xmlns:a16="http://schemas.microsoft.com/office/drawing/2014/main" id="{1D40121C-4B12-6FAC-2909-A3EDF96A4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68" name="Picture 552">
          <a:extLst>
            <a:ext uri="{FF2B5EF4-FFF2-40B4-BE49-F238E27FC236}">
              <a16:creationId xmlns:a16="http://schemas.microsoft.com/office/drawing/2014/main" id="{DEA72137-5A52-137F-5608-80F6A96AF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69" name="Picture 553">
          <a:extLst>
            <a:ext uri="{FF2B5EF4-FFF2-40B4-BE49-F238E27FC236}">
              <a16:creationId xmlns:a16="http://schemas.microsoft.com/office/drawing/2014/main" id="{A7A16163-C2E1-1B7D-16D1-CA3327CDE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70" name="Picture 554">
          <a:extLst>
            <a:ext uri="{FF2B5EF4-FFF2-40B4-BE49-F238E27FC236}">
              <a16:creationId xmlns:a16="http://schemas.microsoft.com/office/drawing/2014/main" id="{18671213-A51D-22C4-587B-125B103F3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71" name="Picture 555">
          <a:extLst>
            <a:ext uri="{FF2B5EF4-FFF2-40B4-BE49-F238E27FC236}">
              <a16:creationId xmlns:a16="http://schemas.microsoft.com/office/drawing/2014/main" id="{30DD1DD0-A8E7-4CE7-27F3-281331FA8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72" name="Picture 556">
          <a:extLst>
            <a:ext uri="{FF2B5EF4-FFF2-40B4-BE49-F238E27FC236}">
              <a16:creationId xmlns:a16="http://schemas.microsoft.com/office/drawing/2014/main" id="{9328FD6F-07A9-7E3C-4B75-379640B6D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73" name="Picture 557">
          <a:extLst>
            <a:ext uri="{FF2B5EF4-FFF2-40B4-BE49-F238E27FC236}">
              <a16:creationId xmlns:a16="http://schemas.microsoft.com/office/drawing/2014/main" id="{E9EE6B3E-8DB9-F1B9-6923-77F070749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74" name="Picture 558">
          <a:extLst>
            <a:ext uri="{FF2B5EF4-FFF2-40B4-BE49-F238E27FC236}">
              <a16:creationId xmlns:a16="http://schemas.microsoft.com/office/drawing/2014/main" id="{4995680A-6E5B-AA35-4C70-C3C80D23C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75" name="Picture 559">
          <a:extLst>
            <a:ext uri="{FF2B5EF4-FFF2-40B4-BE49-F238E27FC236}">
              <a16:creationId xmlns:a16="http://schemas.microsoft.com/office/drawing/2014/main" id="{DABEA172-000A-2D38-4213-3A1B35C72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76" name="Picture 560">
          <a:extLst>
            <a:ext uri="{FF2B5EF4-FFF2-40B4-BE49-F238E27FC236}">
              <a16:creationId xmlns:a16="http://schemas.microsoft.com/office/drawing/2014/main" id="{EEF63269-8910-AF38-B0CA-CC4C29620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77" name="Picture 561">
          <a:extLst>
            <a:ext uri="{FF2B5EF4-FFF2-40B4-BE49-F238E27FC236}">
              <a16:creationId xmlns:a16="http://schemas.microsoft.com/office/drawing/2014/main" id="{A254242B-2F8D-4435-FC62-CBBEAE483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78" name="Picture 562">
          <a:extLst>
            <a:ext uri="{FF2B5EF4-FFF2-40B4-BE49-F238E27FC236}">
              <a16:creationId xmlns:a16="http://schemas.microsoft.com/office/drawing/2014/main" id="{6C68C1BD-A0DC-A4C4-40CF-470156B6E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79" name="Picture 563">
          <a:extLst>
            <a:ext uri="{FF2B5EF4-FFF2-40B4-BE49-F238E27FC236}">
              <a16:creationId xmlns:a16="http://schemas.microsoft.com/office/drawing/2014/main" id="{C84E8D98-640E-FE82-280A-674AFCE48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80" name="Picture 564">
          <a:extLst>
            <a:ext uri="{FF2B5EF4-FFF2-40B4-BE49-F238E27FC236}">
              <a16:creationId xmlns:a16="http://schemas.microsoft.com/office/drawing/2014/main" id="{7B05D501-5E05-316B-D1D8-CF4647851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81" name="Picture 565">
          <a:extLst>
            <a:ext uri="{FF2B5EF4-FFF2-40B4-BE49-F238E27FC236}">
              <a16:creationId xmlns:a16="http://schemas.microsoft.com/office/drawing/2014/main" id="{B42A3B46-26AC-0A2A-5C9E-C7BA02381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82" name="Picture 566">
          <a:extLst>
            <a:ext uri="{FF2B5EF4-FFF2-40B4-BE49-F238E27FC236}">
              <a16:creationId xmlns:a16="http://schemas.microsoft.com/office/drawing/2014/main" id="{4554DE55-A81A-090E-028D-05223B5E0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83" name="Picture 567">
          <a:extLst>
            <a:ext uri="{FF2B5EF4-FFF2-40B4-BE49-F238E27FC236}">
              <a16:creationId xmlns:a16="http://schemas.microsoft.com/office/drawing/2014/main" id="{C4C7944D-766E-94C8-D1CB-CCB50A14E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84" name="Picture 568">
          <a:extLst>
            <a:ext uri="{FF2B5EF4-FFF2-40B4-BE49-F238E27FC236}">
              <a16:creationId xmlns:a16="http://schemas.microsoft.com/office/drawing/2014/main" id="{5DBDB6FB-B069-9B6A-63D1-122D1AC57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85" name="Picture 569">
          <a:extLst>
            <a:ext uri="{FF2B5EF4-FFF2-40B4-BE49-F238E27FC236}">
              <a16:creationId xmlns:a16="http://schemas.microsoft.com/office/drawing/2014/main" id="{19E9FACD-2DCD-34BE-A412-0147D5945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86" name="Picture 570">
          <a:extLst>
            <a:ext uri="{FF2B5EF4-FFF2-40B4-BE49-F238E27FC236}">
              <a16:creationId xmlns:a16="http://schemas.microsoft.com/office/drawing/2014/main" id="{C6AA5B86-8419-489D-2E97-69FFCF790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87" name="Picture 571">
          <a:extLst>
            <a:ext uri="{FF2B5EF4-FFF2-40B4-BE49-F238E27FC236}">
              <a16:creationId xmlns:a16="http://schemas.microsoft.com/office/drawing/2014/main" id="{78F2C1C1-AC1F-78C1-28D7-25A3CAAD3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88" name="Picture 572">
          <a:extLst>
            <a:ext uri="{FF2B5EF4-FFF2-40B4-BE49-F238E27FC236}">
              <a16:creationId xmlns:a16="http://schemas.microsoft.com/office/drawing/2014/main" id="{ED56D927-C2BF-CEF6-78BA-710899806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89" name="Picture 573">
          <a:extLst>
            <a:ext uri="{FF2B5EF4-FFF2-40B4-BE49-F238E27FC236}">
              <a16:creationId xmlns:a16="http://schemas.microsoft.com/office/drawing/2014/main" id="{5E4BE5C8-2AF3-6096-B6B0-DB38EF77B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90" name="Picture 574">
          <a:extLst>
            <a:ext uri="{FF2B5EF4-FFF2-40B4-BE49-F238E27FC236}">
              <a16:creationId xmlns:a16="http://schemas.microsoft.com/office/drawing/2014/main" id="{2760C137-48FC-B342-8C10-8A2BF45E8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91" name="Picture 575">
          <a:extLst>
            <a:ext uri="{FF2B5EF4-FFF2-40B4-BE49-F238E27FC236}">
              <a16:creationId xmlns:a16="http://schemas.microsoft.com/office/drawing/2014/main" id="{7A968D4D-82CE-911F-568C-7A916238D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92" name="Picture 576">
          <a:extLst>
            <a:ext uri="{FF2B5EF4-FFF2-40B4-BE49-F238E27FC236}">
              <a16:creationId xmlns:a16="http://schemas.microsoft.com/office/drawing/2014/main" id="{F4F57088-A30C-1C68-0482-7E201FF43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93" name="Picture 577">
          <a:extLst>
            <a:ext uri="{FF2B5EF4-FFF2-40B4-BE49-F238E27FC236}">
              <a16:creationId xmlns:a16="http://schemas.microsoft.com/office/drawing/2014/main" id="{B792E7F0-3E7C-1A58-4C43-2DA97073E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94" name="Picture 578">
          <a:extLst>
            <a:ext uri="{FF2B5EF4-FFF2-40B4-BE49-F238E27FC236}">
              <a16:creationId xmlns:a16="http://schemas.microsoft.com/office/drawing/2014/main" id="{A7082C7A-3B2A-3FD3-70CC-511EA9125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95" name="Picture 579">
          <a:extLst>
            <a:ext uri="{FF2B5EF4-FFF2-40B4-BE49-F238E27FC236}">
              <a16:creationId xmlns:a16="http://schemas.microsoft.com/office/drawing/2014/main" id="{BA95A50B-3456-2A33-92A1-027BAF64D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96" name="Picture 580">
          <a:extLst>
            <a:ext uri="{FF2B5EF4-FFF2-40B4-BE49-F238E27FC236}">
              <a16:creationId xmlns:a16="http://schemas.microsoft.com/office/drawing/2014/main" id="{46AE0F27-8502-E476-5E97-9D5B22FAA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397" name="Picture 581">
          <a:extLst>
            <a:ext uri="{FF2B5EF4-FFF2-40B4-BE49-F238E27FC236}">
              <a16:creationId xmlns:a16="http://schemas.microsoft.com/office/drawing/2014/main" id="{14327A94-C679-41DF-1A09-FB66A1B1A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98" name="Picture 582">
          <a:extLst>
            <a:ext uri="{FF2B5EF4-FFF2-40B4-BE49-F238E27FC236}">
              <a16:creationId xmlns:a16="http://schemas.microsoft.com/office/drawing/2014/main" id="{9811186E-971D-24C7-E173-D3F26D022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399" name="Picture 583">
          <a:extLst>
            <a:ext uri="{FF2B5EF4-FFF2-40B4-BE49-F238E27FC236}">
              <a16:creationId xmlns:a16="http://schemas.microsoft.com/office/drawing/2014/main" id="{DF276CB6-A6D5-5DFF-8228-6FA86A29F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00" name="Picture 584">
          <a:extLst>
            <a:ext uri="{FF2B5EF4-FFF2-40B4-BE49-F238E27FC236}">
              <a16:creationId xmlns:a16="http://schemas.microsoft.com/office/drawing/2014/main" id="{735963F3-3FD6-F571-5F61-B9770095E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01" name="Picture 585">
          <a:extLst>
            <a:ext uri="{FF2B5EF4-FFF2-40B4-BE49-F238E27FC236}">
              <a16:creationId xmlns:a16="http://schemas.microsoft.com/office/drawing/2014/main" id="{DAF7E85C-FB6B-2ED7-1FE0-EFA28D266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02" name="Picture 586">
          <a:extLst>
            <a:ext uri="{FF2B5EF4-FFF2-40B4-BE49-F238E27FC236}">
              <a16:creationId xmlns:a16="http://schemas.microsoft.com/office/drawing/2014/main" id="{FFC3C172-6F63-C4A2-41C6-361D82A8A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03" name="Picture 587">
          <a:extLst>
            <a:ext uri="{FF2B5EF4-FFF2-40B4-BE49-F238E27FC236}">
              <a16:creationId xmlns:a16="http://schemas.microsoft.com/office/drawing/2014/main" id="{91D399B4-6872-64D1-7072-A28D2FB10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04" name="Picture 588">
          <a:extLst>
            <a:ext uri="{FF2B5EF4-FFF2-40B4-BE49-F238E27FC236}">
              <a16:creationId xmlns:a16="http://schemas.microsoft.com/office/drawing/2014/main" id="{9DD45966-96FF-F4F7-A03C-6612CFF00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05" name="Picture 589">
          <a:extLst>
            <a:ext uri="{FF2B5EF4-FFF2-40B4-BE49-F238E27FC236}">
              <a16:creationId xmlns:a16="http://schemas.microsoft.com/office/drawing/2014/main" id="{FF0156AA-E7E4-2355-E634-9A7663CCA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06" name="Picture 590">
          <a:extLst>
            <a:ext uri="{FF2B5EF4-FFF2-40B4-BE49-F238E27FC236}">
              <a16:creationId xmlns:a16="http://schemas.microsoft.com/office/drawing/2014/main" id="{26534263-0B79-6D0F-DEC1-F35972531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07" name="Picture 591">
          <a:extLst>
            <a:ext uri="{FF2B5EF4-FFF2-40B4-BE49-F238E27FC236}">
              <a16:creationId xmlns:a16="http://schemas.microsoft.com/office/drawing/2014/main" id="{39A05933-B009-C038-E21A-3462B5EE1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08" name="Picture 592">
          <a:extLst>
            <a:ext uri="{FF2B5EF4-FFF2-40B4-BE49-F238E27FC236}">
              <a16:creationId xmlns:a16="http://schemas.microsoft.com/office/drawing/2014/main" id="{759B1FA2-E5B8-2CEC-0DCC-477C624F0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09" name="Picture 593">
          <a:extLst>
            <a:ext uri="{FF2B5EF4-FFF2-40B4-BE49-F238E27FC236}">
              <a16:creationId xmlns:a16="http://schemas.microsoft.com/office/drawing/2014/main" id="{9757A361-5826-B49C-BEB9-1F2B8A741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10" name="Picture 594">
          <a:extLst>
            <a:ext uri="{FF2B5EF4-FFF2-40B4-BE49-F238E27FC236}">
              <a16:creationId xmlns:a16="http://schemas.microsoft.com/office/drawing/2014/main" id="{1E64005A-B314-4EAC-35C3-0FD68E73C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11" name="Picture 595">
          <a:extLst>
            <a:ext uri="{FF2B5EF4-FFF2-40B4-BE49-F238E27FC236}">
              <a16:creationId xmlns:a16="http://schemas.microsoft.com/office/drawing/2014/main" id="{7F3AD6EB-23EA-2C15-E820-BC106143F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12" name="Picture 596">
          <a:extLst>
            <a:ext uri="{FF2B5EF4-FFF2-40B4-BE49-F238E27FC236}">
              <a16:creationId xmlns:a16="http://schemas.microsoft.com/office/drawing/2014/main" id="{CCCF6FDC-6FEF-EFD2-AD6D-F0DA4C873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13" name="Picture 597">
          <a:extLst>
            <a:ext uri="{FF2B5EF4-FFF2-40B4-BE49-F238E27FC236}">
              <a16:creationId xmlns:a16="http://schemas.microsoft.com/office/drawing/2014/main" id="{B1FA89F0-5366-C79F-B2C0-B2D5A1DEA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14" name="Picture 598">
          <a:extLst>
            <a:ext uri="{FF2B5EF4-FFF2-40B4-BE49-F238E27FC236}">
              <a16:creationId xmlns:a16="http://schemas.microsoft.com/office/drawing/2014/main" id="{4F8A44BC-9C8F-98EE-AA31-DD0FFF0F6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15" name="Picture 599">
          <a:extLst>
            <a:ext uri="{FF2B5EF4-FFF2-40B4-BE49-F238E27FC236}">
              <a16:creationId xmlns:a16="http://schemas.microsoft.com/office/drawing/2014/main" id="{D5DB57B1-C40F-3354-650F-D3A8319F8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16" name="Picture 600">
          <a:extLst>
            <a:ext uri="{FF2B5EF4-FFF2-40B4-BE49-F238E27FC236}">
              <a16:creationId xmlns:a16="http://schemas.microsoft.com/office/drawing/2014/main" id="{9301AFAD-0C0C-64E6-5E08-443DF6429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17" name="Picture 601">
          <a:extLst>
            <a:ext uri="{FF2B5EF4-FFF2-40B4-BE49-F238E27FC236}">
              <a16:creationId xmlns:a16="http://schemas.microsoft.com/office/drawing/2014/main" id="{FDB5B1A8-64FA-FA24-15B7-6784E963D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18" name="Picture 602">
          <a:extLst>
            <a:ext uri="{FF2B5EF4-FFF2-40B4-BE49-F238E27FC236}">
              <a16:creationId xmlns:a16="http://schemas.microsoft.com/office/drawing/2014/main" id="{3ADAE781-8541-2F1D-4206-468119353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19" name="Picture 603">
          <a:extLst>
            <a:ext uri="{FF2B5EF4-FFF2-40B4-BE49-F238E27FC236}">
              <a16:creationId xmlns:a16="http://schemas.microsoft.com/office/drawing/2014/main" id="{49CFD40F-56D5-080B-5288-B819255D5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20" name="Picture 604">
          <a:extLst>
            <a:ext uri="{FF2B5EF4-FFF2-40B4-BE49-F238E27FC236}">
              <a16:creationId xmlns:a16="http://schemas.microsoft.com/office/drawing/2014/main" id="{571B8910-418F-C0DA-4BF5-E0239F4C4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21" name="Picture 605">
          <a:extLst>
            <a:ext uri="{FF2B5EF4-FFF2-40B4-BE49-F238E27FC236}">
              <a16:creationId xmlns:a16="http://schemas.microsoft.com/office/drawing/2014/main" id="{419EA824-4ACE-D77F-64D9-E825548FF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22" name="Picture 606">
          <a:extLst>
            <a:ext uri="{FF2B5EF4-FFF2-40B4-BE49-F238E27FC236}">
              <a16:creationId xmlns:a16="http://schemas.microsoft.com/office/drawing/2014/main" id="{292D872E-D66C-7C6A-DF10-2ED4E54BA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23" name="Picture 607">
          <a:extLst>
            <a:ext uri="{FF2B5EF4-FFF2-40B4-BE49-F238E27FC236}">
              <a16:creationId xmlns:a16="http://schemas.microsoft.com/office/drawing/2014/main" id="{1899B1EE-4A62-A660-D695-1863CE9D4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24" name="Picture 608">
          <a:extLst>
            <a:ext uri="{FF2B5EF4-FFF2-40B4-BE49-F238E27FC236}">
              <a16:creationId xmlns:a16="http://schemas.microsoft.com/office/drawing/2014/main" id="{B6DDAC7C-0C16-1BDA-C977-CFBC64094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25" name="Picture 609">
          <a:extLst>
            <a:ext uri="{FF2B5EF4-FFF2-40B4-BE49-F238E27FC236}">
              <a16:creationId xmlns:a16="http://schemas.microsoft.com/office/drawing/2014/main" id="{E14EE40F-F81F-9BAA-7AB9-B82C4AEB4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26" name="Picture 610">
          <a:extLst>
            <a:ext uri="{FF2B5EF4-FFF2-40B4-BE49-F238E27FC236}">
              <a16:creationId xmlns:a16="http://schemas.microsoft.com/office/drawing/2014/main" id="{433AD2CA-4BAB-D0CD-0CA9-A2025FCBD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27" name="Picture 611">
          <a:extLst>
            <a:ext uri="{FF2B5EF4-FFF2-40B4-BE49-F238E27FC236}">
              <a16:creationId xmlns:a16="http://schemas.microsoft.com/office/drawing/2014/main" id="{EDB8E3E4-0DD2-18CC-2250-6D29610D5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28" name="Picture 612">
          <a:extLst>
            <a:ext uri="{FF2B5EF4-FFF2-40B4-BE49-F238E27FC236}">
              <a16:creationId xmlns:a16="http://schemas.microsoft.com/office/drawing/2014/main" id="{D2E617C0-DD3B-F6BB-4C29-5BFBA771A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29" name="Picture 613">
          <a:extLst>
            <a:ext uri="{FF2B5EF4-FFF2-40B4-BE49-F238E27FC236}">
              <a16:creationId xmlns:a16="http://schemas.microsoft.com/office/drawing/2014/main" id="{49ED9348-EF41-77F1-AE33-30F596A7E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30" name="Picture 614">
          <a:extLst>
            <a:ext uri="{FF2B5EF4-FFF2-40B4-BE49-F238E27FC236}">
              <a16:creationId xmlns:a16="http://schemas.microsoft.com/office/drawing/2014/main" id="{C13F7BB9-10EC-0881-9FED-1E492C0D8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31" name="Picture 615">
          <a:extLst>
            <a:ext uri="{FF2B5EF4-FFF2-40B4-BE49-F238E27FC236}">
              <a16:creationId xmlns:a16="http://schemas.microsoft.com/office/drawing/2014/main" id="{A00AFA9E-8C29-63C0-916B-C62C73669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32" name="Picture 616">
          <a:extLst>
            <a:ext uri="{FF2B5EF4-FFF2-40B4-BE49-F238E27FC236}">
              <a16:creationId xmlns:a16="http://schemas.microsoft.com/office/drawing/2014/main" id="{A08FB08C-5D9D-FD06-FD27-1D016A0C0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33" name="Picture 617">
          <a:extLst>
            <a:ext uri="{FF2B5EF4-FFF2-40B4-BE49-F238E27FC236}">
              <a16:creationId xmlns:a16="http://schemas.microsoft.com/office/drawing/2014/main" id="{F74670E3-B998-EB3C-78EF-D243A173B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34" name="Picture 618">
          <a:extLst>
            <a:ext uri="{FF2B5EF4-FFF2-40B4-BE49-F238E27FC236}">
              <a16:creationId xmlns:a16="http://schemas.microsoft.com/office/drawing/2014/main" id="{D7D33E96-5524-2364-C476-33E901295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35" name="Picture 619">
          <a:extLst>
            <a:ext uri="{FF2B5EF4-FFF2-40B4-BE49-F238E27FC236}">
              <a16:creationId xmlns:a16="http://schemas.microsoft.com/office/drawing/2014/main" id="{14C3F1FC-0970-AB2C-4C41-1BBFF8214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36" name="Picture 620">
          <a:extLst>
            <a:ext uri="{FF2B5EF4-FFF2-40B4-BE49-F238E27FC236}">
              <a16:creationId xmlns:a16="http://schemas.microsoft.com/office/drawing/2014/main" id="{CB1A1BA8-E7E5-EED6-261E-F23949171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37" name="Picture 621">
          <a:extLst>
            <a:ext uri="{FF2B5EF4-FFF2-40B4-BE49-F238E27FC236}">
              <a16:creationId xmlns:a16="http://schemas.microsoft.com/office/drawing/2014/main" id="{4F4A82A2-FB96-FB4D-622F-1276CDD43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38" name="Picture 622">
          <a:extLst>
            <a:ext uri="{FF2B5EF4-FFF2-40B4-BE49-F238E27FC236}">
              <a16:creationId xmlns:a16="http://schemas.microsoft.com/office/drawing/2014/main" id="{B9138D0C-4AA3-D127-CB44-5BCB09BA9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39" name="Picture 623">
          <a:extLst>
            <a:ext uri="{FF2B5EF4-FFF2-40B4-BE49-F238E27FC236}">
              <a16:creationId xmlns:a16="http://schemas.microsoft.com/office/drawing/2014/main" id="{BD3E67F1-44C5-C43B-8671-F5EA27338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40" name="Picture 624">
          <a:extLst>
            <a:ext uri="{FF2B5EF4-FFF2-40B4-BE49-F238E27FC236}">
              <a16:creationId xmlns:a16="http://schemas.microsoft.com/office/drawing/2014/main" id="{DAF0D9AB-41AC-E8F5-0753-E1836E93F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41" name="Picture 625">
          <a:extLst>
            <a:ext uri="{FF2B5EF4-FFF2-40B4-BE49-F238E27FC236}">
              <a16:creationId xmlns:a16="http://schemas.microsoft.com/office/drawing/2014/main" id="{7ED10638-3CED-CD2D-FE8D-1613AED40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42" name="Picture 626">
          <a:extLst>
            <a:ext uri="{FF2B5EF4-FFF2-40B4-BE49-F238E27FC236}">
              <a16:creationId xmlns:a16="http://schemas.microsoft.com/office/drawing/2014/main" id="{A2056B90-D8B2-217F-38C3-ABE885F05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43" name="Picture 627">
          <a:extLst>
            <a:ext uri="{FF2B5EF4-FFF2-40B4-BE49-F238E27FC236}">
              <a16:creationId xmlns:a16="http://schemas.microsoft.com/office/drawing/2014/main" id="{80C27E06-7159-E5DB-0F97-20E3D51A5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44" name="Picture 628">
          <a:extLst>
            <a:ext uri="{FF2B5EF4-FFF2-40B4-BE49-F238E27FC236}">
              <a16:creationId xmlns:a16="http://schemas.microsoft.com/office/drawing/2014/main" id="{93867233-31EA-3AB2-B6F3-E697AE13C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45" name="Picture 629">
          <a:extLst>
            <a:ext uri="{FF2B5EF4-FFF2-40B4-BE49-F238E27FC236}">
              <a16:creationId xmlns:a16="http://schemas.microsoft.com/office/drawing/2014/main" id="{B1F47502-40CD-FB56-6C6A-AE9084F38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46" name="Picture 630">
          <a:extLst>
            <a:ext uri="{FF2B5EF4-FFF2-40B4-BE49-F238E27FC236}">
              <a16:creationId xmlns:a16="http://schemas.microsoft.com/office/drawing/2014/main" id="{F2895820-76C3-F563-43B5-8B38E19DF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47" name="Picture 631">
          <a:extLst>
            <a:ext uri="{FF2B5EF4-FFF2-40B4-BE49-F238E27FC236}">
              <a16:creationId xmlns:a16="http://schemas.microsoft.com/office/drawing/2014/main" id="{0DD76F2F-6B84-8A4D-3691-00929E9A1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48" name="Picture 632">
          <a:extLst>
            <a:ext uri="{FF2B5EF4-FFF2-40B4-BE49-F238E27FC236}">
              <a16:creationId xmlns:a16="http://schemas.microsoft.com/office/drawing/2014/main" id="{82687659-F754-1CAD-0A14-1CD8C8102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49" name="Picture 633">
          <a:extLst>
            <a:ext uri="{FF2B5EF4-FFF2-40B4-BE49-F238E27FC236}">
              <a16:creationId xmlns:a16="http://schemas.microsoft.com/office/drawing/2014/main" id="{615ED5DF-EF9D-0594-728B-A39F5AB09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50" name="Picture 634">
          <a:extLst>
            <a:ext uri="{FF2B5EF4-FFF2-40B4-BE49-F238E27FC236}">
              <a16:creationId xmlns:a16="http://schemas.microsoft.com/office/drawing/2014/main" id="{8119A24C-CC6D-1E76-D29F-7D44684F0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51" name="Picture 635">
          <a:extLst>
            <a:ext uri="{FF2B5EF4-FFF2-40B4-BE49-F238E27FC236}">
              <a16:creationId xmlns:a16="http://schemas.microsoft.com/office/drawing/2014/main" id="{D0939D6C-AA89-5507-86ED-D8CEF56F5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52" name="Picture 636">
          <a:extLst>
            <a:ext uri="{FF2B5EF4-FFF2-40B4-BE49-F238E27FC236}">
              <a16:creationId xmlns:a16="http://schemas.microsoft.com/office/drawing/2014/main" id="{A9A055F7-D850-7F3D-BEC5-256445D1D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53" name="Picture 637">
          <a:extLst>
            <a:ext uri="{FF2B5EF4-FFF2-40B4-BE49-F238E27FC236}">
              <a16:creationId xmlns:a16="http://schemas.microsoft.com/office/drawing/2014/main" id="{3D118C5A-9352-9CE9-8049-346926FA5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54" name="Picture 638">
          <a:extLst>
            <a:ext uri="{FF2B5EF4-FFF2-40B4-BE49-F238E27FC236}">
              <a16:creationId xmlns:a16="http://schemas.microsoft.com/office/drawing/2014/main" id="{2AEAF223-EC07-8340-251B-342D6A7D0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55" name="Picture 639">
          <a:extLst>
            <a:ext uri="{FF2B5EF4-FFF2-40B4-BE49-F238E27FC236}">
              <a16:creationId xmlns:a16="http://schemas.microsoft.com/office/drawing/2014/main" id="{C05DE190-E942-BDEE-EE56-6F4BA7948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56" name="Picture 640">
          <a:extLst>
            <a:ext uri="{FF2B5EF4-FFF2-40B4-BE49-F238E27FC236}">
              <a16:creationId xmlns:a16="http://schemas.microsoft.com/office/drawing/2014/main" id="{3275A5FB-F6F6-AE04-8C52-7CA307D3E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57" name="Picture 641">
          <a:extLst>
            <a:ext uri="{FF2B5EF4-FFF2-40B4-BE49-F238E27FC236}">
              <a16:creationId xmlns:a16="http://schemas.microsoft.com/office/drawing/2014/main" id="{F2246100-9EA4-A576-EAF4-AE0359E22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58" name="Picture 642">
          <a:extLst>
            <a:ext uri="{FF2B5EF4-FFF2-40B4-BE49-F238E27FC236}">
              <a16:creationId xmlns:a16="http://schemas.microsoft.com/office/drawing/2014/main" id="{EDC2CA1C-9E22-F2AC-5BA0-13EF7D1B6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59" name="Picture 643">
          <a:extLst>
            <a:ext uri="{FF2B5EF4-FFF2-40B4-BE49-F238E27FC236}">
              <a16:creationId xmlns:a16="http://schemas.microsoft.com/office/drawing/2014/main" id="{F5AE5930-CFC2-6048-B295-34D537CEB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60" name="Picture 644">
          <a:extLst>
            <a:ext uri="{FF2B5EF4-FFF2-40B4-BE49-F238E27FC236}">
              <a16:creationId xmlns:a16="http://schemas.microsoft.com/office/drawing/2014/main" id="{592ECB8A-913C-0E50-377B-5BB76162D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61" name="Picture 645">
          <a:extLst>
            <a:ext uri="{FF2B5EF4-FFF2-40B4-BE49-F238E27FC236}">
              <a16:creationId xmlns:a16="http://schemas.microsoft.com/office/drawing/2014/main" id="{03B5E9B0-7CA9-F4CD-7D28-8B1210671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62" name="Picture 646">
          <a:extLst>
            <a:ext uri="{FF2B5EF4-FFF2-40B4-BE49-F238E27FC236}">
              <a16:creationId xmlns:a16="http://schemas.microsoft.com/office/drawing/2014/main" id="{E9FEBD76-AC42-0DC2-992D-3CBB4B900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63" name="Picture 647">
          <a:extLst>
            <a:ext uri="{FF2B5EF4-FFF2-40B4-BE49-F238E27FC236}">
              <a16:creationId xmlns:a16="http://schemas.microsoft.com/office/drawing/2014/main" id="{E15CF242-9408-D88A-4006-28B6EDFB2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64" name="Picture 648">
          <a:extLst>
            <a:ext uri="{FF2B5EF4-FFF2-40B4-BE49-F238E27FC236}">
              <a16:creationId xmlns:a16="http://schemas.microsoft.com/office/drawing/2014/main" id="{34BE7F7A-5FB4-002D-6AE8-3DF12D807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65" name="Picture 649">
          <a:extLst>
            <a:ext uri="{FF2B5EF4-FFF2-40B4-BE49-F238E27FC236}">
              <a16:creationId xmlns:a16="http://schemas.microsoft.com/office/drawing/2014/main" id="{3792799A-650E-F321-9334-75D06A6B6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66" name="Picture 650">
          <a:extLst>
            <a:ext uri="{FF2B5EF4-FFF2-40B4-BE49-F238E27FC236}">
              <a16:creationId xmlns:a16="http://schemas.microsoft.com/office/drawing/2014/main" id="{985AECD9-8739-CD55-30CD-9B4B1B09A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67" name="Picture 651">
          <a:extLst>
            <a:ext uri="{FF2B5EF4-FFF2-40B4-BE49-F238E27FC236}">
              <a16:creationId xmlns:a16="http://schemas.microsoft.com/office/drawing/2014/main" id="{B5C5F739-7F59-E916-F7BA-E971CF497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68" name="Picture 652">
          <a:extLst>
            <a:ext uri="{FF2B5EF4-FFF2-40B4-BE49-F238E27FC236}">
              <a16:creationId xmlns:a16="http://schemas.microsoft.com/office/drawing/2014/main" id="{6D77E2B0-455C-8BD0-2B28-BF618B66E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69" name="Picture 653">
          <a:extLst>
            <a:ext uri="{FF2B5EF4-FFF2-40B4-BE49-F238E27FC236}">
              <a16:creationId xmlns:a16="http://schemas.microsoft.com/office/drawing/2014/main" id="{DF38644B-7333-8C68-25B6-3F47DCB18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70" name="Picture 654">
          <a:extLst>
            <a:ext uri="{FF2B5EF4-FFF2-40B4-BE49-F238E27FC236}">
              <a16:creationId xmlns:a16="http://schemas.microsoft.com/office/drawing/2014/main" id="{5151C135-A987-5F63-0F5B-A4618404C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71" name="Picture 655">
          <a:extLst>
            <a:ext uri="{FF2B5EF4-FFF2-40B4-BE49-F238E27FC236}">
              <a16:creationId xmlns:a16="http://schemas.microsoft.com/office/drawing/2014/main" id="{216F4740-247E-D256-10E1-07976B0C4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72" name="Picture 656">
          <a:extLst>
            <a:ext uri="{FF2B5EF4-FFF2-40B4-BE49-F238E27FC236}">
              <a16:creationId xmlns:a16="http://schemas.microsoft.com/office/drawing/2014/main" id="{2F0FBE2B-F54F-C776-2F17-9BBDBD5D6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73" name="Picture 657">
          <a:extLst>
            <a:ext uri="{FF2B5EF4-FFF2-40B4-BE49-F238E27FC236}">
              <a16:creationId xmlns:a16="http://schemas.microsoft.com/office/drawing/2014/main" id="{7AD4F211-BDD2-1DDE-F6BD-B6956C765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74" name="Picture 658">
          <a:extLst>
            <a:ext uri="{FF2B5EF4-FFF2-40B4-BE49-F238E27FC236}">
              <a16:creationId xmlns:a16="http://schemas.microsoft.com/office/drawing/2014/main" id="{38093203-8B33-1E1C-D060-D9871139A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75" name="Picture 659">
          <a:extLst>
            <a:ext uri="{FF2B5EF4-FFF2-40B4-BE49-F238E27FC236}">
              <a16:creationId xmlns:a16="http://schemas.microsoft.com/office/drawing/2014/main" id="{A9F1BADA-66B5-EBF7-001C-7F7940101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76" name="Picture 660">
          <a:extLst>
            <a:ext uri="{FF2B5EF4-FFF2-40B4-BE49-F238E27FC236}">
              <a16:creationId xmlns:a16="http://schemas.microsoft.com/office/drawing/2014/main" id="{C1A44048-FBCB-0520-DEDF-E6B80749F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77" name="Picture 661">
          <a:extLst>
            <a:ext uri="{FF2B5EF4-FFF2-40B4-BE49-F238E27FC236}">
              <a16:creationId xmlns:a16="http://schemas.microsoft.com/office/drawing/2014/main" id="{B3D5F6DD-3B74-A614-8C68-0E4E00F89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78" name="Picture 662">
          <a:extLst>
            <a:ext uri="{FF2B5EF4-FFF2-40B4-BE49-F238E27FC236}">
              <a16:creationId xmlns:a16="http://schemas.microsoft.com/office/drawing/2014/main" id="{4A35F332-731E-99F4-7264-3928B52CD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79" name="Picture 663">
          <a:extLst>
            <a:ext uri="{FF2B5EF4-FFF2-40B4-BE49-F238E27FC236}">
              <a16:creationId xmlns:a16="http://schemas.microsoft.com/office/drawing/2014/main" id="{4A0A07E6-CCD7-6E74-AFE1-C3C00F026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80" name="Picture 664">
          <a:extLst>
            <a:ext uri="{FF2B5EF4-FFF2-40B4-BE49-F238E27FC236}">
              <a16:creationId xmlns:a16="http://schemas.microsoft.com/office/drawing/2014/main" id="{690B98FF-3AF5-F248-942B-E2DB5E30C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81" name="Picture 665">
          <a:extLst>
            <a:ext uri="{FF2B5EF4-FFF2-40B4-BE49-F238E27FC236}">
              <a16:creationId xmlns:a16="http://schemas.microsoft.com/office/drawing/2014/main" id="{7EE8B1A2-330D-E1E8-39E4-549C8E4DC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82" name="Picture 666">
          <a:extLst>
            <a:ext uri="{FF2B5EF4-FFF2-40B4-BE49-F238E27FC236}">
              <a16:creationId xmlns:a16="http://schemas.microsoft.com/office/drawing/2014/main" id="{39AF4AFC-9A9E-D2C9-4785-EA35E7FB6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83" name="Picture 667">
          <a:extLst>
            <a:ext uri="{FF2B5EF4-FFF2-40B4-BE49-F238E27FC236}">
              <a16:creationId xmlns:a16="http://schemas.microsoft.com/office/drawing/2014/main" id="{2422CEC7-936D-5686-3F03-2B7EB5A62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84" name="Picture 668">
          <a:extLst>
            <a:ext uri="{FF2B5EF4-FFF2-40B4-BE49-F238E27FC236}">
              <a16:creationId xmlns:a16="http://schemas.microsoft.com/office/drawing/2014/main" id="{46BEC41C-E33F-4672-D5E5-C14F497E3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85" name="Picture 669">
          <a:extLst>
            <a:ext uri="{FF2B5EF4-FFF2-40B4-BE49-F238E27FC236}">
              <a16:creationId xmlns:a16="http://schemas.microsoft.com/office/drawing/2014/main" id="{B0645A7D-5CCE-9E94-26E0-A441620D7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86" name="Picture 670">
          <a:extLst>
            <a:ext uri="{FF2B5EF4-FFF2-40B4-BE49-F238E27FC236}">
              <a16:creationId xmlns:a16="http://schemas.microsoft.com/office/drawing/2014/main" id="{BC61706D-A1F5-9BBE-EDBE-21786D6CD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87" name="Picture 671">
          <a:extLst>
            <a:ext uri="{FF2B5EF4-FFF2-40B4-BE49-F238E27FC236}">
              <a16:creationId xmlns:a16="http://schemas.microsoft.com/office/drawing/2014/main" id="{4953136D-21D2-EAE2-FAB0-E15FE3F3D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88" name="Picture 672">
          <a:extLst>
            <a:ext uri="{FF2B5EF4-FFF2-40B4-BE49-F238E27FC236}">
              <a16:creationId xmlns:a16="http://schemas.microsoft.com/office/drawing/2014/main" id="{72FFAA31-857D-248A-190D-20E60B7B8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89" name="Picture 673">
          <a:extLst>
            <a:ext uri="{FF2B5EF4-FFF2-40B4-BE49-F238E27FC236}">
              <a16:creationId xmlns:a16="http://schemas.microsoft.com/office/drawing/2014/main" id="{54DA06B6-7FB4-4A08-D31C-345B9527C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90" name="Picture 674">
          <a:extLst>
            <a:ext uri="{FF2B5EF4-FFF2-40B4-BE49-F238E27FC236}">
              <a16:creationId xmlns:a16="http://schemas.microsoft.com/office/drawing/2014/main" id="{0671FFCD-F883-72BB-26A0-144C98638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91" name="Picture 675">
          <a:extLst>
            <a:ext uri="{FF2B5EF4-FFF2-40B4-BE49-F238E27FC236}">
              <a16:creationId xmlns:a16="http://schemas.microsoft.com/office/drawing/2014/main" id="{E3368B7E-9D8A-A40A-66A8-816D0F327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92" name="Picture 676">
          <a:extLst>
            <a:ext uri="{FF2B5EF4-FFF2-40B4-BE49-F238E27FC236}">
              <a16:creationId xmlns:a16="http://schemas.microsoft.com/office/drawing/2014/main" id="{9D24F397-4595-3E36-FEED-32F344EEE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93" name="Picture 677">
          <a:extLst>
            <a:ext uri="{FF2B5EF4-FFF2-40B4-BE49-F238E27FC236}">
              <a16:creationId xmlns:a16="http://schemas.microsoft.com/office/drawing/2014/main" id="{F3FC3E58-2B22-A0E6-0B18-015B5E75D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94" name="Picture 678">
          <a:extLst>
            <a:ext uri="{FF2B5EF4-FFF2-40B4-BE49-F238E27FC236}">
              <a16:creationId xmlns:a16="http://schemas.microsoft.com/office/drawing/2014/main" id="{B54FC8F4-D951-3F75-86B3-0ACD86561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95" name="Picture 679">
          <a:extLst>
            <a:ext uri="{FF2B5EF4-FFF2-40B4-BE49-F238E27FC236}">
              <a16:creationId xmlns:a16="http://schemas.microsoft.com/office/drawing/2014/main" id="{322F1AF2-60D5-4272-863E-3378BCAF1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496" name="Picture 680">
          <a:extLst>
            <a:ext uri="{FF2B5EF4-FFF2-40B4-BE49-F238E27FC236}">
              <a16:creationId xmlns:a16="http://schemas.microsoft.com/office/drawing/2014/main" id="{D529B13C-4DB2-26DF-9A0F-9976D604D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97" name="Picture 681">
          <a:extLst>
            <a:ext uri="{FF2B5EF4-FFF2-40B4-BE49-F238E27FC236}">
              <a16:creationId xmlns:a16="http://schemas.microsoft.com/office/drawing/2014/main" id="{ED367AFF-AC70-8B1C-15E4-7E291BEA3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98" name="Picture 682">
          <a:extLst>
            <a:ext uri="{FF2B5EF4-FFF2-40B4-BE49-F238E27FC236}">
              <a16:creationId xmlns:a16="http://schemas.microsoft.com/office/drawing/2014/main" id="{AEB49F1C-F75A-490A-4260-82DDAE778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499" name="Picture 683">
          <a:extLst>
            <a:ext uri="{FF2B5EF4-FFF2-40B4-BE49-F238E27FC236}">
              <a16:creationId xmlns:a16="http://schemas.microsoft.com/office/drawing/2014/main" id="{3ACE4681-4E69-8C13-B731-43AAE91B4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00" name="Picture 684">
          <a:extLst>
            <a:ext uri="{FF2B5EF4-FFF2-40B4-BE49-F238E27FC236}">
              <a16:creationId xmlns:a16="http://schemas.microsoft.com/office/drawing/2014/main" id="{D514E3F3-1256-C992-0919-AE6AFC497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01" name="Picture 685">
          <a:extLst>
            <a:ext uri="{FF2B5EF4-FFF2-40B4-BE49-F238E27FC236}">
              <a16:creationId xmlns:a16="http://schemas.microsoft.com/office/drawing/2014/main" id="{DA4ED973-6B22-EAFD-16C4-DAEAF6C54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02" name="Picture 686">
          <a:extLst>
            <a:ext uri="{FF2B5EF4-FFF2-40B4-BE49-F238E27FC236}">
              <a16:creationId xmlns:a16="http://schemas.microsoft.com/office/drawing/2014/main" id="{852AD234-4B0E-381F-868E-FE4E70720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03" name="Picture 687">
          <a:extLst>
            <a:ext uri="{FF2B5EF4-FFF2-40B4-BE49-F238E27FC236}">
              <a16:creationId xmlns:a16="http://schemas.microsoft.com/office/drawing/2014/main" id="{C7593E02-2A85-3BBC-A65D-0A792B603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04" name="Picture 688">
          <a:extLst>
            <a:ext uri="{FF2B5EF4-FFF2-40B4-BE49-F238E27FC236}">
              <a16:creationId xmlns:a16="http://schemas.microsoft.com/office/drawing/2014/main" id="{CCA40F9B-D193-E7C3-8580-EF7825D55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05" name="Picture 689">
          <a:extLst>
            <a:ext uri="{FF2B5EF4-FFF2-40B4-BE49-F238E27FC236}">
              <a16:creationId xmlns:a16="http://schemas.microsoft.com/office/drawing/2014/main" id="{7B09759E-346C-2DB8-0CE0-D75F80495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06" name="Picture 690">
          <a:extLst>
            <a:ext uri="{FF2B5EF4-FFF2-40B4-BE49-F238E27FC236}">
              <a16:creationId xmlns:a16="http://schemas.microsoft.com/office/drawing/2014/main" id="{FD670286-3A20-3B73-3049-0EEA4B474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07" name="Picture 691">
          <a:extLst>
            <a:ext uri="{FF2B5EF4-FFF2-40B4-BE49-F238E27FC236}">
              <a16:creationId xmlns:a16="http://schemas.microsoft.com/office/drawing/2014/main" id="{8BBF840F-2393-ED09-2A21-3305A63C8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08" name="Picture 692">
          <a:extLst>
            <a:ext uri="{FF2B5EF4-FFF2-40B4-BE49-F238E27FC236}">
              <a16:creationId xmlns:a16="http://schemas.microsoft.com/office/drawing/2014/main" id="{40B9F2E9-0847-89A8-6CAD-1B73F370C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09" name="Picture 693">
          <a:extLst>
            <a:ext uri="{FF2B5EF4-FFF2-40B4-BE49-F238E27FC236}">
              <a16:creationId xmlns:a16="http://schemas.microsoft.com/office/drawing/2014/main" id="{53183C48-1AB7-F38F-8516-B6A48920C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10" name="Picture 694">
          <a:extLst>
            <a:ext uri="{FF2B5EF4-FFF2-40B4-BE49-F238E27FC236}">
              <a16:creationId xmlns:a16="http://schemas.microsoft.com/office/drawing/2014/main" id="{6701E280-7A0B-5234-F9BA-6E4D1F27E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11" name="Picture 695">
          <a:extLst>
            <a:ext uri="{FF2B5EF4-FFF2-40B4-BE49-F238E27FC236}">
              <a16:creationId xmlns:a16="http://schemas.microsoft.com/office/drawing/2014/main" id="{68C81163-DDBB-4D75-00FB-E420BD4A3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12" name="Picture 696">
          <a:extLst>
            <a:ext uri="{FF2B5EF4-FFF2-40B4-BE49-F238E27FC236}">
              <a16:creationId xmlns:a16="http://schemas.microsoft.com/office/drawing/2014/main" id="{AE2FADE2-BB1A-54AD-093E-38411BE83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13" name="Picture 697">
          <a:extLst>
            <a:ext uri="{FF2B5EF4-FFF2-40B4-BE49-F238E27FC236}">
              <a16:creationId xmlns:a16="http://schemas.microsoft.com/office/drawing/2014/main" id="{1D119A79-05EE-8750-E1F2-8ED4CDEC7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14" name="Picture 698">
          <a:extLst>
            <a:ext uri="{FF2B5EF4-FFF2-40B4-BE49-F238E27FC236}">
              <a16:creationId xmlns:a16="http://schemas.microsoft.com/office/drawing/2014/main" id="{505A2EBD-D955-00E5-F11A-64E61A68E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15" name="Picture 699">
          <a:extLst>
            <a:ext uri="{FF2B5EF4-FFF2-40B4-BE49-F238E27FC236}">
              <a16:creationId xmlns:a16="http://schemas.microsoft.com/office/drawing/2014/main" id="{8286F901-B4B0-72D0-8435-E704911A4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16" name="Picture 700">
          <a:extLst>
            <a:ext uri="{FF2B5EF4-FFF2-40B4-BE49-F238E27FC236}">
              <a16:creationId xmlns:a16="http://schemas.microsoft.com/office/drawing/2014/main" id="{E0BF4EE1-2BB0-B147-5B64-053C52F41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17" name="Picture 701">
          <a:extLst>
            <a:ext uri="{FF2B5EF4-FFF2-40B4-BE49-F238E27FC236}">
              <a16:creationId xmlns:a16="http://schemas.microsoft.com/office/drawing/2014/main" id="{D79FA108-D0CC-0AC1-16DD-CFB61A58F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18" name="Picture 702">
          <a:extLst>
            <a:ext uri="{FF2B5EF4-FFF2-40B4-BE49-F238E27FC236}">
              <a16:creationId xmlns:a16="http://schemas.microsoft.com/office/drawing/2014/main" id="{007BBA08-46B8-EAA4-78AB-5E1EEE254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19" name="Picture 703">
          <a:extLst>
            <a:ext uri="{FF2B5EF4-FFF2-40B4-BE49-F238E27FC236}">
              <a16:creationId xmlns:a16="http://schemas.microsoft.com/office/drawing/2014/main" id="{F050B4E2-931E-27C4-8F68-AEEA10C31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20" name="Picture 704">
          <a:extLst>
            <a:ext uri="{FF2B5EF4-FFF2-40B4-BE49-F238E27FC236}">
              <a16:creationId xmlns:a16="http://schemas.microsoft.com/office/drawing/2014/main" id="{F807E16B-E86D-D4B5-B989-322A4D28C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21" name="Picture 705">
          <a:extLst>
            <a:ext uri="{FF2B5EF4-FFF2-40B4-BE49-F238E27FC236}">
              <a16:creationId xmlns:a16="http://schemas.microsoft.com/office/drawing/2014/main" id="{D113B735-A852-50B2-DC8B-8DDBA3615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22" name="Picture 706">
          <a:extLst>
            <a:ext uri="{FF2B5EF4-FFF2-40B4-BE49-F238E27FC236}">
              <a16:creationId xmlns:a16="http://schemas.microsoft.com/office/drawing/2014/main" id="{1ABAE804-71AE-1371-4570-520F76899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23" name="Picture 707">
          <a:extLst>
            <a:ext uri="{FF2B5EF4-FFF2-40B4-BE49-F238E27FC236}">
              <a16:creationId xmlns:a16="http://schemas.microsoft.com/office/drawing/2014/main" id="{E8691A7E-03A6-17B3-673F-123F4E9CE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24" name="Picture 708">
          <a:extLst>
            <a:ext uri="{FF2B5EF4-FFF2-40B4-BE49-F238E27FC236}">
              <a16:creationId xmlns:a16="http://schemas.microsoft.com/office/drawing/2014/main" id="{2293D257-69B1-1532-FA9C-103C6D65A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25" name="Picture 709">
          <a:extLst>
            <a:ext uri="{FF2B5EF4-FFF2-40B4-BE49-F238E27FC236}">
              <a16:creationId xmlns:a16="http://schemas.microsoft.com/office/drawing/2014/main" id="{8AC12405-FCC0-DB9E-63DA-2F16EC659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26" name="Picture 710">
          <a:extLst>
            <a:ext uri="{FF2B5EF4-FFF2-40B4-BE49-F238E27FC236}">
              <a16:creationId xmlns:a16="http://schemas.microsoft.com/office/drawing/2014/main" id="{D08BCDE3-493A-84FD-E738-C41DE46EB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27" name="Picture 711">
          <a:extLst>
            <a:ext uri="{FF2B5EF4-FFF2-40B4-BE49-F238E27FC236}">
              <a16:creationId xmlns:a16="http://schemas.microsoft.com/office/drawing/2014/main" id="{D8705BFD-D96F-4A94-5059-C1B32086E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28" name="Picture 712">
          <a:extLst>
            <a:ext uri="{FF2B5EF4-FFF2-40B4-BE49-F238E27FC236}">
              <a16:creationId xmlns:a16="http://schemas.microsoft.com/office/drawing/2014/main" id="{79422FBC-32B0-7B48-748C-53A429DD5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29" name="Picture 713">
          <a:extLst>
            <a:ext uri="{FF2B5EF4-FFF2-40B4-BE49-F238E27FC236}">
              <a16:creationId xmlns:a16="http://schemas.microsoft.com/office/drawing/2014/main" id="{2D85D526-7AD0-C384-93A7-92CD23046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30" name="Picture 714">
          <a:extLst>
            <a:ext uri="{FF2B5EF4-FFF2-40B4-BE49-F238E27FC236}">
              <a16:creationId xmlns:a16="http://schemas.microsoft.com/office/drawing/2014/main" id="{A827E231-7ADB-81AD-EB18-57183918D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31" name="Picture 715">
          <a:extLst>
            <a:ext uri="{FF2B5EF4-FFF2-40B4-BE49-F238E27FC236}">
              <a16:creationId xmlns:a16="http://schemas.microsoft.com/office/drawing/2014/main" id="{DDB2113E-9E18-21BF-F254-DE2DB0D2F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32" name="Picture 716">
          <a:extLst>
            <a:ext uri="{FF2B5EF4-FFF2-40B4-BE49-F238E27FC236}">
              <a16:creationId xmlns:a16="http://schemas.microsoft.com/office/drawing/2014/main" id="{8BEC9015-D9B4-F50D-9537-0B949610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33" name="Picture 717">
          <a:extLst>
            <a:ext uri="{FF2B5EF4-FFF2-40B4-BE49-F238E27FC236}">
              <a16:creationId xmlns:a16="http://schemas.microsoft.com/office/drawing/2014/main" id="{B02210FA-5146-27A6-3678-80276CB60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34" name="Picture 718">
          <a:extLst>
            <a:ext uri="{FF2B5EF4-FFF2-40B4-BE49-F238E27FC236}">
              <a16:creationId xmlns:a16="http://schemas.microsoft.com/office/drawing/2014/main" id="{A646ED57-9333-95FD-5AEE-3D6644F11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35" name="Picture 719">
          <a:extLst>
            <a:ext uri="{FF2B5EF4-FFF2-40B4-BE49-F238E27FC236}">
              <a16:creationId xmlns:a16="http://schemas.microsoft.com/office/drawing/2014/main" id="{5EDA53EC-DAFF-71A8-DC8A-B8737CD20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36" name="Picture 720">
          <a:extLst>
            <a:ext uri="{FF2B5EF4-FFF2-40B4-BE49-F238E27FC236}">
              <a16:creationId xmlns:a16="http://schemas.microsoft.com/office/drawing/2014/main" id="{575FCFE1-56A6-32B4-085B-1B2177C5F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37" name="Picture 721">
          <a:extLst>
            <a:ext uri="{FF2B5EF4-FFF2-40B4-BE49-F238E27FC236}">
              <a16:creationId xmlns:a16="http://schemas.microsoft.com/office/drawing/2014/main" id="{C98CA25C-0798-ADA8-55CB-08C1D0D0C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38" name="Picture 722">
          <a:extLst>
            <a:ext uri="{FF2B5EF4-FFF2-40B4-BE49-F238E27FC236}">
              <a16:creationId xmlns:a16="http://schemas.microsoft.com/office/drawing/2014/main" id="{6B42EDF1-8BBF-36E6-4BEB-738244392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39" name="Picture 723">
          <a:extLst>
            <a:ext uri="{FF2B5EF4-FFF2-40B4-BE49-F238E27FC236}">
              <a16:creationId xmlns:a16="http://schemas.microsoft.com/office/drawing/2014/main" id="{1022B552-E56E-B731-A6B9-2542ACB22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40" name="Picture 724">
          <a:extLst>
            <a:ext uri="{FF2B5EF4-FFF2-40B4-BE49-F238E27FC236}">
              <a16:creationId xmlns:a16="http://schemas.microsoft.com/office/drawing/2014/main" id="{6F074184-63D9-A5A0-C14C-2433626AB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41" name="Picture 725">
          <a:extLst>
            <a:ext uri="{FF2B5EF4-FFF2-40B4-BE49-F238E27FC236}">
              <a16:creationId xmlns:a16="http://schemas.microsoft.com/office/drawing/2014/main" id="{2DE2BDF9-DFB8-9D9B-19C0-3F93332DF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42" name="Picture 726">
          <a:extLst>
            <a:ext uri="{FF2B5EF4-FFF2-40B4-BE49-F238E27FC236}">
              <a16:creationId xmlns:a16="http://schemas.microsoft.com/office/drawing/2014/main" id="{C3C686B9-8856-0E7E-7D7A-D5A6F3EC7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43" name="Picture 727">
          <a:extLst>
            <a:ext uri="{FF2B5EF4-FFF2-40B4-BE49-F238E27FC236}">
              <a16:creationId xmlns:a16="http://schemas.microsoft.com/office/drawing/2014/main" id="{F9CAD062-04BC-95CA-8BD7-FF0D44455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44" name="Picture 728">
          <a:extLst>
            <a:ext uri="{FF2B5EF4-FFF2-40B4-BE49-F238E27FC236}">
              <a16:creationId xmlns:a16="http://schemas.microsoft.com/office/drawing/2014/main" id="{A806E1B0-1CE4-CFDE-D396-3414CB328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45" name="Picture 729">
          <a:extLst>
            <a:ext uri="{FF2B5EF4-FFF2-40B4-BE49-F238E27FC236}">
              <a16:creationId xmlns:a16="http://schemas.microsoft.com/office/drawing/2014/main" id="{239DBCA5-A52F-B2F9-BC00-C0340D63D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46" name="Picture 730">
          <a:extLst>
            <a:ext uri="{FF2B5EF4-FFF2-40B4-BE49-F238E27FC236}">
              <a16:creationId xmlns:a16="http://schemas.microsoft.com/office/drawing/2014/main" id="{FD5E82EA-4DAB-41AD-0174-C26AB9CC6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47" name="Picture 731">
          <a:extLst>
            <a:ext uri="{FF2B5EF4-FFF2-40B4-BE49-F238E27FC236}">
              <a16:creationId xmlns:a16="http://schemas.microsoft.com/office/drawing/2014/main" id="{72E20B22-CBB8-238C-AB29-E12FA222F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48" name="Picture 732">
          <a:extLst>
            <a:ext uri="{FF2B5EF4-FFF2-40B4-BE49-F238E27FC236}">
              <a16:creationId xmlns:a16="http://schemas.microsoft.com/office/drawing/2014/main" id="{C8D7CBA0-9261-381E-0D09-778903E7B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49" name="Picture 733">
          <a:extLst>
            <a:ext uri="{FF2B5EF4-FFF2-40B4-BE49-F238E27FC236}">
              <a16:creationId xmlns:a16="http://schemas.microsoft.com/office/drawing/2014/main" id="{B509C7B5-6BC9-3E14-2093-2AB28081A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50" name="Picture 734">
          <a:extLst>
            <a:ext uri="{FF2B5EF4-FFF2-40B4-BE49-F238E27FC236}">
              <a16:creationId xmlns:a16="http://schemas.microsoft.com/office/drawing/2014/main" id="{EA8D4C5C-A368-F7B8-D42E-3FEDFFE2D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51" name="Picture 735">
          <a:extLst>
            <a:ext uri="{FF2B5EF4-FFF2-40B4-BE49-F238E27FC236}">
              <a16:creationId xmlns:a16="http://schemas.microsoft.com/office/drawing/2014/main" id="{B1E1433D-E6CB-887A-4559-76501EB61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52" name="Picture 736">
          <a:extLst>
            <a:ext uri="{FF2B5EF4-FFF2-40B4-BE49-F238E27FC236}">
              <a16:creationId xmlns:a16="http://schemas.microsoft.com/office/drawing/2014/main" id="{04C56C0A-A5F0-F94A-26A5-4928E1E0D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53" name="Picture 737">
          <a:extLst>
            <a:ext uri="{FF2B5EF4-FFF2-40B4-BE49-F238E27FC236}">
              <a16:creationId xmlns:a16="http://schemas.microsoft.com/office/drawing/2014/main" id="{ED666E1F-7702-3DD6-6E4B-5A17DC56B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54" name="Picture 738">
          <a:extLst>
            <a:ext uri="{FF2B5EF4-FFF2-40B4-BE49-F238E27FC236}">
              <a16:creationId xmlns:a16="http://schemas.microsoft.com/office/drawing/2014/main" id="{31387861-54A0-317B-71A7-616C281E2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55" name="Picture 739">
          <a:extLst>
            <a:ext uri="{FF2B5EF4-FFF2-40B4-BE49-F238E27FC236}">
              <a16:creationId xmlns:a16="http://schemas.microsoft.com/office/drawing/2014/main" id="{C680C97C-4EE2-C920-69AB-3CF1AC311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56" name="Picture 740">
          <a:extLst>
            <a:ext uri="{FF2B5EF4-FFF2-40B4-BE49-F238E27FC236}">
              <a16:creationId xmlns:a16="http://schemas.microsoft.com/office/drawing/2014/main" id="{7F2457FF-BCF5-4215-806C-41E07F38A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57" name="Picture 741">
          <a:extLst>
            <a:ext uri="{FF2B5EF4-FFF2-40B4-BE49-F238E27FC236}">
              <a16:creationId xmlns:a16="http://schemas.microsoft.com/office/drawing/2014/main" id="{D07C71F1-03F2-5FBC-5039-A8C1553FF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58" name="Picture 742">
          <a:extLst>
            <a:ext uri="{FF2B5EF4-FFF2-40B4-BE49-F238E27FC236}">
              <a16:creationId xmlns:a16="http://schemas.microsoft.com/office/drawing/2014/main" id="{A46C7FA0-0168-A228-6E40-A29669B44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59" name="Picture 743">
          <a:extLst>
            <a:ext uri="{FF2B5EF4-FFF2-40B4-BE49-F238E27FC236}">
              <a16:creationId xmlns:a16="http://schemas.microsoft.com/office/drawing/2014/main" id="{F5A558B0-47EB-415B-A245-772913046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60" name="Picture 744">
          <a:extLst>
            <a:ext uri="{FF2B5EF4-FFF2-40B4-BE49-F238E27FC236}">
              <a16:creationId xmlns:a16="http://schemas.microsoft.com/office/drawing/2014/main" id="{DC79F659-1EA9-5E9A-B525-A95008A38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61" name="Picture 745">
          <a:extLst>
            <a:ext uri="{FF2B5EF4-FFF2-40B4-BE49-F238E27FC236}">
              <a16:creationId xmlns:a16="http://schemas.microsoft.com/office/drawing/2014/main" id="{BA2C5D43-B137-BA0B-DB9B-734C9C69A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62" name="Picture 746">
          <a:extLst>
            <a:ext uri="{FF2B5EF4-FFF2-40B4-BE49-F238E27FC236}">
              <a16:creationId xmlns:a16="http://schemas.microsoft.com/office/drawing/2014/main" id="{DBDA2136-5DB8-444D-A472-3CE8231FF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63" name="Picture 747">
          <a:extLst>
            <a:ext uri="{FF2B5EF4-FFF2-40B4-BE49-F238E27FC236}">
              <a16:creationId xmlns:a16="http://schemas.microsoft.com/office/drawing/2014/main" id="{19230AC8-DC39-CD0F-E47E-9DAF31FB3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64" name="Picture 748">
          <a:extLst>
            <a:ext uri="{FF2B5EF4-FFF2-40B4-BE49-F238E27FC236}">
              <a16:creationId xmlns:a16="http://schemas.microsoft.com/office/drawing/2014/main" id="{F473DF5A-BBB1-9EA7-6DAD-E48E6DAA7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65" name="Picture 749">
          <a:extLst>
            <a:ext uri="{FF2B5EF4-FFF2-40B4-BE49-F238E27FC236}">
              <a16:creationId xmlns:a16="http://schemas.microsoft.com/office/drawing/2014/main" id="{15F84F53-20EE-9BA3-867A-2478549D8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66" name="Picture 750">
          <a:extLst>
            <a:ext uri="{FF2B5EF4-FFF2-40B4-BE49-F238E27FC236}">
              <a16:creationId xmlns:a16="http://schemas.microsoft.com/office/drawing/2014/main" id="{09053389-5030-75E3-6383-E99275E67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67" name="Picture 751">
          <a:extLst>
            <a:ext uri="{FF2B5EF4-FFF2-40B4-BE49-F238E27FC236}">
              <a16:creationId xmlns:a16="http://schemas.microsoft.com/office/drawing/2014/main" id="{9601D13C-8D67-7144-B742-13E12BE2C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68" name="Picture 752">
          <a:extLst>
            <a:ext uri="{FF2B5EF4-FFF2-40B4-BE49-F238E27FC236}">
              <a16:creationId xmlns:a16="http://schemas.microsoft.com/office/drawing/2014/main" id="{5EBCFA17-D789-2C28-2BF2-2ADAE98D6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69" name="Picture 753">
          <a:extLst>
            <a:ext uri="{FF2B5EF4-FFF2-40B4-BE49-F238E27FC236}">
              <a16:creationId xmlns:a16="http://schemas.microsoft.com/office/drawing/2014/main" id="{39CE3BCE-4EA2-C47D-9F66-70FE2FFD3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70" name="Picture 754">
          <a:extLst>
            <a:ext uri="{FF2B5EF4-FFF2-40B4-BE49-F238E27FC236}">
              <a16:creationId xmlns:a16="http://schemas.microsoft.com/office/drawing/2014/main" id="{86C2B0F1-B65A-C303-BFDF-FC788C5B2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71" name="Picture 755">
          <a:extLst>
            <a:ext uri="{FF2B5EF4-FFF2-40B4-BE49-F238E27FC236}">
              <a16:creationId xmlns:a16="http://schemas.microsoft.com/office/drawing/2014/main" id="{B9828336-7CF1-A118-A988-EAC422797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72" name="Picture 756">
          <a:extLst>
            <a:ext uri="{FF2B5EF4-FFF2-40B4-BE49-F238E27FC236}">
              <a16:creationId xmlns:a16="http://schemas.microsoft.com/office/drawing/2014/main" id="{87FB31BD-EB5E-0F35-7659-FF63F2320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73" name="Picture 757">
          <a:extLst>
            <a:ext uri="{FF2B5EF4-FFF2-40B4-BE49-F238E27FC236}">
              <a16:creationId xmlns:a16="http://schemas.microsoft.com/office/drawing/2014/main" id="{B174F979-4C44-4D5E-30C5-84FA20D95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74" name="Picture 758">
          <a:extLst>
            <a:ext uri="{FF2B5EF4-FFF2-40B4-BE49-F238E27FC236}">
              <a16:creationId xmlns:a16="http://schemas.microsoft.com/office/drawing/2014/main" id="{95E06369-8A9B-80C4-6E99-0DC557FD9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75" name="Picture 759">
          <a:extLst>
            <a:ext uri="{FF2B5EF4-FFF2-40B4-BE49-F238E27FC236}">
              <a16:creationId xmlns:a16="http://schemas.microsoft.com/office/drawing/2014/main" id="{22FE310F-E8BF-A0B1-38DF-8AB035EFC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76" name="Picture 760">
          <a:extLst>
            <a:ext uri="{FF2B5EF4-FFF2-40B4-BE49-F238E27FC236}">
              <a16:creationId xmlns:a16="http://schemas.microsoft.com/office/drawing/2014/main" id="{8BCA455A-1C2B-9A10-578A-425E3D480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77" name="Picture 761">
          <a:extLst>
            <a:ext uri="{FF2B5EF4-FFF2-40B4-BE49-F238E27FC236}">
              <a16:creationId xmlns:a16="http://schemas.microsoft.com/office/drawing/2014/main" id="{F286EFA1-D94B-AA26-C3D2-25A1DD04B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78" name="Picture 762">
          <a:extLst>
            <a:ext uri="{FF2B5EF4-FFF2-40B4-BE49-F238E27FC236}">
              <a16:creationId xmlns:a16="http://schemas.microsoft.com/office/drawing/2014/main" id="{0E1AAA2F-21B3-F240-4B2B-38AE4ECB1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79" name="Picture 763">
          <a:extLst>
            <a:ext uri="{FF2B5EF4-FFF2-40B4-BE49-F238E27FC236}">
              <a16:creationId xmlns:a16="http://schemas.microsoft.com/office/drawing/2014/main" id="{A226FFB6-FCEB-AEA9-7164-D60B9F876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80" name="Picture 764">
          <a:extLst>
            <a:ext uri="{FF2B5EF4-FFF2-40B4-BE49-F238E27FC236}">
              <a16:creationId xmlns:a16="http://schemas.microsoft.com/office/drawing/2014/main" id="{9C8A829B-28DF-AB63-EDFB-AAD692F80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81" name="Picture 765">
          <a:extLst>
            <a:ext uri="{FF2B5EF4-FFF2-40B4-BE49-F238E27FC236}">
              <a16:creationId xmlns:a16="http://schemas.microsoft.com/office/drawing/2014/main" id="{1297C305-3453-DD17-A315-98687D147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82" name="Picture 766">
          <a:extLst>
            <a:ext uri="{FF2B5EF4-FFF2-40B4-BE49-F238E27FC236}">
              <a16:creationId xmlns:a16="http://schemas.microsoft.com/office/drawing/2014/main" id="{69307BB1-0C78-1BFC-907C-809C684CD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83" name="Picture 767">
          <a:extLst>
            <a:ext uri="{FF2B5EF4-FFF2-40B4-BE49-F238E27FC236}">
              <a16:creationId xmlns:a16="http://schemas.microsoft.com/office/drawing/2014/main" id="{5D6EAD52-33B7-0E66-38BD-810D90509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84" name="Picture 768">
          <a:extLst>
            <a:ext uri="{FF2B5EF4-FFF2-40B4-BE49-F238E27FC236}">
              <a16:creationId xmlns:a16="http://schemas.microsoft.com/office/drawing/2014/main" id="{648DAD09-DE6E-A401-3446-A20FB3D6E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85" name="Picture 769">
          <a:extLst>
            <a:ext uri="{FF2B5EF4-FFF2-40B4-BE49-F238E27FC236}">
              <a16:creationId xmlns:a16="http://schemas.microsoft.com/office/drawing/2014/main" id="{8546E321-E7AA-DFF6-3289-56EAED8C4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86" name="Picture 770">
          <a:extLst>
            <a:ext uri="{FF2B5EF4-FFF2-40B4-BE49-F238E27FC236}">
              <a16:creationId xmlns:a16="http://schemas.microsoft.com/office/drawing/2014/main" id="{52DE5F2E-56C3-6F32-702E-C8D7BA3AC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87" name="Picture 771">
          <a:extLst>
            <a:ext uri="{FF2B5EF4-FFF2-40B4-BE49-F238E27FC236}">
              <a16:creationId xmlns:a16="http://schemas.microsoft.com/office/drawing/2014/main" id="{90C91285-0134-2751-4523-61C3F7BC9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88" name="Picture 772">
          <a:extLst>
            <a:ext uri="{FF2B5EF4-FFF2-40B4-BE49-F238E27FC236}">
              <a16:creationId xmlns:a16="http://schemas.microsoft.com/office/drawing/2014/main" id="{B89A0055-0D2B-D2B5-4E6A-84672B344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89" name="Picture 773">
          <a:extLst>
            <a:ext uri="{FF2B5EF4-FFF2-40B4-BE49-F238E27FC236}">
              <a16:creationId xmlns:a16="http://schemas.microsoft.com/office/drawing/2014/main" id="{BF8C5EC1-9068-325C-C2DD-5B20CC16A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90" name="Picture 774">
          <a:extLst>
            <a:ext uri="{FF2B5EF4-FFF2-40B4-BE49-F238E27FC236}">
              <a16:creationId xmlns:a16="http://schemas.microsoft.com/office/drawing/2014/main" id="{AB45518F-7ADA-D5E0-1490-A49C0BBA2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91" name="Picture 775">
          <a:extLst>
            <a:ext uri="{FF2B5EF4-FFF2-40B4-BE49-F238E27FC236}">
              <a16:creationId xmlns:a16="http://schemas.microsoft.com/office/drawing/2014/main" id="{AEF8381F-7C1A-EBB4-6549-802A7AEC6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92" name="Picture 776">
          <a:extLst>
            <a:ext uri="{FF2B5EF4-FFF2-40B4-BE49-F238E27FC236}">
              <a16:creationId xmlns:a16="http://schemas.microsoft.com/office/drawing/2014/main" id="{CC030E6D-FF80-4FB4-DA0A-299B7E2FB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93" name="Picture 777">
          <a:extLst>
            <a:ext uri="{FF2B5EF4-FFF2-40B4-BE49-F238E27FC236}">
              <a16:creationId xmlns:a16="http://schemas.microsoft.com/office/drawing/2014/main" id="{4DD40AA2-AA99-D3BE-FB7F-21FD5382F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94" name="Picture 778">
          <a:extLst>
            <a:ext uri="{FF2B5EF4-FFF2-40B4-BE49-F238E27FC236}">
              <a16:creationId xmlns:a16="http://schemas.microsoft.com/office/drawing/2014/main" id="{5D3F8110-5E4D-7CB3-61DF-3F657B452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95" name="Picture 779">
          <a:extLst>
            <a:ext uri="{FF2B5EF4-FFF2-40B4-BE49-F238E27FC236}">
              <a16:creationId xmlns:a16="http://schemas.microsoft.com/office/drawing/2014/main" id="{A0EDBD65-E105-6507-26C1-C64DCB529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96" name="Picture 780">
          <a:extLst>
            <a:ext uri="{FF2B5EF4-FFF2-40B4-BE49-F238E27FC236}">
              <a16:creationId xmlns:a16="http://schemas.microsoft.com/office/drawing/2014/main" id="{D62A93C5-797A-2515-C5EC-B7B3333BF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97" name="Picture 781">
          <a:extLst>
            <a:ext uri="{FF2B5EF4-FFF2-40B4-BE49-F238E27FC236}">
              <a16:creationId xmlns:a16="http://schemas.microsoft.com/office/drawing/2014/main" id="{F1BF4293-FB54-C76A-136A-FC99D8C07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598" name="Picture 782">
          <a:extLst>
            <a:ext uri="{FF2B5EF4-FFF2-40B4-BE49-F238E27FC236}">
              <a16:creationId xmlns:a16="http://schemas.microsoft.com/office/drawing/2014/main" id="{4DEB11A6-2AD3-4265-CB65-6A8F957A2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599" name="Picture 783">
          <a:extLst>
            <a:ext uri="{FF2B5EF4-FFF2-40B4-BE49-F238E27FC236}">
              <a16:creationId xmlns:a16="http://schemas.microsoft.com/office/drawing/2014/main" id="{70040006-6444-A1CE-F280-26FD40496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00" name="Picture 784">
          <a:extLst>
            <a:ext uri="{FF2B5EF4-FFF2-40B4-BE49-F238E27FC236}">
              <a16:creationId xmlns:a16="http://schemas.microsoft.com/office/drawing/2014/main" id="{F58681C6-3211-BC7B-694A-2024D0856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01" name="Picture 785">
          <a:extLst>
            <a:ext uri="{FF2B5EF4-FFF2-40B4-BE49-F238E27FC236}">
              <a16:creationId xmlns:a16="http://schemas.microsoft.com/office/drawing/2014/main" id="{C94BC6EC-8DB3-C2F2-DD16-0142E4F1A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02" name="Picture 786">
          <a:extLst>
            <a:ext uri="{FF2B5EF4-FFF2-40B4-BE49-F238E27FC236}">
              <a16:creationId xmlns:a16="http://schemas.microsoft.com/office/drawing/2014/main" id="{7A3AFBEF-20C9-637C-2FB3-001D1B8B4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03" name="Picture 787">
          <a:extLst>
            <a:ext uri="{FF2B5EF4-FFF2-40B4-BE49-F238E27FC236}">
              <a16:creationId xmlns:a16="http://schemas.microsoft.com/office/drawing/2014/main" id="{C2E292DE-C854-7D7E-57D6-B18E3B9F0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04" name="Picture 788">
          <a:extLst>
            <a:ext uri="{FF2B5EF4-FFF2-40B4-BE49-F238E27FC236}">
              <a16:creationId xmlns:a16="http://schemas.microsoft.com/office/drawing/2014/main" id="{8C78766A-DECA-869B-4E00-B666CEECA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05" name="Picture 789">
          <a:extLst>
            <a:ext uri="{FF2B5EF4-FFF2-40B4-BE49-F238E27FC236}">
              <a16:creationId xmlns:a16="http://schemas.microsoft.com/office/drawing/2014/main" id="{918EE71C-6CBC-19C7-A197-060C69FA9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06" name="Picture 790">
          <a:extLst>
            <a:ext uri="{FF2B5EF4-FFF2-40B4-BE49-F238E27FC236}">
              <a16:creationId xmlns:a16="http://schemas.microsoft.com/office/drawing/2014/main" id="{570233CA-E44E-B227-4008-10F3F8D76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07" name="Picture 791">
          <a:extLst>
            <a:ext uri="{FF2B5EF4-FFF2-40B4-BE49-F238E27FC236}">
              <a16:creationId xmlns:a16="http://schemas.microsoft.com/office/drawing/2014/main" id="{8134359B-912C-4130-3C01-3813560FA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08" name="Picture 792">
          <a:extLst>
            <a:ext uri="{FF2B5EF4-FFF2-40B4-BE49-F238E27FC236}">
              <a16:creationId xmlns:a16="http://schemas.microsoft.com/office/drawing/2014/main" id="{503D02D5-49BC-D4A6-D295-4D8EEA26A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09" name="Picture 793">
          <a:extLst>
            <a:ext uri="{FF2B5EF4-FFF2-40B4-BE49-F238E27FC236}">
              <a16:creationId xmlns:a16="http://schemas.microsoft.com/office/drawing/2014/main" id="{9CA9F02C-0EEE-A19E-94B5-95AAC43C1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10" name="Picture 794">
          <a:extLst>
            <a:ext uri="{FF2B5EF4-FFF2-40B4-BE49-F238E27FC236}">
              <a16:creationId xmlns:a16="http://schemas.microsoft.com/office/drawing/2014/main" id="{C78D376D-5C7B-5DF1-B9B5-877A39CE1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11" name="Picture 795">
          <a:extLst>
            <a:ext uri="{FF2B5EF4-FFF2-40B4-BE49-F238E27FC236}">
              <a16:creationId xmlns:a16="http://schemas.microsoft.com/office/drawing/2014/main" id="{A0484598-13B6-DC81-F52C-DD8DAE0EC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12" name="Picture 796">
          <a:extLst>
            <a:ext uri="{FF2B5EF4-FFF2-40B4-BE49-F238E27FC236}">
              <a16:creationId xmlns:a16="http://schemas.microsoft.com/office/drawing/2014/main" id="{0F49B680-93D0-150E-D968-A42B2B26F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13" name="Picture 797">
          <a:extLst>
            <a:ext uri="{FF2B5EF4-FFF2-40B4-BE49-F238E27FC236}">
              <a16:creationId xmlns:a16="http://schemas.microsoft.com/office/drawing/2014/main" id="{95068A5D-BAA4-C3D1-34BE-B5EA345A7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14" name="Picture 798">
          <a:extLst>
            <a:ext uri="{FF2B5EF4-FFF2-40B4-BE49-F238E27FC236}">
              <a16:creationId xmlns:a16="http://schemas.microsoft.com/office/drawing/2014/main" id="{C67549A9-E585-64D0-2517-FC8EE5C05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15" name="Picture 799">
          <a:extLst>
            <a:ext uri="{FF2B5EF4-FFF2-40B4-BE49-F238E27FC236}">
              <a16:creationId xmlns:a16="http://schemas.microsoft.com/office/drawing/2014/main" id="{103C82E6-4CB6-EE89-99F4-DD2A99168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16" name="Picture 800">
          <a:extLst>
            <a:ext uri="{FF2B5EF4-FFF2-40B4-BE49-F238E27FC236}">
              <a16:creationId xmlns:a16="http://schemas.microsoft.com/office/drawing/2014/main" id="{29DD1378-AE4E-3BC3-F08E-7D00D1617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17" name="Picture 801">
          <a:extLst>
            <a:ext uri="{FF2B5EF4-FFF2-40B4-BE49-F238E27FC236}">
              <a16:creationId xmlns:a16="http://schemas.microsoft.com/office/drawing/2014/main" id="{03DD644D-F83B-62E4-2519-0100A53AA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18" name="Picture 802">
          <a:extLst>
            <a:ext uri="{FF2B5EF4-FFF2-40B4-BE49-F238E27FC236}">
              <a16:creationId xmlns:a16="http://schemas.microsoft.com/office/drawing/2014/main" id="{1C29323E-0BC2-98F8-3111-CFB33D817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19" name="Picture 803">
          <a:extLst>
            <a:ext uri="{FF2B5EF4-FFF2-40B4-BE49-F238E27FC236}">
              <a16:creationId xmlns:a16="http://schemas.microsoft.com/office/drawing/2014/main" id="{9898F9FA-3F30-789F-8262-43EDCC506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20" name="Picture 804">
          <a:extLst>
            <a:ext uri="{FF2B5EF4-FFF2-40B4-BE49-F238E27FC236}">
              <a16:creationId xmlns:a16="http://schemas.microsoft.com/office/drawing/2014/main" id="{E7E7AA3C-63DF-1E7E-49A0-6DB9A027F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21" name="Picture 805">
          <a:extLst>
            <a:ext uri="{FF2B5EF4-FFF2-40B4-BE49-F238E27FC236}">
              <a16:creationId xmlns:a16="http://schemas.microsoft.com/office/drawing/2014/main" id="{1B0346C2-884D-B40B-CB06-0AA7E9F47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22" name="Picture 806">
          <a:extLst>
            <a:ext uri="{FF2B5EF4-FFF2-40B4-BE49-F238E27FC236}">
              <a16:creationId xmlns:a16="http://schemas.microsoft.com/office/drawing/2014/main" id="{0B526D0E-5D43-32D7-69C1-72AF78FD7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23" name="Picture 807">
          <a:extLst>
            <a:ext uri="{FF2B5EF4-FFF2-40B4-BE49-F238E27FC236}">
              <a16:creationId xmlns:a16="http://schemas.microsoft.com/office/drawing/2014/main" id="{E31F3A92-2F24-1B31-5984-CAE3E3896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24" name="Picture 808">
          <a:extLst>
            <a:ext uri="{FF2B5EF4-FFF2-40B4-BE49-F238E27FC236}">
              <a16:creationId xmlns:a16="http://schemas.microsoft.com/office/drawing/2014/main" id="{B7B3CF39-E215-F088-24E8-1C0896AD2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25" name="Picture 809">
          <a:extLst>
            <a:ext uri="{FF2B5EF4-FFF2-40B4-BE49-F238E27FC236}">
              <a16:creationId xmlns:a16="http://schemas.microsoft.com/office/drawing/2014/main" id="{755CB787-91F9-3864-70C1-00262FE80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26" name="Picture 810">
          <a:extLst>
            <a:ext uri="{FF2B5EF4-FFF2-40B4-BE49-F238E27FC236}">
              <a16:creationId xmlns:a16="http://schemas.microsoft.com/office/drawing/2014/main" id="{F36AD3B5-5A45-3DDF-53B2-B69BF3E46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27" name="Picture 811">
          <a:extLst>
            <a:ext uri="{FF2B5EF4-FFF2-40B4-BE49-F238E27FC236}">
              <a16:creationId xmlns:a16="http://schemas.microsoft.com/office/drawing/2014/main" id="{D240F877-9BCE-20AC-11F3-F2D587322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28" name="Picture 812">
          <a:extLst>
            <a:ext uri="{FF2B5EF4-FFF2-40B4-BE49-F238E27FC236}">
              <a16:creationId xmlns:a16="http://schemas.microsoft.com/office/drawing/2014/main" id="{A02667F2-15EF-34D0-4B8F-6D2BEBA41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29" name="Picture 813">
          <a:extLst>
            <a:ext uri="{FF2B5EF4-FFF2-40B4-BE49-F238E27FC236}">
              <a16:creationId xmlns:a16="http://schemas.microsoft.com/office/drawing/2014/main" id="{E76C2AD2-0D81-96A8-022B-9EAE742F8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30" name="Picture 814">
          <a:extLst>
            <a:ext uri="{FF2B5EF4-FFF2-40B4-BE49-F238E27FC236}">
              <a16:creationId xmlns:a16="http://schemas.microsoft.com/office/drawing/2014/main" id="{6955E229-78B4-5BA7-0660-0661214AD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31" name="Picture 815">
          <a:extLst>
            <a:ext uri="{FF2B5EF4-FFF2-40B4-BE49-F238E27FC236}">
              <a16:creationId xmlns:a16="http://schemas.microsoft.com/office/drawing/2014/main" id="{4A3DC144-D342-4363-6D64-8E5FC75AA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32" name="Picture 816">
          <a:extLst>
            <a:ext uri="{FF2B5EF4-FFF2-40B4-BE49-F238E27FC236}">
              <a16:creationId xmlns:a16="http://schemas.microsoft.com/office/drawing/2014/main" id="{3403156D-D692-B6E7-9D5A-FABCC8608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33" name="Picture 817">
          <a:extLst>
            <a:ext uri="{FF2B5EF4-FFF2-40B4-BE49-F238E27FC236}">
              <a16:creationId xmlns:a16="http://schemas.microsoft.com/office/drawing/2014/main" id="{CA6A4DC5-2125-4DE8-3534-C3D085D36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34" name="Picture 818">
          <a:extLst>
            <a:ext uri="{FF2B5EF4-FFF2-40B4-BE49-F238E27FC236}">
              <a16:creationId xmlns:a16="http://schemas.microsoft.com/office/drawing/2014/main" id="{5D704A47-D77F-512A-CF52-B21654CE4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35" name="Picture 819">
          <a:extLst>
            <a:ext uri="{FF2B5EF4-FFF2-40B4-BE49-F238E27FC236}">
              <a16:creationId xmlns:a16="http://schemas.microsoft.com/office/drawing/2014/main" id="{C26017A3-9020-27F3-4B40-3405C5A9C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36" name="Picture 820">
          <a:extLst>
            <a:ext uri="{FF2B5EF4-FFF2-40B4-BE49-F238E27FC236}">
              <a16:creationId xmlns:a16="http://schemas.microsoft.com/office/drawing/2014/main" id="{4C5B0A46-1853-D1F7-0B5D-5870C1965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37" name="Picture 821">
          <a:extLst>
            <a:ext uri="{FF2B5EF4-FFF2-40B4-BE49-F238E27FC236}">
              <a16:creationId xmlns:a16="http://schemas.microsoft.com/office/drawing/2014/main" id="{E4F307F5-3BD6-4140-0D67-69EA0D17B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38" name="Picture 822">
          <a:extLst>
            <a:ext uri="{FF2B5EF4-FFF2-40B4-BE49-F238E27FC236}">
              <a16:creationId xmlns:a16="http://schemas.microsoft.com/office/drawing/2014/main" id="{22BCFF1C-785B-8FEA-336B-62DC15011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39" name="Picture 823">
          <a:extLst>
            <a:ext uri="{FF2B5EF4-FFF2-40B4-BE49-F238E27FC236}">
              <a16:creationId xmlns:a16="http://schemas.microsoft.com/office/drawing/2014/main" id="{344C8B44-C760-E770-6E98-3EB31B6B0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40" name="Picture 824">
          <a:extLst>
            <a:ext uri="{FF2B5EF4-FFF2-40B4-BE49-F238E27FC236}">
              <a16:creationId xmlns:a16="http://schemas.microsoft.com/office/drawing/2014/main" id="{661A7912-26EC-3C1A-BE44-5090453E2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41" name="Picture 825">
          <a:extLst>
            <a:ext uri="{FF2B5EF4-FFF2-40B4-BE49-F238E27FC236}">
              <a16:creationId xmlns:a16="http://schemas.microsoft.com/office/drawing/2014/main" id="{5B432123-2546-E8B9-10D8-57287A1F3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42" name="Picture 826">
          <a:extLst>
            <a:ext uri="{FF2B5EF4-FFF2-40B4-BE49-F238E27FC236}">
              <a16:creationId xmlns:a16="http://schemas.microsoft.com/office/drawing/2014/main" id="{A2C07F57-3B01-322C-1C79-9DF766097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43" name="Picture 827">
          <a:extLst>
            <a:ext uri="{FF2B5EF4-FFF2-40B4-BE49-F238E27FC236}">
              <a16:creationId xmlns:a16="http://schemas.microsoft.com/office/drawing/2014/main" id="{52F63E7E-D71F-9577-31BE-B41EBE83A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44" name="Picture 828">
          <a:extLst>
            <a:ext uri="{FF2B5EF4-FFF2-40B4-BE49-F238E27FC236}">
              <a16:creationId xmlns:a16="http://schemas.microsoft.com/office/drawing/2014/main" id="{D60D6E78-B726-02E8-5394-4F49D5907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45" name="Picture 829">
          <a:extLst>
            <a:ext uri="{FF2B5EF4-FFF2-40B4-BE49-F238E27FC236}">
              <a16:creationId xmlns:a16="http://schemas.microsoft.com/office/drawing/2014/main" id="{6EC88D71-9E07-0040-3F3B-38E3CB00B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46" name="Picture 830">
          <a:extLst>
            <a:ext uri="{FF2B5EF4-FFF2-40B4-BE49-F238E27FC236}">
              <a16:creationId xmlns:a16="http://schemas.microsoft.com/office/drawing/2014/main" id="{4FCE06CF-8160-59F0-C7C1-DDC41BE22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47" name="Picture 831">
          <a:extLst>
            <a:ext uri="{FF2B5EF4-FFF2-40B4-BE49-F238E27FC236}">
              <a16:creationId xmlns:a16="http://schemas.microsoft.com/office/drawing/2014/main" id="{BC5F46AE-8A09-2B13-46A7-4732A4154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48" name="Picture 832">
          <a:extLst>
            <a:ext uri="{FF2B5EF4-FFF2-40B4-BE49-F238E27FC236}">
              <a16:creationId xmlns:a16="http://schemas.microsoft.com/office/drawing/2014/main" id="{A3063DF8-E57B-5426-842E-DA00E097D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49" name="Picture 833">
          <a:extLst>
            <a:ext uri="{FF2B5EF4-FFF2-40B4-BE49-F238E27FC236}">
              <a16:creationId xmlns:a16="http://schemas.microsoft.com/office/drawing/2014/main" id="{9D700827-DD2A-1ACF-CC1D-4ABEADAE4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50" name="Picture 834">
          <a:extLst>
            <a:ext uri="{FF2B5EF4-FFF2-40B4-BE49-F238E27FC236}">
              <a16:creationId xmlns:a16="http://schemas.microsoft.com/office/drawing/2014/main" id="{E8FE20CB-C8B8-43A2-404D-BDBD490B9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51" name="Picture 835">
          <a:extLst>
            <a:ext uri="{FF2B5EF4-FFF2-40B4-BE49-F238E27FC236}">
              <a16:creationId xmlns:a16="http://schemas.microsoft.com/office/drawing/2014/main" id="{CFCD9FE9-779C-94D3-6775-94308A229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52" name="Picture 836">
          <a:extLst>
            <a:ext uri="{FF2B5EF4-FFF2-40B4-BE49-F238E27FC236}">
              <a16:creationId xmlns:a16="http://schemas.microsoft.com/office/drawing/2014/main" id="{35859C5C-46F5-C3F4-357C-EC207AB3F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53" name="Picture 837">
          <a:extLst>
            <a:ext uri="{FF2B5EF4-FFF2-40B4-BE49-F238E27FC236}">
              <a16:creationId xmlns:a16="http://schemas.microsoft.com/office/drawing/2014/main" id="{9B5EBF03-ABC0-8B71-9C4D-C1B4E1A2D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54" name="Picture 838">
          <a:extLst>
            <a:ext uri="{FF2B5EF4-FFF2-40B4-BE49-F238E27FC236}">
              <a16:creationId xmlns:a16="http://schemas.microsoft.com/office/drawing/2014/main" id="{7B57CA5F-1D09-DF8E-DBD4-2019D2C72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55" name="Picture 839">
          <a:extLst>
            <a:ext uri="{FF2B5EF4-FFF2-40B4-BE49-F238E27FC236}">
              <a16:creationId xmlns:a16="http://schemas.microsoft.com/office/drawing/2014/main" id="{C955FBA4-A0AF-0F40-1341-86D74CD78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56" name="Picture 840">
          <a:extLst>
            <a:ext uri="{FF2B5EF4-FFF2-40B4-BE49-F238E27FC236}">
              <a16:creationId xmlns:a16="http://schemas.microsoft.com/office/drawing/2014/main" id="{5C614D93-65F6-9F5A-656D-E3EBCA710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57" name="Picture 841">
          <a:extLst>
            <a:ext uri="{FF2B5EF4-FFF2-40B4-BE49-F238E27FC236}">
              <a16:creationId xmlns:a16="http://schemas.microsoft.com/office/drawing/2014/main" id="{82D1CD42-34E0-A6D2-9763-65F524D56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58" name="Picture 842">
          <a:extLst>
            <a:ext uri="{FF2B5EF4-FFF2-40B4-BE49-F238E27FC236}">
              <a16:creationId xmlns:a16="http://schemas.microsoft.com/office/drawing/2014/main" id="{4FA638AD-E123-87E7-49C6-FBBF18374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59" name="Picture 843">
          <a:extLst>
            <a:ext uri="{FF2B5EF4-FFF2-40B4-BE49-F238E27FC236}">
              <a16:creationId xmlns:a16="http://schemas.microsoft.com/office/drawing/2014/main" id="{CE8C9096-6FE0-DBDF-F504-B93F2F86F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60" name="Picture 844">
          <a:extLst>
            <a:ext uri="{FF2B5EF4-FFF2-40B4-BE49-F238E27FC236}">
              <a16:creationId xmlns:a16="http://schemas.microsoft.com/office/drawing/2014/main" id="{B9D247B8-C61E-A848-EDF8-6E8434AB0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61" name="Picture 845">
          <a:extLst>
            <a:ext uri="{FF2B5EF4-FFF2-40B4-BE49-F238E27FC236}">
              <a16:creationId xmlns:a16="http://schemas.microsoft.com/office/drawing/2014/main" id="{676F4EB8-E520-049F-E4B2-7D984F3EA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62" name="Picture 846">
          <a:extLst>
            <a:ext uri="{FF2B5EF4-FFF2-40B4-BE49-F238E27FC236}">
              <a16:creationId xmlns:a16="http://schemas.microsoft.com/office/drawing/2014/main" id="{C7AAFE3C-B634-2519-B83D-78902D82C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63" name="Picture 847">
          <a:extLst>
            <a:ext uri="{FF2B5EF4-FFF2-40B4-BE49-F238E27FC236}">
              <a16:creationId xmlns:a16="http://schemas.microsoft.com/office/drawing/2014/main" id="{1A34CFDB-D906-628B-D456-443E2BC6D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64" name="Picture 848">
          <a:extLst>
            <a:ext uri="{FF2B5EF4-FFF2-40B4-BE49-F238E27FC236}">
              <a16:creationId xmlns:a16="http://schemas.microsoft.com/office/drawing/2014/main" id="{F1DC73B1-0AAD-8666-0086-CE34DB8D5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65" name="Picture 849">
          <a:extLst>
            <a:ext uri="{FF2B5EF4-FFF2-40B4-BE49-F238E27FC236}">
              <a16:creationId xmlns:a16="http://schemas.microsoft.com/office/drawing/2014/main" id="{4B421337-68B2-8AC5-5895-FF8CCC753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66" name="Picture 850">
          <a:extLst>
            <a:ext uri="{FF2B5EF4-FFF2-40B4-BE49-F238E27FC236}">
              <a16:creationId xmlns:a16="http://schemas.microsoft.com/office/drawing/2014/main" id="{DA83E937-6843-343B-4D25-3776A083E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67" name="Picture 851">
          <a:extLst>
            <a:ext uri="{FF2B5EF4-FFF2-40B4-BE49-F238E27FC236}">
              <a16:creationId xmlns:a16="http://schemas.microsoft.com/office/drawing/2014/main" id="{5C5930B2-C560-1540-BE11-BB6A2452B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68" name="Picture 852">
          <a:extLst>
            <a:ext uri="{FF2B5EF4-FFF2-40B4-BE49-F238E27FC236}">
              <a16:creationId xmlns:a16="http://schemas.microsoft.com/office/drawing/2014/main" id="{4EE1B0E9-E6FF-3B19-01EC-598CC8EA6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69" name="Picture 853">
          <a:extLst>
            <a:ext uri="{FF2B5EF4-FFF2-40B4-BE49-F238E27FC236}">
              <a16:creationId xmlns:a16="http://schemas.microsoft.com/office/drawing/2014/main" id="{C74475F4-84F8-467A-1694-C9107C64A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70" name="Picture 854">
          <a:extLst>
            <a:ext uri="{FF2B5EF4-FFF2-40B4-BE49-F238E27FC236}">
              <a16:creationId xmlns:a16="http://schemas.microsoft.com/office/drawing/2014/main" id="{3E3F8ABD-939E-7644-CBBE-4A8567B89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71" name="Picture 855">
          <a:extLst>
            <a:ext uri="{FF2B5EF4-FFF2-40B4-BE49-F238E27FC236}">
              <a16:creationId xmlns:a16="http://schemas.microsoft.com/office/drawing/2014/main" id="{07916F5A-F159-EE95-CDE9-11CEDDD91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72" name="Picture 856">
          <a:extLst>
            <a:ext uri="{FF2B5EF4-FFF2-40B4-BE49-F238E27FC236}">
              <a16:creationId xmlns:a16="http://schemas.microsoft.com/office/drawing/2014/main" id="{BDC66F53-FC1F-6E53-E9E4-BDE064FAF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73" name="Picture 857">
          <a:extLst>
            <a:ext uri="{FF2B5EF4-FFF2-40B4-BE49-F238E27FC236}">
              <a16:creationId xmlns:a16="http://schemas.microsoft.com/office/drawing/2014/main" id="{2D4D474E-049F-F81D-90D9-D7302954C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74" name="Picture 858">
          <a:extLst>
            <a:ext uri="{FF2B5EF4-FFF2-40B4-BE49-F238E27FC236}">
              <a16:creationId xmlns:a16="http://schemas.microsoft.com/office/drawing/2014/main" id="{D99E8C36-3178-FB62-7345-6257F808E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75" name="Picture 859">
          <a:extLst>
            <a:ext uri="{FF2B5EF4-FFF2-40B4-BE49-F238E27FC236}">
              <a16:creationId xmlns:a16="http://schemas.microsoft.com/office/drawing/2014/main" id="{A27AA452-A205-CBC7-D72B-8BEF9B77C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76" name="Picture 860">
          <a:extLst>
            <a:ext uri="{FF2B5EF4-FFF2-40B4-BE49-F238E27FC236}">
              <a16:creationId xmlns:a16="http://schemas.microsoft.com/office/drawing/2014/main" id="{6F3021D6-83A3-544C-F835-63E2BB54D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77" name="Picture 861">
          <a:extLst>
            <a:ext uri="{FF2B5EF4-FFF2-40B4-BE49-F238E27FC236}">
              <a16:creationId xmlns:a16="http://schemas.microsoft.com/office/drawing/2014/main" id="{92576936-CD8A-907B-7710-2DB66EA1D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78" name="Picture 862">
          <a:extLst>
            <a:ext uri="{FF2B5EF4-FFF2-40B4-BE49-F238E27FC236}">
              <a16:creationId xmlns:a16="http://schemas.microsoft.com/office/drawing/2014/main" id="{14EE32D8-1C0E-1CB4-12A2-BD4A30703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79" name="Picture 863">
          <a:extLst>
            <a:ext uri="{FF2B5EF4-FFF2-40B4-BE49-F238E27FC236}">
              <a16:creationId xmlns:a16="http://schemas.microsoft.com/office/drawing/2014/main" id="{1E2F3DCA-9632-D9F2-5397-FFD9160E1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80" name="Picture 864">
          <a:extLst>
            <a:ext uri="{FF2B5EF4-FFF2-40B4-BE49-F238E27FC236}">
              <a16:creationId xmlns:a16="http://schemas.microsoft.com/office/drawing/2014/main" id="{0896BEE3-55C9-75B4-22E2-883808722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81" name="Picture 865">
          <a:extLst>
            <a:ext uri="{FF2B5EF4-FFF2-40B4-BE49-F238E27FC236}">
              <a16:creationId xmlns:a16="http://schemas.microsoft.com/office/drawing/2014/main" id="{586B25C1-5FE3-D2F5-DF38-BACF318D8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82" name="Picture 866">
          <a:extLst>
            <a:ext uri="{FF2B5EF4-FFF2-40B4-BE49-F238E27FC236}">
              <a16:creationId xmlns:a16="http://schemas.microsoft.com/office/drawing/2014/main" id="{584723F6-B88A-B4C4-2DD4-F44FF920C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83" name="Picture 867">
          <a:extLst>
            <a:ext uri="{FF2B5EF4-FFF2-40B4-BE49-F238E27FC236}">
              <a16:creationId xmlns:a16="http://schemas.microsoft.com/office/drawing/2014/main" id="{C7711833-DE12-97FF-2945-EC93F7292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84" name="Picture 868">
          <a:extLst>
            <a:ext uri="{FF2B5EF4-FFF2-40B4-BE49-F238E27FC236}">
              <a16:creationId xmlns:a16="http://schemas.microsoft.com/office/drawing/2014/main" id="{DE066812-CDFC-D793-7EFC-16FCA2140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85" name="Picture 869">
          <a:extLst>
            <a:ext uri="{FF2B5EF4-FFF2-40B4-BE49-F238E27FC236}">
              <a16:creationId xmlns:a16="http://schemas.microsoft.com/office/drawing/2014/main" id="{CDE34D63-C8B1-F758-2CF5-BEB5858B7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86" name="Picture 870">
          <a:extLst>
            <a:ext uri="{FF2B5EF4-FFF2-40B4-BE49-F238E27FC236}">
              <a16:creationId xmlns:a16="http://schemas.microsoft.com/office/drawing/2014/main" id="{05144C85-3B3F-BB73-A64F-1AC515AC7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87" name="Picture 871">
          <a:extLst>
            <a:ext uri="{FF2B5EF4-FFF2-40B4-BE49-F238E27FC236}">
              <a16:creationId xmlns:a16="http://schemas.microsoft.com/office/drawing/2014/main" id="{1BAEB917-6269-6090-56B1-5328C9CF0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88" name="Picture 872">
          <a:extLst>
            <a:ext uri="{FF2B5EF4-FFF2-40B4-BE49-F238E27FC236}">
              <a16:creationId xmlns:a16="http://schemas.microsoft.com/office/drawing/2014/main" id="{BA1E9109-5E13-F4EA-89B3-D174D05B1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89" name="Picture 873">
          <a:extLst>
            <a:ext uri="{FF2B5EF4-FFF2-40B4-BE49-F238E27FC236}">
              <a16:creationId xmlns:a16="http://schemas.microsoft.com/office/drawing/2014/main" id="{98223A7E-0DE1-748D-8D05-49A0DAD50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90" name="Picture 874">
          <a:extLst>
            <a:ext uri="{FF2B5EF4-FFF2-40B4-BE49-F238E27FC236}">
              <a16:creationId xmlns:a16="http://schemas.microsoft.com/office/drawing/2014/main" id="{9DF5DC09-3B5A-EE71-71CB-B442B4703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91" name="Picture 875">
          <a:extLst>
            <a:ext uri="{FF2B5EF4-FFF2-40B4-BE49-F238E27FC236}">
              <a16:creationId xmlns:a16="http://schemas.microsoft.com/office/drawing/2014/main" id="{11FB8DC1-3F11-781B-8E25-C165B356C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92" name="Picture 876">
          <a:extLst>
            <a:ext uri="{FF2B5EF4-FFF2-40B4-BE49-F238E27FC236}">
              <a16:creationId xmlns:a16="http://schemas.microsoft.com/office/drawing/2014/main" id="{F58226DC-51CC-6063-D73E-1D36D1EB6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93" name="Picture 877">
          <a:extLst>
            <a:ext uri="{FF2B5EF4-FFF2-40B4-BE49-F238E27FC236}">
              <a16:creationId xmlns:a16="http://schemas.microsoft.com/office/drawing/2014/main" id="{59D8D711-C6DC-FD60-18EE-87C614733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694" name="Picture 878">
          <a:extLst>
            <a:ext uri="{FF2B5EF4-FFF2-40B4-BE49-F238E27FC236}">
              <a16:creationId xmlns:a16="http://schemas.microsoft.com/office/drawing/2014/main" id="{800EC807-D484-667D-1861-BC480438E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95" name="Picture 879">
          <a:extLst>
            <a:ext uri="{FF2B5EF4-FFF2-40B4-BE49-F238E27FC236}">
              <a16:creationId xmlns:a16="http://schemas.microsoft.com/office/drawing/2014/main" id="{08EBEBBF-65FD-5E9C-0C5F-1B4561C72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96" name="Picture 880">
          <a:extLst>
            <a:ext uri="{FF2B5EF4-FFF2-40B4-BE49-F238E27FC236}">
              <a16:creationId xmlns:a16="http://schemas.microsoft.com/office/drawing/2014/main" id="{0811166D-2F84-BBFC-EE46-AED04AAF7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97" name="Picture 881">
          <a:extLst>
            <a:ext uri="{FF2B5EF4-FFF2-40B4-BE49-F238E27FC236}">
              <a16:creationId xmlns:a16="http://schemas.microsoft.com/office/drawing/2014/main" id="{B5811459-B63A-8F3A-99C3-78DFAEF39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98" name="Picture 882">
          <a:extLst>
            <a:ext uri="{FF2B5EF4-FFF2-40B4-BE49-F238E27FC236}">
              <a16:creationId xmlns:a16="http://schemas.microsoft.com/office/drawing/2014/main" id="{CA799664-0740-61D9-660C-E379D6228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699" name="Picture 883">
          <a:extLst>
            <a:ext uri="{FF2B5EF4-FFF2-40B4-BE49-F238E27FC236}">
              <a16:creationId xmlns:a16="http://schemas.microsoft.com/office/drawing/2014/main" id="{BDCCCF96-531A-EDCC-AAA7-BE37F0642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00" name="Picture 884">
          <a:extLst>
            <a:ext uri="{FF2B5EF4-FFF2-40B4-BE49-F238E27FC236}">
              <a16:creationId xmlns:a16="http://schemas.microsoft.com/office/drawing/2014/main" id="{0F87E265-0869-F253-B914-6CD289F7B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01" name="Picture 885">
          <a:extLst>
            <a:ext uri="{FF2B5EF4-FFF2-40B4-BE49-F238E27FC236}">
              <a16:creationId xmlns:a16="http://schemas.microsoft.com/office/drawing/2014/main" id="{58A2CB9D-A187-7CAC-7EA7-9166E4CE2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02" name="Picture 886">
          <a:extLst>
            <a:ext uri="{FF2B5EF4-FFF2-40B4-BE49-F238E27FC236}">
              <a16:creationId xmlns:a16="http://schemas.microsoft.com/office/drawing/2014/main" id="{21822ABE-AF7A-ED97-10CF-EC5A9559D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03" name="Picture 887">
          <a:extLst>
            <a:ext uri="{FF2B5EF4-FFF2-40B4-BE49-F238E27FC236}">
              <a16:creationId xmlns:a16="http://schemas.microsoft.com/office/drawing/2014/main" id="{D5A0F74A-3B7D-25CD-FF68-0D2489C6F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04" name="Picture 888">
          <a:extLst>
            <a:ext uri="{FF2B5EF4-FFF2-40B4-BE49-F238E27FC236}">
              <a16:creationId xmlns:a16="http://schemas.microsoft.com/office/drawing/2014/main" id="{BA246786-38E7-2BAB-2036-01547E1D0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05" name="Picture 889">
          <a:extLst>
            <a:ext uri="{FF2B5EF4-FFF2-40B4-BE49-F238E27FC236}">
              <a16:creationId xmlns:a16="http://schemas.microsoft.com/office/drawing/2014/main" id="{DC2DBBAD-A241-02F5-6A82-8E0AA7E9E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06" name="Picture 890">
          <a:extLst>
            <a:ext uri="{FF2B5EF4-FFF2-40B4-BE49-F238E27FC236}">
              <a16:creationId xmlns:a16="http://schemas.microsoft.com/office/drawing/2014/main" id="{5FFB38C2-4F50-75C1-9641-851251747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07" name="Picture 891">
          <a:extLst>
            <a:ext uri="{FF2B5EF4-FFF2-40B4-BE49-F238E27FC236}">
              <a16:creationId xmlns:a16="http://schemas.microsoft.com/office/drawing/2014/main" id="{A5B1F789-AAAB-5BC9-C6D7-32917BC95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08" name="Picture 892">
          <a:extLst>
            <a:ext uri="{FF2B5EF4-FFF2-40B4-BE49-F238E27FC236}">
              <a16:creationId xmlns:a16="http://schemas.microsoft.com/office/drawing/2014/main" id="{130C71C1-D695-4FE2-69BA-34FC697E1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09" name="Picture 893">
          <a:extLst>
            <a:ext uri="{FF2B5EF4-FFF2-40B4-BE49-F238E27FC236}">
              <a16:creationId xmlns:a16="http://schemas.microsoft.com/office/drawing/2014/main" id="{70D148D6-A518-2AC0-66A3-768E9093A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10" name="Picture 894">
          <a:extLst>
            <a:ext uri="{FF2B5EF4-FFF2-40B4-BE49-F238E27FC236}">
              <a16:creationId xmlns:a16="http://schemas.microsoft.com/office/drawing/2014/main" id="{FBE4E170-E862-D07E-0BC9-3ED8E6DDF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11" name="Picture 895">
          <a:extLst>
            <a:ext uri="{FF2B5EF4-FFF2-40B4-BE49-F238E27FC236}">
              <a16:creationId xmlns:a16="http://schemas.microsoft.com/office/drawing/2014/main" id="{9AB191AA-717B-CD43-A2CA-4003FA9ED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12" name="Picture 896">
          <a:extLst>
            <a:ext uri="{FF2B5EF4-FFF2-40B4-BE49-F238E27FC236}">
              <a16:creationId xmlns:a16="http://schemas.microsoft.com/office/drawing/2014/main" id="{23AEE9C5-684F-8BE3-C7DD-1137CF8FF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13" name="Picture 897">
          <a:extLst>
            <a:ext uri="{FF2B5EF4-FFF2-40B4-BE49-F238E27FC236}">
              <a16:creationId xmlns:a16="http://schemas.microsoft.com/office/drawing/2014/main" id="{B42F5AA1-9FD2-D8AE-0C4F-DE25959F6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14" name="Picture 898">
          <a:extLst>
            <a:ext uri="{FF2B5EF4-FFF2-40B4-BE49-F238E27FC236}">
              <a16:creationId xmlns:a16="http://schemas.microsoft.com/office/drawing/2014/main" id="{915B25CF-EAFA-05AB-A79E-71AE2FFC6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15" name="Picture 899">
          <a:extLst>
            <a:ext uri="{FF2B5EF4-FFF2-40B4-BE49-F238E27FC236}">
              <a16:creationId xmlns:a16="http://schemas.microsoft.com/office/drawing/2014/main" id="{2E5D4EF5-1CF6-4C2D-177A-B1DDE1909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16" name="Picture 900">
          <a:extLst>
            <a:ext uri="{FF2B5EF4-FFF2-40B4-BE49-F238E27FC236}">
              <a16:creationId xmlns:a16="http://schemas.microsoft.com/office/drawing/2014/main" id="{33ED81A4-5108-2FBD-CD7A-88330B003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17" name="Picture 901">
          <a:extLst>
            <a:ext uri="{FF2B5EF4-FFF2-40B4-BE49-F238E27FC236}">
              <a16:creationId xmlns:a16="http://schemas.microsoft.com/office/drawing/2014/main" id="{840FC4B2-5881-EBE7-F2C0-EFEFA0306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18" name="Picture 902">
          <a:extLst>
            <a:ext uri="{FF2B5EF4-FFF2-40B4-BE49-F238E27FC236}">
              <a16:creationId xmlns:a16="http://schemas.microsoft.com/office/drawing/2014/main" id="{BEE8C06B-DF13-749A-052D-44FB9728D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19" name="Picture 903">
          <a:extLst>
            <a:ext uri="{FF2B5EF4-FFF2-40B4-BE49-F238E27FC236}">
              <a16:creationId xmlns:a16="http://schemas.microsoft.com/office/drawing/2014/main" id="{908FF21E-CDFE-5EA5-8081-3A99D2322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20" name="Picture 904">
          <a:extLst>
            <a:ext uri="{FF2B5EF4-FFF2-40B4-BE49-F238E27FC236}">
              <a16:creationId xmlns:a16="http://schemas.microsoft.com/office/drawing/2014/main" id="{301B5883-5813-60C9-15B3-1C02C2C79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21" name="Picture 905">
          <a:extLst>
            <a:ext uri="{FF2B5EF4-FFF2-40B4-BE49-F238E27FC236}">
              <a16:creationId xmlns:a16="http://schemas.microsoft.com/office/drawing/2014/main" id="{AD3A25D7-12B2-8599-C9C6-50703E804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22" name="Picture 906">
          <a:extLst>
            <a:ext uri="{FF2B5EF4-FFF2-40B4-BE49-F238E27FC236}">
              <a16:creationId xmlns:a16="http://schemas.microsoft.com/office/drawing/2014/main" id="{B42E34DF-3763-7A81-344F-9B1D0F4F2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23" name="Picture 907">
          <a:extLst>
            <a:ext uri="{FF2B5EF4-FFF2-40B4-BE49-F238E27FC236}">
              <a16:creationId xmlns:a16="http://schemas.microsoft.com/office/drawing/2014/main" id="{7F33BDFC-8A5A-B7F8-B3E4-189BD06CB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24" name="Picture 908">
          <a:extLst>
            <a:ext uri="{FF2B5EF4-FFF2-40B4-BE49-F238E27FC236}">
              <a16:creationId xmlns:a16="http://schemas.microsoft.com/office/drawing/2014/main" id="{50BDC24D-C429-AEFE-5C74-35F0350D2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25" name="Picture 909">
          <a:extLst>
            <a:ext uri="{FF2B5EF4-FFF2-40B4-BE49-F238E27FC236}">
              <a16:creationId xmlns:a16="http://schemas.microsoft.com/office/drawing/2014/main" id="{12483048-EBBA-BA01-B5CA-C239A9857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26" name="Picture 910">
          <a:extLst>
            <a:ext uri="{FF2B5EF4-FFF2-40B4-BE49-F238E27FC236}">
              <a16:creationId xmlns:a16="http://schemas.microsoft.com/office/drawing/2014/main" id="{787AC782-3426-F56F-21C3-91C75C36B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27" name="Picture 911">
          <a:extLst>
            <a:ext uri="{FF2B5EF4-FFF2-40B4-BE49-F238E27FC236}">
              <a16:creationId xmlns:a16="http://schemas.microsoft.com/office/drawing/2014/main" id="{A321978D-9C04-698C-6B9C-56F548135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28" name="Picture 912">
          <a:extLst>
            <a:ext uri="{FF2B5EF4-FFF2-40B4-BE49-F238E27FC236}">
              <a16:creationId xmlns:a16="http://schemas.microsoft.com/office/drawing/2014/main" id="{0140A113-F210-D26A-5345-5BD71321D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29" name="Picture 913">
          <a:extLst>
            <a:ext uri="{FF2B5EF4-FFF2-40B4-BE49-F238E27FC236}">
              <a16:creationId xmlns:a16="http://schemas.microsoft.com/office/drawing/2014/main" id="{1FB5066A-F0B0-CCBA-B492-ABC8E37A2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30" name="Picture 914">
          <a:extLst>
            <a:ext uri="{FF2B5EF4-FFF2-40B4-BE49-F238E27FC236}">
              <a16:creationId xmlns:a16="http://schemas.microsoft.com/office/drawing/2014/main" id="{8933889E-D1A7-296D-8ABC-751105323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31" name="Picture 915">
          <a:extLst>
            <a:ext uri="{FF2B5EF4-FFF2-40B4-BE49-F238E27FC236}">
              <a16:creationId xmlns:a16="http://schemas.microsoft.com/office/drawing/2014/main" id="{54732824-B27F-E394-F92A-FB6D8FA6D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32" name="Picture 916">
          <a:extLst>
            <a:ext uri="{FF2B5EF4-FFF2-40B4-BE49-F238E27FC236}">
              <a16:creationId xmlns:a16="http://schemas.microsoft.com/office/drawing/2014/main" id="{4C23DA0C-BC7E-C285-23FB-9A3CCE90C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33" name="Picture 917">
          <a:extLst>
            <a:ext uri="{FF2B5EF4-FFF2-40B4-BE49-F238E27FC236}">
              <a16:creationId xmlns:a16="http://schemas.microsoft.com/office/drawing/2014/main" id="{EA66BF6C-6822-3AC0-6FAB-E9B55B540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34" name="Picture 918">
          <a:extLst>
            <a:ext uri="{FF2B5EF4-FFF2-40B4-BE49-F238E27FC236}">
              <a16:creationId xmlns:a16="http://schemas.microsoft.com/office/drawing/2014/main" id="{3AA2CC87-66DB-34C0-90EC-BF0D5ACF3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35" name="Picture 919">
          <a:extLst>
            <a:ext uri="{FF2B5EF4-FFF2-40B4-BE49-F238E27FC236}">
              <a16:creationId xmlns:a16="http://schemas.microsoft.com/office/drawing/2014/main" id="{9F495C94-55EB-4F12-2F72-37A050161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36" name="Picture 920">
          <a:extLst>
            <a:ext uri="{FF2B5EF4-FFF2-40B4-BE49-F238E27FC236}">
              <a16:creationId xmlns:a16="http://schemas.microsoft.com/office/drawing/2014/main" id="{CB0BFC85-43BC-FCAA-801B-D7FEC46D4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37" name="Picture 921">
          <a:extLst>
            <a:ext uri="{FF2B5EF4-FFF2-40B4-BE49-F238E27FC236}">
              <a16:creationId xmlns:a16="http://schemas.microsoft.com/office/drawing/2014/main" id="{17039E70-B46A-992B-6197-7F00C24F1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38" name="Picture 922">
          <a:extLst>
            <a:ext uri="{FF2B5EF4-FFF2-40B4-BE49-F238E27FC236}">
              <a16:creationId xmlns:a16="http://schemas.microsoft.com/office/drawing/2014/main" id="{2A8E04C7-929C-B397-0517-B9CF19D94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39" name="Picture 923">
          <a:extLst>
            <a:ext uri="{FF2B5EF4-FFF2-40B4-BE49-F238E27FC236}">
              <a16:creationId xmlns:a16="http://schemas.microsoft.com/office/drawing/2014/main" id="{B30ABEA9-B169-BE01-D8A7-A4822C596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40" name="Picture 924">
          <a:extLst>
            <a:ext uri="{FF2B5EF4-FFF2-40B4-BE49-F238E27FC236}">
              <a16:creationId xmlns:a16="http://schemas.microsoft.com/office/drawing/2014/main" id="{4E98CFBE-824C-638F-E953-41CF2F454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41" name="Picture 925">
          <a:extLst>
            <a:ext uri="{FF2B5EF4-FFF2-40B4-BE49-F238E27FC236}">
              <a16:creationId xmlns:a16="http://schemas.microsoft.com/office/drawing/2014/main" id="{3CD89268-4B67-3A9F-EF0F-F4FF5936E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42" name="Picture 926">
          <a:extLst>
            <a:ext uri="{FF2B5EF4-FFF2-40B4-BE49-F238E27FC236}">
              <a16:creationId xmlns:a16="http://schemas.microsoft.com/office/drawing/2014/main" id="{DD1977F5-5C5A-AAAD-E865-6B197160A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43" name="Picture 927">
          <a:extLst>
            <a:ext uri="{FF2B5EF4-FFF2-40B4-BE49-F238E27FC236}">
              <a16:creationId xmlns:a16="http://schemas.microsoft.com/office/drawing/2014/main" id="{242E18AA-EDA4-040C-BD66-FEA7091AB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44" name="Picture 928">
          <a:extLst>
            <a:ext uri="{FF2B5EF4-FFF2-40B4-BE49-F238E27FC236}">
              <a16:creationId xmlns:a16="http://schemas.microsoft.com/office/drawing/2014/main" id="{55D1404B-8DCF-4B39-572E-7F51F8E6C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45" name="Picture 929">
          <a:extLst>
            <a:ext uri="{FF2B5EF4-FFF2-40B4-BE49-F238E27FC236}">
              <a16:creationId xmlns:a16="http://schemas.microsoft.com/office/drawing/2014/main" id="{5D2ABD29-8E7B-3675-F3D5-94D0144A1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46" name="Picture 930">
          <a:extLst>
            <a:ext uri="{FF2B5EF4-FFF2-40B4-BE49-F238E27FC236}">
              <a16:creationId xmlns:a16="http://schemas.microsoft.com/office/drawing/2014/main" id="{2D131EF0-2F79-CACC-DF60-12B01706A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47" name="Picture 931">
          <a:extLst>
            <a:ext uri="{FF2B5EF4-FFF2-40B4-BE49-F238E27FC236}">
              <a16:creationId xmlns:a16="http://schemas.microsoft.com/office/drawing/2014/main" id="{0E09089F-A4F3-9355-03B9-25577354B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48" name="Picture 932">
          <a:extLst>
            <a:ext uri="{FF2B5EF4-FFF2-40B4-BE49-F238E27FC236}">
              <a16:creationId xmlns:a16="http://schemas.microsoft.com/office/drawing/2014/main" id="{CC024235-A3A6-9F5D-7EA5-EFF3ACDB3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49" name="Picture 933">
          <a:extLst>
            <a:ext uri="{FF2B5EF4-FFF2-40B4-BE49-F238E27FC236}">
              <a16:creationId xmlns:a16="http://schemas.microsoft.com/office/drawing/2014/main" id="{3F1686C2-D005-9AD4-1CEF-1E9706549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50" name="Picture 934">
          <a:extLst>
            <a:ext uri="{FF2B5EF4-FFF2-40B4-BE49-F238E27FC236}">
              <a16:creationId xmlns:a16="http://schemas.microsoft.com/office/drawing/2014/main" id="{56C90CEC-5801-8AF6-C46A-F25F2482A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51" name="Picture 935">
          <a:extLst>
            <a:ext uri="{FF2B5EF4-FFF2-40B4-BE49-F238E27FC236}">
              <a16:creationId xmlns:a16="http://schemas.microsoft.com/office/drawing/2014/main" id="{FF761D76-D995-0226-F8C6-2AED29783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52" name="Picture 936">
          <a:extLst>
            <a:ext uri="{FF2B5EF4-FFF2-40B4-BE49-F238E27FC236}">
              <a16:creationId xmlns:a16="http://schemas.microsoft.com/office/drawing/2014/main" id="{08E76F60-D648-7696-9BA9-02D3BD950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53" name="Picture 937">
          <a:extLst>
            <a:ext uri="{FF2B5EF4-FFF2-40B4-BE49-F238E27FC236}">
              <a16:creationId xmlns:a16="http://schemas.microsoft.com/office/drawing/2014/main" id="{E9A9FC96-0F0B-6732-BED0-43042C9C5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54" name="Picture 938">
          <a:extLst>
            <a:ext uri="{FF2B5EF4-FFF2-40B4-BE49-F238E27FC236}">
              <a16:creationId xmlns:a16="http://schemas.microsoft.com/office/drawing/2014/main" id="{3C19D18F-0ACD-F352-E669-646C41FD7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55" name="Picture 939">
          <a:extLst>
            <a:ext uri="{FF2B5EF4-FFF2-40B4-BE49-F238E27FC236}">
              <a16:creationId xmlns:a16="http://schemas.microsoft.com/office/drawing/2014/main" id="{53FE1DDB-5C3C-5A6E-EE91-37EBDC05B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56" name="Picture 940">
          <a:extLst>
            <a:ext uri="{FF2B5EF4-FFF2-40B4-BE49-F238E27FC236}">
              <a16:creationId xmlns:a16="http://schemas.microsoft.com/office/drawing/2014/main" id="{533B9E9B-42A2-96EB-1B50-FCB73F1F2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57" name="Picture 941">
          <a:extLst>
            <a:ext uri="{FF2B5EF4-FFF2-40B4-BE49-F238E27FC236}">
              <a16:creationId xmlns:a16="http://schemas.microsoft.com/office/drawing/2014/main" id="{A2BA8C23-00A3-4488-2ABC-2C89FC22F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58" name="Picture 942">
          <a:extLst>
            <a:ext uri="{FF2B5EF4-FFF2-40B4-BE49-F238E27FC236}">
              <a16:creationId xmlns:a16="http://schemas.microsoft.com/office/drawing/2014/main" id="{BF56EF13-CC4A-6D4D-5341-897251417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59" name="Picture 943">
          <a:extLst>
            <a:ext uri="{FF2B5EF4-FFF2-40B4-BE49-F238E27FC236}">
              <a16:creationId xmlns:a16="http://schemas.microsoft.com/office/drawing/2014/main" id="{ADC809AA-B0E3-72DB-D32F-F1167F6B7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60" name="Picture 944">
          <a:extLst>
            <a:ext uri="{FF2B5EF4-FFF2-40B4-BE49-F238E27FC236}">
              <a16:creationId xmlns:a16="http://schemas.microsoft.com/office/drawing/2014/main" id="{87310E30-0385-0F08-7EF8-14EBF6E8B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61" name="Picture 945">
          <a:extLst>
            <a:ext uri="{FF2B5EF4-FFF2-40B4-BE49-F238E27FC236}">
              <a16:creationId xmlns:a16="http://schemas.microsoft.com/office/drawing/2014/main" id="{900D1178-C4D1-D755-4A56-A837A297E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62" name="Picture 946">
          <a:extLst>
            <a:ext uri="{FF2B5EF4-FFF2-40B4-BE49-F238E27FC236}">
              <a16:creationId xmlns:a16="http://schemas.microsoft.com/office/drawing/2014/main" id="{C046F774-C635-50BA-8F12-0CD3ADFA3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63" name="Picture 947">
          <a:extLst>
            <a:ext uri="{FF2B5EF4-FFF2-40B4-BE49-F238E27FC236}">
              <a16:creationId xmlns:a16="http://schemas.microsoft.com/office/drawing/2014/main" id="{F1D5D448-15C0-158F-BCD1-6B9F592EF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64" name="Picture 948">
          <a:extLst>
            <a:ext uri="{FF2B5EF4-FFF2-40B4-BE49-F238E27FC236}">
              <a16:creationId xmlns:a16="http://schemas.microsoft.com/office/drawing/2014/main" id="{7ED3F141-A128-7659-3D6B-932C808B3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65" name="Picture 949">
          <a:extLst>
            <a:ext uri="{FF2B5EF4-FFF2-40B4-BE49-F238E27FC236}">
              <a16:creationId xmlns:a16="http://schemas.microsoft.com/office/drawing/2014/main" id="{40109B7E-C588-200B-7FE6-96198057E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66" name="Picture 950">
          <a:extLst>
            <a:ext uri="{FF2B5EF4-FFF2-40B4-BE49-F238E27FC236}">
              <a16:creationId xmlns:a16="http://schemas.microsoft.com/office/drawing/2014/main" id="{85FF2C96-E7F9-7994-4BAF-9E95F61AC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67" name="Picture 951">
          <a:extLst>
            <a:ext uri="{FF2B5EF4-FFF2-40B4-BE49-F238E27FC236}">
              <a16:creationId xmlns:a16="http://schemas.microsoft.com/office/drawing/2014/main" id="{34E9CFF7-EEA7-41A5-900C-9923F3412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68" name="Picture 952">
          <a:extLst>
            <a:ext uri="{FF2B5EF4-FFF2-40B4-BE49-F238E27FC236}">
              <a16:creationId xmlns:a16="http://schemas.microsoft.com/office/drawing/2014/main" id="{1C022563-395C-6C04-4E26-E1AECDADA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69" name="Picture 953">
          <a:extLst>
            <a:ext uri="{FF2B5EF4-FFF2-40B4-BE49-F238E27FC236}">
              <a16:creationId xmlns:a16="http://schemas.microsoft.com/office/drawing/2014/main" id="{F35E8EBA-B8D9-3E97-89E7-AD7E3B585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70" name="Picture 954">
          <a:extLst>
            <a:ext uri="{FF2B5EF4-FFF2-40B4-BE49-F238E27FC236}">
              <a16:creationId xmlns:a16="http://schemas.microsoft.com/office/drawing/2014/main" id="{96FB609A-2D25-54A0-069C-FAD0E1B47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71" name="Picture 955">
          <a:extLst>
            <a:ext uri="{FF2B5EF4-FFF2-40B4-BE49-F238E27FC236}">
              <a16:creationId xmlns:a16="http://schemas.microsoft.com/office/drawing/2014/main" id="{D9F84409-0A75-A324-1D80-E4F02514E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72" name="Picture 956">
          <a:extLst>
            <a:ext uri="{FF2B5EF4-FFF2-40B4-BE49-F238E27FC236}">
              <a16:creationId xmlns:a16="http://schemas.microsoft.com/office/drawing/2014/main" id="{B3C06781-DDFB-F9ED-AB39-866D3FB75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73" name="Picture 957">
          <a:extLst>
            <a:ext uri="{FF2B5EF4-FFF2-40B4-BE49-F238E27FC236}">
              <a16:creationId xmlns:a16="http://schemas.microsoft.com/office/drawing/2014/main" id="{CE85000A-9635-FD75-072B-FA7FC59A0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74" name="Picture 958">
          <a:extLst>
            <a:ext uri="{FF2B5EF4-FFF2-40B4-BE49-F238E27FC236}">
              <a16:creationId xmlns:a16="http://schemas.microsoft.com/office/drawing/2014/main" id="{689AE9FC-63AC-99EF-E827-75A1878BB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75" name="Picture 959">
          <a:extLst>
            <a:ext uri="{FF2B5EF4-FFF2-40B4-BE49-F238E27FC236}">
              <a16:creationId xmlns:a16="http://schemas.microsoft.com/office/drawing/2014/main" id="{098EF623-E762-D7E7-1EA4-2669A42F6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76" name="Picture 960">
          <a:extLst>
            <a:ext uri="{FF2B5EF4-FFF2-40B4-BE49-F238E27FC236}">
              <a16:creationId xmlns:a16="http://schemas.microsoft.com/office/drawing/2014/main" id="{0FB3C6EC-1098-FE87-2E0C-99525BD2F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77" name="Picture 961">
          <a:extLst>
            <a:ext uri="{FF2B5EF4-FFF2-40B4-BE49-F238E27FC236}">
              <a16:creationId xmlns:a16="http://schemas.microsoft.com/office/drawing/2014/main" id="{B9344703-A36C-8943-4246-F70A8F42C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78" name="Picture 962">
          <a:extLst>
            <a:ext uri="{FF2B5EF4-FFF2-40B4-BE49-F238E27FC236}">
              <a16:creationId xmlns:a16="http://schemas.microsoft.com/office/drawing/2014/main" id="{33747763-CAFD-842C-2388-70C2B458A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79" name="Picture 963">
          <a:extLst>
            <a:ext uri="{FF2B5EF4-FFF2-40B4-BE49-F238E27FC236}">
              <a16:creationId xmlns:a16="http://schemas.microsoft.com/office/drawing/2014/main" id="{B3829675-1FE0-084A-0DAE-6535E227D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80" name="Picture 964">
          <a:extLst>
            <a:ext uri="{FF2B5EF4-FFF2-40B4-BE49-F238E27FC236}">
              <a16:creationId xmlns:a16="http://schemas.microsoft.com/office/drawing/2014/main" id="{C9B257AD-E448-38E1-0F1D-288886BBE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81" name="Picture 965">
          <a:extLst>
            <a:ext uri="{FF2B5EF4-FFF2-40B4-BE49-F238E27FC236}">
              <a16:creationId xmlns:a16="http://schemas.microsoft.com/office/drawing/2014/main" id="{5B38E56E-25A3-F5DE-6D85-899BF2253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82" name="Picture 966">
          <a:extLst>
            <a:ext uri="{FF2B5EF4-FFF2-40B4-BE49-F238E27FC236}">
              <a16:creationId xmlns:a16="http://schemas.microsoft.com/office/drawing/2014/main" id="{7996C680-21A3-35FF-845C-C9C30086A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83" name="Picture 967">
          <a:extLst>
            <a:ext uri="{FF2B5EF4-FFF2-40B4-BE49-F238E27FC236}">
              <a16:creationId xmlns:a16="http://schemas.microsoft.com/office/drawing/2014/main" id="{E9BAE409-B273-BEC6-3EA6-325D19301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84" name="Picture 968">
          <a:extLst>
            <a:ext uri="{FF2B5EF4-FFF2-40B4-BE49-F238E27FC236}">
              <a16:creationId xmlns:a16="http://schemas.microsoft.com/office/drawing/2014/main" id="{3129F137-4A77-078B-7CA0-43C683176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85" name="Picture 969">
          <a:extLst>
            <a:ext uri="{FF2B5EF4-FFF2-40B4-BE49-F238E27FC236}">
              <a16:creationId xmlns:a16="http://schemas.microsoft.com/office/drawing/2014/main" id="{C2502ACB-B653-9EE4-65DB-9E1CA9AB8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86" name="Picture 970">
          <a:extLst>
            <a:ext uri="{FF2B5EF4-FFF2-40B4-BE49-F238E27FC236}">
              <a16:creationId xmlns:a16="http://schemas.microsoft.com/office/drawing/2014/main" id="{6F50D2AC-DEB8-AB7B-E3E5-53D7700B2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87" name="Picture 971">
          <a:extLst>
            <a:ext uri="{FF2B5EF4-FFF2-40B4-BE49-F238E27FC236}">
              <a16:creationId xmlns:a16="http://schemas.microsoft.com/office/drawing/2014/main" id="{4C68284C-22F8-11FE-AC68-8C593DE3A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88" name="Picture 972">
          <a:extLst>
            <a:ext uri="{FF2B5EF4-FFF2-40B4-BE49-F238E27FC236}">
              <a16:creationId xmlns:a16="http://schemas.microsoft.com/office/drawing/2014/main" id="{7A2AD554-511B-F80B-38E9-2F14F675D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89" name="Picture 973">
          <a:extLst>
            <a:ext uri="{FF2B5EF4-FFF2-40B4-BE49-F238E27FC236}">
              <a16:creationId xmlns:a16="http://schemas.microsoft.com/office/drawing/2014/main" id="{D34AD051-7508-6812-0A42-AA0866965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90" name="Picture 974">
          <a:extLst>
            <a:ext uri="{FF2B5EF4-FFF2-40B4-BE49-F238E27FC236}">
              <a16:creationId xmlns:a16="http://schemas.microsoft.com/office/drawing/2014/main" id="{2AA0E075-B5AD-DAD6-440A-989918CFD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91" name="Picture 975">
          <a:extLst>
            <a:ext uri="{FF2B5EF4-FFF2-40B4-BE49-F238E27FC236}">
              <a16:creationId xmlns:a16="http://schemas.microsoft.com/office/drawing/2014/main" id="{C3BEE539-A9B6-A294-57E2-5F484E4E3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92" name="Picture 976">
          <a:extLst>
            <a:ext uri="{FF2B5EF4-FFF2-40B4-BE49-F238E27FC236}">
              <a16:creationId xmlns:a16="http://schemas.microsoft.com/office/drawing/2014/main" id="{E5EACF12-60A8-3EA9-9CB6-33315071A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93" name="Picture 977">
          <a:extLst>
            <a:ext uri="{FF2B5EF4-FFF2-40B4-BE49-F238E27FC236}">
              <a16:creationId xmlns:a16="http://schemas.microsoft.com/office/drawing/2014/main" id="{D5046398-A301-616C-F9E7-F08BCAE27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94" name="Picture 978">
          <a:extLst>
            <a:ext uri="{FF2B5EF4-FFF2-40B4-BE49-F238E27FC236}">
              <a16:creationId xmlns:a16="http://schemas.microsoft.com/office/drawing/2014/main" id="{44C9A96A-A556-569E-95DC-C18ED9DB9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95" name="Picture 979">
          <a:extLst>
            <a:ext uri="{FF2B5EF4-FFF2-40B4-BE49-F238E27FC236}">
              <a16:creationId xmlns:a16="http://schemas.microsoft.com/office/drawing/2014/main" id="{23285A93-909F-6F98-F397-81767C477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796" name="Picture 980">
          <a:extLst>
            <a:ext uri="{FF2B5EF4-FFF2-40B4-BE49-F238E27FC236}">
              <a16:creationId xmlns:a16="http://schemas.microsoft.com/office/drawing/2014/main" id="{AF7BA485-30DB-5D0E-3FF5-8A1312E04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97" name="Picture 981">
          <a:extLst>
            <a:ext uri="{FF2B5EF4-FFF2-40B4-BE49-F238E27FC236}">
              <a16:creationId xmlns:a16="http://schemas.microsoft.com/office/drawing/2014/main" id="{70B5C5A6-198A-1349-E8F5-67E380609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98" name="Picture 982">
          <a:extLst>
            <a:ext uri="{FF2B5EF4-FFF2-40B4-BE49-F238E27FC236}">
              <a16:creationId xmlns:a16="http://schemas.microsoft.com/office/drawing/2014/main" id="{9036B124-2BC1-901B-7507-3FD684FAE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799" name="Picture 983">
          <a:extLst>
            <a:ext uri="{FF2B5EF4-FFF2-40B4-BE49-F238E27FC236}">
              <a16:creationId xmlns:a16="http://schemas.microsoft.com/office/drawing/2014/main" id="{1D97AC7D-A75E-0AA9-91EE-A25057D78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00" name="Picture 984">
          <a:extLst>
            <a:ext uri="{FF2B5EF4-FFF2-40B4-BE49-F238E27FC236}">
              <a16:creationId xmlns:a16="http://schemas.microsoft.com/office/drawing/2014/main" id="{5D02D243-E5E5-F2A9-F7B1-7616A414F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01" name="Picture 985">
          <a:extLst>
            <a:ext uri="{FF2B5EF4-FFF2-40B4-BE49-F238E27FC236}">
              <a16:creationId xmlns:a16="http://schemas.microsoft.com/office/drawing/2014/main" id="{F80C55D2-AE8D-CBDC-A18B-C309CB8AC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02" name="Picture 986">
          <a:extLst>
            <a:ext uri="{FF2B5EF4-FFF2-40B4-BE49-F238E27FC236}">
              <a16:creationId xmlns:a16="http://schemas.microsoft.com/office/drawing/2014/main" id="{CBB4CBBC-50E7-BB08-12A3-5DD8585EA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803" name="Picture 987">
          <a:extLst>
            <a:ext uri="{FF2B5EF4-FFF2-40B4-BE49-F238E27FC236}">
              <a16:creationId xmlns:a16="http://schemas.microsoft.com/office/drawing/2014/main" id="{735719BB-DC8E-BDD2-7ED9-C5F182201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804" name="Picture 988">
          <a:extLst>
            <a:ext uri="{FF2B5EF4-FFF2-40B4-BE49-F238E27FC236}">
              <a16:creationId xmlns:a16="http://schemas.microsoft.com/office/drawing/2014/main" id="{A53352E8-7DEF-6951-A5B4-53F2EC9AB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805" name="Picture 989">
          <a:extLst>
            <a:ext uri="{FF2B5EF4-FFF2-40B4-BE49-F238E27FC236}">
              <a16:creationId xmlns:a16="http://schemas.microsoft.com/office/drawing/2014/main" id="{C0A1729F-F11D-4DA0-356E-F82B4D813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06" name="Picture 990">
          <a:extLst>
            <a:ext uri="{FF2B5EF4-FFF2-40B4-BE49-F238E27FC236}">
              <a16:creationId xmlns:a16="http://schemas.microsoft.com/office/drawing/2014/main" id="{B84F4AB4-179F-3682-6438-15D1B5A0D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07" name="Picture 991">
          <a:extLst>
            <a:ext uri="{FF2B5EF4-FFF2-40B4-BE49-F238E27FC236}">
              <a16:creationId xmlns:a16="http://schemas.microsoft.com/office/drawing/2014/main" id="{EC57A409-59DB-D5DD-95D2-1CD85B1FF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08" name="Picture 992">
          <a:extLst>
            <a:ext uri="{FF2B5EF4-FFF2-40B4-BE49-F238E27FC236}">
              <a16:creationId xmlns:a16="http://schemas.microsoft.com/office/drawing/2014/main" id="{1249FD29-7F33-D002-3993-E5025D1E3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09" name="Picture 993">
          <a:extLst>
            <a:ext uri="{FF2B5EF4-FFF2-40B4-BE49-F238E27FC236}">
              <a16:creationId xmlns:a16="http://schemas.microsoft.com/office/drawing/2014/main" id="{6F721E83-F629-2C52-C5F1-0EC673422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10" name="Picture 994">
          <a:extLst>
            <a:ext uri="{FF2B5EF4-FFF2-40B4-BE49-F238E27FC236}">
              <a16:creationId xmlns:a16="http://schemas.microsoft.com/office/drawing/2014/main" id="{AFFBF8D8-AD22-BD5A-FCA2-929EDBB70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11" name="Picture 995">
          <a:extLst>
            <a:ext uri="{FF2B5EF4-FFF2-40B4-BE49-F238E27FC236}">
              <a16:creationId xmlns:a16="http://schemas.microsoft.com/office/drawing/2014/main" id="{AA239808-02EE-AD1C-9FAD-CF6C010F3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812" name="Picture 996">
          <a:extLst>
            <a:ext uri="{FF2B5EF4-FFF2-40B4-BE49-F238E27FC236}">
              <a16:creationId xmlns:a16="http://schemas.microsoft.com/office/drawing/2014/main" id="{FF750590-5AA0-6DDF-3775-08290E4A6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813" name="Picture 997">
          <a:extLst>
            <a:ext uri="{FF2B5EF4-FFF2-40B4-BE49-F238E27FC236}">
              <a16:creationId xmlns:a16="http://schemas.microsoft.com/office/drawing/2014/main" id="{82D2B498-3152-CB43-EB62-B902319AF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14" name="Picture 998">
          <a:extLst>
            <a:ext uri="{FF2B5EF4-FFF2-40B4-BE49-F238E27FC236}">
              <a16:creationId xmlns:a16="http://schemas.microsoft.com/office/drawing/2014/main" id="{6A2DD9C2-547C-B1D6-07BE-D0602F8C2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15" name="Picture 999">
          <a:extLst>
            <a:ext uri="{FF2B5EF4-FFF2-40B4-BE49-F238E27FC236}">
              <a16:creationId xmlns:a16="http://schemas.microsoft.com/office/drawing/2014/main" id="{7052056C-B41A-4E1F-5DD6-AC2DFAD7D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16" name="Picture 1000">
          <a:extLst>
            <a:ext uri="{FF2B5EF4-FFF2-40B4-BE49-F238E27FC236}">
              <a16:creationId xmlns:a16="http://schemas.microsoft.com/office/drawing/2014/main" id="{1695FF39-98C1-A83F-7EC0-D02BD7F03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17" name="Picture 1001">
          <a:extLst>
            <a:ext uri="{FF2B5EF4-FFF2-40B4-BE49-F238E27FC236}">
              <a16:creationId xmlns:a16="http://schemas.microsoft.com/office/drawing/2014/main" id="{FB7FD17E-1016-4389-B880-4BB0A453D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18" name="Picture 1002">
          <a:extLst>
            <a:ext uri="{FF2B5EF4-FFF2-40B4-BE49-F238E27FC236}">
              <a16:creationId xmlns:a16="http://schemas.microsoft.com/office/drawing/2014/main" id="{248A4E32-6337-E8C0-7E23-08E2A5C0D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19" name="Picture 1003">
          <a:extLst>
            <a:ext uri="{FF2B5EF4-FFF2-40B4-BE49-F238E27FC236}">
              <a16:creationId xmlns:a16="http://schemas.microsoft.com/office/drawing/2014/main" id="{81B4E14A-D535-7528-F0CF-C99C44622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820" name="Picture 1004">
          <a:extLst>
            <a:ext uri="{FF2B5EF4-FFF2-40B4-BE49-F238E27FC236}">
              <a16:creationId xmlns:a16="http://schemas.microsoft.com/office/drawing/2014/main" id="{5E778057-3248-54B6-9412-ACF271437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821" name="Picture 1005">
          <a:extLst>
            <a:ext uri="{FF2B5EF4-FFF2-40B4-BE49-F238E27FC236}">
              <a16:creationId xmlns:a16="http://schemas.microsoft.com/office/drawing/2014/main" id="{0C60C767-EF6F-3036-2DC8-9D45656B3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822" name="Picture 1006">
          <a:extLst>
            <a:ext uri="{FF2B5EF4-FFF2-40B4-BE49-F238E27FC236}">
              <a16:creationId xmlns:a16="http://schemas.microsoft.com/office/drawing/2014/main" id="{D946EA95-4328-311D-CD7A-237D4D5F9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23" name="Picture 1007">
          <a:extLst>
            <a:ext uri="{FF2B5EF4-FFF2-40B4-BE49-F238E27FC236}">
              <a16:creationId xmlns:a16="http://schemas.microsoft.com/office/drawing/2014/main" id="{7D5A5655-CBA8-EA0C-C378-D8F9A88F5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24" name="Picture 1008">
          <a:extLst>
            <a:ext uri="{FF2B5EF4-FFF2-40B4-BE49-F238E27FC236}">
              <a16:creationId xmlns:a16="http://schemas.microsoft.com/office/drawing/2014/main" id="{0B1B7586-7C49-0C2E-3550-11E8490A0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25" name="Picture 1009">
          <a:extLst>
            <a:ext uri="{FF2B5EF4-FFF2-40B4-BE49-F238E27FC236}">
              <a16:creationId xmlns:a16="http://schemas.microsoft.com/office/drawing/2014/main" id="{EDC9C603-4419-645F-4699-A6E5CFEFD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26" name="Picture 1010">
          <a:extLst>
            <a:ext uri="{FF2B5EF4-FFF2-40B4-BE49-F238E27FC236}">
              <a16:creationId xmlns:a16="http://schemas.microsoft.com/office/drawing/2014/main" id="{87C27598-26DB-E25C-2A87-EB8393D2B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27" name="Picture 1011">
          <a:extLst>
            <a:ext uri="{FF2B5EF4-FFF2-40B4-BE49-F238E27FC236}">
              <a16:creationId xmlns:a16="http://schemas.microsoft.com/office/drawing/2014/main" id="{9E7F5EA3-C6E3-E688-F27E-AA390CF7D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28" name="Picture 1012">
          <a:extLst>
            <a:ext uri="{FF2B5EF4-FFF2-40B4-BE49-F238E27FC236}">
              <a16:creationId xmlns:a16="http://schemas.microsoft.com/office/drawing/2014/main" id="{45420BAA-1FDC-E47D-B837-ED495F585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829" name="Picture 1013">
          <a:extLst>
            <a:ext uri="{FF2B5EF4-FFF2-40B4-BE49-F238E27FC236}">
              <a16:creationId xmlns:a16="http://schemas.microsoft.com/office/drawing/2014/main" id="{ABC396F5-9B53-C04F-B402-6AA69E94C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539750</xdr:colOff>
      <xdr:row>3</xdr:row>
      <xdr:rowOff>0</xdr:rowOff>
    </xdr:to>
    <xdr:pic>
      <xdr:nvPicPr>
        <xdr:cNvPr id="39830" name="Picture 1014">
          <a:extLst>
            <a:ext uri="{FF2B5EF4-FFF2-40B4-BE49-F238E27FC236}">
              <a16:creationId xmlns:a16="http://schemas.microsoft.com/office/drawing/2014/main" id="{37165BC0-B9EE-F41C-B316-CE49178B8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16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31" name="Picture 1015">
          <a:extLst>
            <a:ext uri="{FF2B5EF4-FFF2-40B4-BE49-F238E27FC236}">
              <a16:creationId xmlns:a16="http://schemas.microsoft.com/office/drawing/2014/main" id="{565E2D26-E214-BA08-6C4E-4FC6808C3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32" name="Picture 1016">
          <a:extLst>
            <a:ext uri="{FF2B5EF4-FFF2-40B4-BE49-F238E27FC236}">
              <a16:creationId xmlns:a16="http://schemas.microsoft.com/office/drawing/2014/main" id="{6FB096C7-B30E-024F-9A50-E1AE57F87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33" name="Picture 1017">
          <a:extLst>
            <a:ext uri="{FF2B5EF4-FFF2-40B4-BE49-F238E27FC236}">
              <a16:creationId xmlns:a16="http://schemas.microsoft.com/office/drawing/2014/main" id="{2C32E5AB-F64B-A7E1-AE29-95D98AFAC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34" name="Picture 1018">
          <a:extLst>
            <a:ext uri="{FF2B5EF4-FFF2-40B4-BE49-F238E27FC236}">
              <a16:creationId xmlns:a16="http://schemas.microsoft.com/office/drawing/2014/main" id="{0500DD38-FDA7-FBB3-0110-AD99747C8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35" name="Picture 1019">
          <a:extLst>
            <a:ext uri="{FF2B5EF4-FFF2-40B4-BE49-F238E27FC236}">
              <a16:creationId xmlns:a16="http://schemas.microsoft.com/office/drawing/2014/main" id="{335DD1C5-FAA4-E4EB-0EAB-2FB8E34F4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127000</xdr:colOff>
      <xdr:row>3</xdr:row>
      <xdr:rowOff>0</xdr:rowOff>
    </xdr:from>
    <xdr:to>
      <xdr:col>1</xdr:col>
      <xdr:colOff>558800</xdr:colOff>
      <xdr:row>3</xdr:row>
      <xdr:rowOff>0</xdr:rowOff>
    </xdr:to>
    <xdr:pic>
      <xdr:nvPicPr>
        <xdr:cNvPr id="39836" name="Picture 1020">
          <a:extLst>
            <a:ext uri="{FF2B5EF4-FFF2-40B4-BE49-F238E27FC236}">
              <a16:creationId xmlns:a16="http://schemas.microsoft.com/office/drawing/2014/main" id="{F8456CB1-E107-CC43-81A1-451F28C29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139700</xdr:colOff>
      <xdr:row>0</xdr:row>
      <xdr:rowOff>95250</xdr:rowOff>
    </xdr:from>
    <xdr:to>
      <xdr:col>1</xdr:col>
      <xdr:colOff>107950</xdr:colOff>
      <xdr:row>4</xdr:row>
      <xdr:rowOff>114300</xdr:rowOff>
    </xdr:to>
    <xdr:pic>
      <xdr:nvPicPr>
        <xdr:cNvPr id="14358" name="Picture 1" descr="LOGO FINAL">
          <a:extLst>
            <a:ext uri="{FF2B5EF4-FFF2-40B4-BE49-F238E27FC236}">
              <a16:creationId xmlns:a16="http://schemas.microsoft.com/office/drawing/2014/main" id="{77E26CAE-64A7-44E2-7674-AE9F1BBA4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79" t="-2632" r="11829"/>
        <a:stretch>
          <a:fillRect/>
        </a:stretch>
      </xdr:blipFill>
      <xdr:spPr bwMode="auto">
        <a:xfrm>
          <a:off x="139700" y="95250"/>
          <a:ext cx="1098550" cy="882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139700</xdr:colOff>
      <xdr:row>0</xdr:row>
      <xdr:rowOff>95250</xdr:rowOff>
    </xdr:from>
    <xdr:to>
      <xdr:col>0</xdr:col>
      <xdr:colOff>908050</xdr:colOff>
      <xdr:row>3</xdr:row>
      <xdr:rowOff>57150</xdr:rowOff>
    </xdr:to>
    <xdr:pic>
      <xdr:nvPicPr>
        <xdr:cNvPr id="2081" name="Picture 1" descr="LOGO FINAL">
          <a:extLst>
            <a:ext uri="{FF2B5EF4-FFF2-40B4-BE49-F238E27FC236}">
              <a16:creationId xmlns:a16="http://schemas.microsoft.com/office/drawing/2014/main" id="{1CE358C9-EA60-D84C-A31E-370BDCB50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79" t="-2632" r="11829"/>
        <a:stretch>
          <a:fillRect/>
        </a:stretch>
      </xdr:blipFill>
      <xdr:spPr bwMode="auto">
        <a:xfrm>
          <a:off x="139700" y="95250"/>
          <a:ext cx="76835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COSTOS%202013\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COSTOS%202013\Planta\Planta%20Subrecetas\Crema%20Chantilly\Spoon\96223%20-%20GANACHE%20DULCE%20LECH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Recetas%20ICG%20ingresadas\recetas%20icg%20proyecto\Prueba%20Alejandr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2622</v>
          </cell>
          <cell r="J2">
            <v>315302</v>
          </cell>
          <cell r="K2">
            <v>454</v>
          </cell>
          <cell r="L2">
            <v>5.7753303964757707</v>
          </cell>
          <cell r="M2" t="str">
            <v>Gramos</v>
          </cell>
        </row>
        <row r="3">
          <cell r="A3" t="str">
            <v>44074</v>
          </cell>
          <cell r="B3">
            <v>12586</v>
          </cell>
          <cell r="C3" t="str">
            <v>PAPITA RAYADA (UND:70g)</v>
          </cell>
          <cell r="D3" t="str">
            <v>44074</v>
          </cell>
          <cell r="E3" t="str">
            <v>MATERIAS PRIMAS PLANTA</v>
          </cell>
          <cell r="F3" t="str">
            <v>1 UND</v>
          </cell>
          <cell r="G3">
            <v>500</v>
          </cell>
          <cell r="H3" t="str">
            <v>12/06/2020</v>
          </cell>
          <cell r="I3">
            <v>980</v>
          </cell>
          <cell r="J3">
            <v>317520</v>
          </cell>
          <cell r="K3">
            <v>70</v>
          </cell>
          <cell r="L3">
            <v>14</v>
          </cell>
        </row>
        <row r="4">
          <cell r="A4" t="str">
            <v>56009</v>
          </cell>
          <cell r="B4">
            <v>12133</v>
          </cell>
          <cell r="C4" t="str">
            <v>CANDELAS MAGICAS (PAQ:24 UND)</v>
          </cell>
          <cell r="D4" t="str">
            <v>56009</v>
          </cell>
          <cell r="E4" t="str">
            <v>EMPAQUES PLANTA</v>
          </cell>
          <cell r="F4" t="str">
            <v>1 PAQUETE</v>
          </cell>
          <cell r="G4">
            <v>500</v>
          </cell>
          <cell r="H4" t="str">
            <v>12/06/2020</v>
          </cell>
          <cell r="I4">
            <v>1</v>
          </cell>
          <cell r="J4">
            <v>540075</v>
          </cell>
          <cell r="K4">
            <v>24</v>
          </cell>
          <cell r="L4">
            <v>4.1666666666666664E-2</v>
          </cell>
          <cell r="M4" t="str">
            <v>Gramos</v>
          </cell>
        </row>
        <row r="5">
          <cell r="A5" t="str">
            <v>101005</v>
          </cell>
          <cell r="B5">
            <v>5510</v>
          </cell>
          <cell r="C5" t="str">
            <v>AJO PELADO (PAQ:1 KILO)</v>
          </cell>
          <cell r="D5" t="str">
            <v>101005</v>
          </cell>
          <cell r="E5" t="str">
            <v>MATERIAS PRIMAS PLANTA</v>
          </cell>
          <cell r="F5" t="str">
            <v>1 PAQUETE</v>
          </cell>
          <cell r="G5">
            <v>500</v>
          </cell>
          <cell r="H5" t="str">
            <v>11/06/2020</v>
          </cell>
          <cell r="I5">
            <v>3807</v>
          </cell>
          <cell r="J5">
            <v>1898515.5</v>
          </cell>
          <cell r="K5">
            <v>1000</v>
          </cell>
          <cell r="L5">
            <v>3.8069999999999999</v>
          </cell>
          <cell r="M5" t="str">
            <v>Gramos</v>
          </cell>
        </row>
        <row r="6">
          <cell r="A6" t="str">
            <v>0101022</v>
          </cell>
          <cell r="B6">
            <v>5473</v>
          </cell>
          <cell r="C6" t="str">
            <v>PAPA MINI KILO</v>
          </cell>
          <cell r="D6" t="str">
            <v>0101022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02/05/2020</v>
          </cell>
          <cell r="I6">
            <v>800</v>
          </cell>
          <cell r="J6">
            <v>63200</v>
          </cell>
          <cell r="K6">
            <v>1000</v>
          </cell>
          <cell r="L6">
            <v>0.8</v>
          </cell>
          <cell r="M6" t="str">
            <v>Gramos</v>
          </cell>
        </row>
        <row r="7">
          <cell r="A7" t="str">
            <v>101025</v>
          </cell>
          <cell r="B7">
            <v>11331</v>
          </cell>
          <cell r="C7" t="str">
            <v>BROCOLI KILO</v>
          </cell>
          <cell r="D7" t="str">
            <v>101025</v>
          </cell>
          <cell r="E7" t="str">
            <v>MATERIAS PRIMAS PLANTA</v>
          </cell>
          <cell r="F7" t="str">
            <v>1 KILO</v>
          </cell>
          <cell r="G7">
            <v>500</v>
          </cell>
          <cell r="H7" t="str">
            <v>02/03/2020</v>
          </cell>
          <cell r="I7">
            <v>2600</v>
          </cell>
          <cell r="J7">
            <v>233308</v>
          </cell>
          <cell r="K7">
            <v>1000</v>
          </cell>
          <cell r="L7">
            <v>2.6</v>
          </cell>
          <cell r="M7" t="str">
            <v>Gramos</v>
          </cell>
        </row>
        <row r="8">
          <cell r="A8" t="str">
            <v>101035</v>
          </cell>
          <cell r="B8">
            <v>5507</v>
          </cell>
          <cell r="C8" t="str">
            <v>CEBOLLA PICADA (PAQ:KILO)</v>
          </cell>
          <cell r="D8" t="str">
            <v>101035</v>
          </cell>
          <cell r="E8" t="str">
            <v>MATERIAS PRIMAS PLANTA</v>
          </cell>
          <cell r="F8" t="str">
            <v xml:space="preserve">1 KILO   </v>
          </cell>
          <cell r="G8">
            <v>500</v>
          </cell>
          <cell r="H8" t="str">
            <v>15/06/2020</v>
          </cell>
          <cell r="I8">
            <v>1975</v>
          </cell>
          <cell r="J8">
            <v>24718527</v>
          </cell>
          <cell r="K8">
            <v>1000</v>
          </cell>
          <cell r="L8">
            <v>1.9750000000000001</v>
          </cell>
          <cell r="M8" t="str">
            <v>Gramos</v>
          </cell>
        </row>
        <row r="9">
          <cell r="A9" t="str">
            <v>101040</v>
          </cell>
          <cell r="B9">
            <v>5506</v>
          </cell>
          <cell r="C9" t="str">
            <v>CEBOLLA TRENZA KILO</v>
          </cell>
          <cell r="D9" t="str">
            <v>101040</v>
          </cell>
          <cell r="E9" t="str">
            <v>MATERIAS PRIMAS PLANTA</v>
          </cell>
          <cell r="F9" t="str">
            <v>1 KILO</v>
          </cell>
          <cell r="G9">
            <v>500</v>
          </cell>
          <cell r="H9" t="str">
            <v>15/06/2020</v>
          </cell>
          <cell r="I9">
            <v>1</v>
          </cell>
          <cell r="J9">
            <v>3706917.5</v>
          </cell>
          <cell r="K9">
            <v>1000</v>
          </cell>
          <cell r="L9">
            <v>1E-3</v>
          </cell>
          <cell r="M9" t="str">
            <v>Gramos</v>
          </cell>
        </row>
        <row r="10">
          <cell r="A10" t="str">
            <v>101043</v>
          </cell>
          <cell r="B10">
            <v>5505</v>
          </cell>
          <cell r="C10" t="str">
            <v>CEBOLLA BLANCA JULIANA (PAQ:1 KILO )</v>
          </cell>
          <cell r="D10" t="str">
            <v>101043</v>
          </cell>
          <cell r="E10" t="str">
            <v>MATERIAS PRIMAS PLANTA</v>
          </cell>
          <cell r="F10" t="str">
            <v>1 PAQUETE</v>
          </cell>
          <cell r="G10">
            <v>500</v>
          </cell>
          <cell r="H10" t="str">
            <v>15/06/2020</v>
          </cell>
          <cell r="I10">
            <v>2000</v>
          </cell>
          <cell r="J10">
            <v>1489160</v>
          </cell>
          <cell r="K10">
            <v>1000</v>
          </cell>
          <cell r="L10">
            <v>2</v>
          </cell>
          <cell r="M10" t="str">
            <v>Gramos</v>
          </cell>
        </row>
        <row r="11">
          <cell r="A11" t="str">
            <v>101045</v>
          </cell>
          <cell r="B11">
            <v>5435</v>
          </cell>
          <cell r="C11" t="str">
            <v>CEBOLLINO KILO</v>
          </cell>
          <cell r="D11" t="str">
            <v>101045</v>
          </cell>
          <cell r="E11" t="str">
            <v>MATERIAS PRIMAS PLANTA</v>
          </cell>
          <cell r="F11" t="str">
            <v>1 KILO</v>
          </cell>
          <cell r="G11">
            <v>500</v>
          </cell>
          <cell r="H11" t="str">
            <v>11/06/2020</v>
          </cell>
          <cell r="I11">
            <v>1795</v>
          </cell>
          <cell r="J11">
            <v>450795</v>
          </cell>
          <cell r="K11">
            <v>1000</v>
          </cell>
          <cell r="L11">
            <v>1.7949999999999999</v>
          </cell>
          <cell r="M11" t="str">
            <v>Gramos</v>
          </cell>
        </row>
        <row r="12">
          <cell r="A12" t="str">
            <v>101050</v>
          </cell>
          <cell r="B12">
            <v>5428</v>
          </cell>
          <cell r="C12" t="str">
            <v>CHAYOTE (UND)</v>
          </cell>
          <cell r="D12" t="str">
            <v>101050</v>
          </cell>
          <cell r="E12" t="str">
            <v>MATERIAS PRIMAS PLANTA</v>
          </cell>
          <cell r="F12" t="str">
            <v>1 UND</v>
          </cell>
          <cell r="G12">
            <v>500</v>
          </cell>
          <cell r="H12" t="str">
            <v>24/02/2020</v>
          </cell>
          <cell r="I12">
            <v>150</v>
          </cell>
          <cell r="J12">
            <v>4500</v>
          </cell>
          <cell r="K12">
            <v>1000</v>
          </cell>
          <cell r="L12" t="e">
            <v>#DIV/0!</v>
          </cell>
        </row>
        <row r="13">
          <cell r="A13" t="str">
            <v>101051</v>
          </cell>
          <cell r="B13">
            <v>5443</v>
          </cell>
          <cell r="C13" t="str">
            <v>CHAYOTE PICADO (PAQ:1 KILO)</v>
          </cell>
          <cell r="D13" t="str">
            <v>101051</v>
          </cell>
          <cell r="E13" t="str">
            <v>MATERIAS PRIMAS PLANTA</v>
          </cell>
          <cell r="F13" t="str">
            <v>1 PAQUETE</v>
          </cell>
          <cell r="G13">
            <v>500</v>
          </cell>
          <cell r="H13" t="str">
            <v>15/06/2020</v>
          </cell>
          <cell r="I13">
            <v>1029</v>
          </cell>
          <cell r="J13">
            <v>571255.26</v>
          </cell>
          <cell r="K13">
            <v>1000</v>
          </cell>
          <cell r="L13">
            <v>1.0289999999999999</v>
          </cell>
          <cell r="M13" t="str">
            <v>Gramos</v>
          </cell>
        </row>
        <row r="14">
          <cell r="A14" t="str">
            <v>101055</v>
          </cell>
          <cell r="B14">
            <v>5492</v>
          </cell>
          <cell r="C14" t="str">
            <v>CHILE DULCE ENTERO KILO</v>
          </cell>
          <cell r="D14" t="str">
            <v>101055</v>
          </cell>
          <cell r="E14" t="str">
            <v>MATERIAS PRIMAS PLANTA</v>
          </cell>
          <cell r="F14" t="str">
            <v xml:space="preserve">1 KILO </v>
          </cell>
          <cell r="G14">
            <v>500</v>
          </cell>
          <cell r="H14" t="str">
            <v>15/06/2020</v>
          </cell>
          <cell r="I14">
            <v>1095</v>
          </cell>
          <cell r="J14">
            <v>2493524.1854854398</v>
          </cell>
          <cell r="K14">
            <v>1000</v>
          </cell>
          <cell r="L14">
            <v>1.095</v>
          </cell>
          <cell r="M14" t="str">
            <v>Gramos</v>
          </cell>
        </row>
        <row r="15">
          <cell r="A15" t="str">
            <v>101065</v>
          </cell>
          <cell r="B15">
            <v>5429</v>
          </cell>
          <cell r="C15" t="str">
            <v>COLIFLOR KILO</v>
          </cell>
          <cell r="D15" t="str">
            <v>101065</v>
          </cell>
          <cell r="E15" t="str">
            <v>MATERIAS PRIMAS PLANTA</v>
          </cell>
          <cell r="F15" t="str">
            <v>1 KILO</v>
          </cell>
          <cell r="G15">
            <v>500</v>
          </cell>
          <cell r="H15" t="str">
            <v>13/06/2020</v>
          </cell>
          <cell r="I15">
            <v>2179</v>
          </cell>
          <cell r="J15">
            <v>145742</v>
          </cell>
          <cell r="K15">
            <v>1000</v>
          </cell>
          <cell r="L15">
            <v>2.1789999999999998</v>
          </cell>
          <cell r="M15" t="str">
            <v>Gramos</v>
          </cell>
        </row>
        <row r="16">
          <cell r="A16" t="str">
            <v>101072</v>
          </cell>
          <cell r="B16">
            <v>5504</v>
          </cell>
          <cell r="C16" t="str">
            <v>CULANTRO DESINFECTADO (PAQ:100g)</v>
          </cell>
          <cell r="D16" t="str">
            <v>101072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15/06/2020</v>
          </cell>
          <cell r="I16">
            <v>1</v>
          </cell>
          <cell r="J16">
            <v>674311</v>
          </cell>
          <cell r="K16">
            <v>100</v>
          </cell>
          <cell r="L16">
            <v>0.01</v>
          </cell>
          <cell r="M16" t="str">
            <v>Gramos</v>
          </cell>
        </row>
        <row r="17">
          <cell r="A17" t="str">
            <v>101073</v>
          </cell>
          <cell r="B17">
            <v>5503</v>
          </cell>
          <cell r="C17" t="str">
            <v>CULANTRO DESINFECTADO (PAQ:250g)</v>
          </cell>
          <cell r="D17" t="str">
            <v>101073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13/06/2020</v>
          </cell>
          <cell r="I17">
            <v>667</v>
          </cell>
          <cell r="J17">
            <v>2805241</v>
          </cell>
          <cell r="K17">
            <v>250</v>
          </cell>
          <cell r="L17">
            <v>2.6680000000000001</v>
          </cell>
          <cell r="M17" t="str">
            <v>Gramos</v>
          </cell>
        </row>
        <row r="18">
          <cell r="A18" t="str">
            <v>0101074</v>
          </cell>
          <cell r="B18">
            <v>5453</v>
          </cell>
          <cell r="C18" t="str">
            <v>PEREJIL DESINFECTADO (PAQ: 250g)</v>
          </cell>
          <cell r="D18" t="str">
            <v>0101074</v>
          </cell>
          <cell r="E18" t="str">
            <v>MATERIAS PRIMAS PLANTA</v>
          </cell>
          <cell r="F18" t="str">
            <v>1 PAQUETE</v>
          </cell>
          <cell r="G18">
            <v>500</v>
          </cell>
          <cell r="H18" t="str">
            <v>13/06/2020</v>
          </cell>
          <cell r="I18">
            <v>2051</v>
          </cell>
          <cell r="J18">
            <v>672366.75</v>
          </cell>
          <cell r="K18">
            <v>250</v>
          </cell>
          <cell r="L18">
            <v>8.2040000000000006</v>
          </cell>
          <cell r="M18" t="str">
            <v>Gramos</v>
          </cell>
        </row>
        <row r="19">
          <cell r="A19" t="str">
            <v>0101075</v>
          </cell>
          <cell r="B19">
            <v>5472</v>
          </cell>
          <cell r="C19" t="str">
            <v>ESPINACA EN HOJA (PAQ:500g)</v>
          </cell>
          <cell r="D19" t="str">
            <v>0101075</v>
          </cell>
          <cell r="E19" t="str">
            <v>MATERIAS PRIMAS PLANTA</v>
          </cell>
          <cell r="F19" t="str">
            <v>1 PAQUETE</v>
          </cell>
          <cell r="G19">
            <v>500</v>
          </cell>
          <cell r="H19" t="str">
            <v>15/06/2020</v>
          </cell>
          <cell r="I19">
            <v>1436</v>
          </cell>
          <cell r="J19">
            <v>2879884</v>
          </cell>
          <cell r="K19">
            <v>500</v>
          </cell>
          <cell r="L19">
            <v>2.8719999999999999</v>
          </cell>
          <cell r="M19" t="str">
            <v>Gramos</v>
          </cell>
        </row>
        <row r="20">
          <cell r="A20" t="str">
            <v>101081</v>
          </cell>
          <cell r="B20">
            <v>5423</v>
          </cell>
          <cell r="C20" t="str">
            <v>FRESA PICADA KILO</v>
          </cell>
          <cell r="D20" t="str">
            <v>101081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12/06/2020</v>
          </cell>
          <cell r="I20">
            <v>2425</v>
          </cell>
          <cell r="J20">
            <v>10100125</v>
          </cell>
          <cell r="K20">
            <v>1000</v>
          </cell>
          <cell r="L20">
            <v>2.4249999999999998</v>
          </cell>
          <cell r="M20" t="str">
            <v>Gramos</v>
          </cell>
        </row>
        <row r="21">
          <cell r="A21" t="str">
            <v>0101100</v>
          </cell>
          <cell r="B21">
            <v>8141</v>
          </cell>
          <cell r="C21" t="str">
            <v>HOJA TAMAL KILO</v>
          </cell>
          <cell r="D21" t="str">
            <v>0101100</v>
          </cell>
          <cell r="E21" t="str">
            <v>MATERIAS PRIMAS PLANTA</v>
          </cell>
          <cell r="F21" t="str">
            <v>1 KILO</v>
          </cell>
          <cell r="G21">
            <v>500</v>
          </cell>
          <cell r="H21" t="str">
            <v>12/03/2020</v>
          </cell>
          <cell r="I21">
            <v>1425</v>
          </cell>
          <cell r="J21">
            <v>2778460</v>
          </cell>
          <cell r="K21">
            <v>1000</v>
          </cell>
          <cell r="L21">
            <v>1.425</v>
          </cell>
          <cell r="M21" t="str">
            <v>Gramos</v>
          </cell>
        </row>
        <row r="22">
          <cell r="A22" t="str">
            <v>0101105</v>
          </cell>
          <cell r="B22">
            <v>11447</v>
          </cell>
          <cell r="C22" t="str">
            <v>HONGO FRESCO REBANADO (KILO)</v>
          </cell>
          <cell r="D22" t="str">
            <v>0101105</v>
          </cell>
          <cell r="E22" t="str">
            <v>MATERIAS PRIMAS PLANTA</v>
          </cell>
          <cell r="F22" t="str">
            <v>1 KILO</v>
          </cell>
          <cell r="G22">
            <v>500</v>
          </cell>
          <cell r="H22" t="str">
            <v>15/06/2020</v>
          </cell>
          <cell r="I22">
            <v>3000</v>
          </cell>
          <cell r="J22">
            <v>2070810</v>
          </cell>
          <cell r="K22">
            <v>1000</v>
          </cell>
          <cell r="L22">
            <v>3</v>
          </cell>
          <cell r="M22" t="str">
            <v>Gramos</v>
          </cell>
        </row>
        <row r="23">
          <cell r="A23" t="str">
            <v>0101107</v>
          </cell>
          <cell r="B23">
            <v>5298</v>
          </cell>
          <cell r="C23" t="str">
            <v>HONGO REBANADOS (UND: 2.84 kg)</v>
          </cell>
          <cell r="D23" t="str">
            <v>0101107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08/06/2020</v>
          </cell>
          <cell r="I23">
            <v>3212</v>
          </cell>
          <cell r="J23">
            <v>347345</v>
          </cell>
          <cell r="K23">
            <v>2840</v>
          </cell>
          <cell r="L23">
            <v>1.1309859154929578</v>
          </cell>
          <cell r="M23" t="str">
            <v>Gramos</v>
          </cell>
        </row>
        <row r="24">
          <cell r="A24" t="str">
            <v>101115</v>
          </cell>
          <cell r="B24">
            <v>5500</v>
          </cell>
          <cell r="C24" t="str">
            <v>CHILE DULCE PICADO (PAQ:500g)</v>
          </cell>
          <cell r="D24" t="str">
            <v>101115</v>
          </cell>
          <cell r="E24" t="str">
            <v>MATERIAS PRIMAS PLANTA</v>
          </cell>
          <cell r="F24" t="str">
            <v>1 PAQUETE</v>
          </cell>
          <cell r="G24">
            <v>500</v>
          </cell>
          <cell r="H24" t="str">
            <v>15/06/2020</v>
          </cell>
          <cell r="I24">
            <v>1121.7</v>
          </cell>
          <cell r="J24">
            <v>6620073</v>
          </cell>
          <cell r="K24">
            <v>500</v>
          </cell>
          <cell r="L24">
            <v>2.2434000000000003</v>
          </cell>
          <cell r="M24" t="str">
            <v>Gramos</v>
          </cell>
        </row>
        <row r="25">
          <cell r="A25" t="str">
            <v>0101130</v>
          </cell>
          <cell r="B25">
            <v>5497</v>
          </cell>
          <cell r="C25" t="str">
            <v>LIMONES MAYA (UND)</v>
          </cell>
          <cell r="D25" t="str">
            <v>0101130</v>
          </cell>
          <cell r="E25" t="str">
            <v>MATERIAS PRIMAS PLANTA</v>
          </cell>
          <cell r="F25" t="str">
            <v>1 UND</v>
          </cell>
          <cell r="G25">
            <v>500</v>
          </cell>
          <cell r="H25" t="str">
            <v>15/06/2020</v>
          </cell>
          <cell r="I25">
            <v>170</v>
          </cell>
          <cell r="J25">
            <v>8672705</v>
          </cell>
          <cell r="K25">
            <v>1</v>
          </cell>
          <cell r="L25">
            <v>170</v>
          </cell>
          <cell r="M25" t="str">
            <v>und</v>
          </cell>
        </row>
        <row r="26">
          <cell r="A26" t="str">
            <v>0101132</v>
          </cell>
          <cell r="B26">
            <v>5654</v>
          </cell>
          <cell r="C26" t="str">
            <v>LIMON EN POLVO (SACO:25 KG)</v>
          </cell>
          <cell r="D26" t="str">
            <v>0101132</v>
          </cell>
          <cell r="E26" t="str">
            <v>MATERIAS PRIMAS PLANTA</v>
          </cell>
          <cell r="F26" t="str">
            <v xml:space="preserve">1 SACO </v>
          </cell>
          <cell r="G26">
            <v>500</v>
          </cell>
          <cell r="H26" t="str">
            <v>08/06/2020</v>
          </cell>
          <cell r="I26">
            <v>85911.5</v>
          </cell>
          <cell r="J26">
            <v>1528712.75</v>
          </cell>
          <cell r="K26">
            <v>25000</v>
          </cell>
          <cell r="L26">
            <v>3.4364599999999998</v>
          </cell>
          <cell r="M26" t="str">
            <v>Gramos</v>
          </cell>
        </row>
        <row r="27">
          <cell r="A27" t="str">
            <v>0101133</v>
          </cell>
          <cell r="B27">
            <v>5496</v>
          </cell>
          <cell r="C27" t="str">
            <v>LECHUGA MIX CUADRO # 2 (PAQ:500g)</v>
          </cell>
          <cell r="D27" t="str">
            <v>0101133</v>
          </cell>
          <cell r="E27" t="str">
            <v>MATERIAS PRIMAS PLANTA</v>
          </cell>
          <cell r="F27" t="str">
            <v>1 PAQUETE</v>
          </cell>
          <cell r="G27">
            <v>500</v>
          </cell>
          <cell r="H27" t="str">
            <v>15/06/2020</v>
          </cell>
          <cell r="I27">
            <v>1</v>
          </cell>
          <cell r="J27">
            <v>19549245</v>
          </cell>
          <cell r="K27">
            <v>500</v>
          </cell>
          <cell r="L27">
            <v>2E-3</v>
          </cell>
          <cell r="M27" t="str">
            <v>Gramos</v>
          </cell>
        </row>
        <row r="28">
          <cell r="A28" t="str">
            <v>0101145</v>
          </cell>
          <cell r="B28">
            <v>11238</v>
          </cell>
          <cell r="C28" t="str">
            <v>ROMERO FRESCO KILO</v>
          </cell>
          <cell r="D28" t="str">
            <v>0101145</v>
          </cell>
          <cell r="E28" t="str">
            <v>MATERIAS PRIMAS PLANTA</v>
          </cell>
          <cell r="F28" t="str">
            <v xml:space="preserve">1 KILO </v>
          </cell>
          <cell r="G28">
            <v>500</v>
          </cell>
          <cell r="H28" t="str">
            <v>20/12/2019</v>
          </cell>
          <cell r="I28">
            <v>2500</v>
          </cell>
          <cell r="J28">
            <v>4500</v>
          </cell>
          <cell r="K28">
            <v>1000</v>
          </cell>
          <cell r="L28">
            <v>2.5</v>
          </cell>
          <cell r="M28" t="str">
            <v>Gramos</v>
          </cell>
        </row>
        <row r="29">
          <cell r="A29" t="str">
            <v>101150</v>
          </cell>
          <cell r="B29">
            <v>5494</v>
          </cell>
          <cell r="C29" t="str">
            <v>APIO PICADO (PAQ:500gr)</v>
          </cell>
          <cell r="D29" t="str">
            <v>101150</v>
          </cell>
          <cell r="E29" t="str">
            <v>MATERIAS PRIMAS PLANTA</v>
          </cell>
          <cell r="F29" t="str">
            <v>1 PAQUETE</v>
          </cell>
          <cell r="G29">
            <v>500</v>
          </cell>
          <cell r="H29" t="str">
            <v>13/06/2020</v>
          </cell>
          <cell r="I29">
            <v>872</v>
          </cell>
          <cell r="J29">
            <v>2798220</v>
          </cell>
          <cell r="K29">
            <v>500</v>
          </cell>
          <cell r="L29">
            <v>1.744</v>
          </cell>
          <cell r="M29" t="str">
            <v>Gramos</v>
          </cell>
        </row>
        <row r="30">
          <cell r="A30" t="str">
            <v>101151</v>
          </cell>
          <cell r="B30">
            <v>13413</v>
          </cell>
          <cell r="C30" t="str">
            <v>AJI PERUANO (KILO)</v>
          </cell>
          <cell r="D30" t="str">
            <v>101151</v>
          </cell>
          <cell r="E30" t="str">
            <v>MATERIAS PRIMAS PLANTA</v>
          </cell>
          <cell r="F30" t="str">
            <v xml:space="preserve">1 KILO </v>
          </cell>
          <cell r="G30">
            <v>500</v>
          </cell>
          <cell r="H30" t="str">
            <v>31/12/2019</v>
          </cell>
          <cell r="I30">
            <v>2500</v>
          </cell>
          <cell r="J30">
            <v>75500</v>
          </cell>
          <cell r="K30">
            <v>1000</v>
          </cell>
          <cell r="L30">
            <v>2.5</v>
          </cell>
          <cell r="M30" t="str">
            <v>Gramos</v>
          </cell>
        </row>
        <row r="31">
          <cell r="A31" t="str">
            <v>0101155</v>
          </cell>
          <cell r="B31">
            <v>5516</v>
          </cell>
          <cell r="C31" t="str">
            <v>PALMITO CRUDO KILO</v>
          </cell>
          <cell r="D31" t="str">
            <v>0101155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08/06/2020</v>
          </cell>
          <cell r="I31">
            <v>2000</v>
          </cell>
          <cell r="J31">
            <v>6988200</v>
          </cell>
          <cell r="K31">
            <v>1000</v>
          </cell>
          <cell r="L31">
            <v>2</v>
          </cell>
          <cell r="M31" t="str">
            <v>Gramos</v>
          </cell>
        </row>
        <row r="32">
          <cell r="A32" t="str">
            <v>0101166</v>
          </cell>
          <cell r="B32">
            <v>5491</v>
          </cell>
          <cell r="C32" t="str">
            <v>PAPA PICADA (PAQ:1 KILO)</v>
          </cell>
          <cell r="D32" t="str">
            <v>0101166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13/06/2020</v>
          </cell>
          <cell r="I32">
            <v>1538</v>
          </cell>
          <cell r="J32">
            <v>3500103</v>
          </cell>
          <cell r="K32">
            <v>1000</v>
          </cell>
          <cell r="L32">
            <v>1.538</v>
          </cell>
          <cell r="M32" t="str">
            <v>Gramos</v>
          </cell>
        </row>
        <row r="33">
          <cell r="A33" t="str">
            <v>0101210</v>
          </cell>
          <cell r="B33">
            <v>5487</v>
          </cell>
          <cell r="C33" t="str">
            <v>TOMATE KILO</v>
          </cell>
          <cell r="D33" t="str">
            <v>0101210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15/06/2020</v>
          </cell>
          <cell r="I33">
            <v>680</v>
          </cell>
          <cell r="J33">
            <v>13077711.15</v>
          </cell>
          <cell r="K33">
            <v>1000</v>
          </cell>
          <cell r="L33">
            <v>0.68</v>
          </cell>
          <cell r="M33" t="str">
            <v>Gramos</v>
          </cell>
        </row>
        <row r="34">
          <cell r="A34" t="str">
            <v>0101236</v>
          </cell>
          <cell r="B34">
            <v>7033</v>
          </cell>
          <cell r="C34" t="str">
            <v>ZANAHORIA JULIANA (PAQ:1 KILO)</v>
          </cell>
          <cell r="D34" t="str">
            <v>0101236</v>
          </cell>
          <cell r="E34" t="str">
            <v>MATERIAS PRIMAS PLANTA</v>
          </cell>
          <cell r="F34" t="str">
            <v>1 PAQUETE</v>
          </cell>
          <cell r="G34">
            <v>500</v>
          </cell>
          <cell r="H34" t="str">
            <v>15/06/2020</v>
          </cell>
          <cell r="I34">
            <v>1841</v>
          </cell>
          <cell r="J34">
            <v>5168379.5</v>
          </cell>
          <cell r="K34">
            <v>1000</v>
          </cell>
          <cell r="L34">
            <v>1.841</v>
          </cell>
          <cell r="M34" t="str">
            <v>Gramos</v>
          </cell>
        </row>
        <row r="35">
          <cell r="A35" t="str">
            <v>0101240</v>
          </cell>
          <cell r="B35">
            <v>5444</v>
          </cell>
          <cell r="C35" t="str">
            <v>ZANAHORIA ENTERA KILO</v>
          </cell>
          <cell r="D35" t="str">
            <v>0101240</v>
          </cell>
          <cell r="E35" t="str">
            <v>MATERIAS PRIMAS PLANTA</v>
          </cell>
          <cell r="F35" t="str">
            <v>1 KILO</v>
          </cell>
          <cell r="G35">
            <v>500</v>
          </cell>
          <cell r="H35" t="str">
            <v>13/06/2020</v>
          </cell>
          <cell r="I35">
            <v>615</v>
          </cell>
          <cell r="J35">
            <v>226705</v>
          </cell>
          <cell r="K35">
            <v>1000</v>
          </cell>
          <cell r="L35">
            <v>0.61499999999999999</v>
          </cell>
          <cell r="M35" t="str">
            <v>Gramos</v>
          </cell>
        </row>
        <row r="36">
          <cell r="A36" t="str">
            <v>0101241</v>
          </cell>
          <cell r="B36">
            <v>5485</v>
          </cell>
          <cell r="C36" t="str">
            <v>ZANAHORIA PICADA (PAQ:1 KILO)</v>
          </cell>
          <cell r="D36" t="str">
            <v>0101241</v>
          </cell>
          <cell r="E36" t="str">
            <v>MATERIAS PRIMAS PLANTA</v>
          </cell>
          <cell r="F36" t="str">
            <v>1 PAQUETE</v>
          </cell>
          <cell r="G36">
            <v>500</v>
          </cell>
          <cell r="H36" t="str">
            <v>04/06/2020</v>
          </cell>
          <cell r="I36">
            <v>1020</v>
          </cell>
          <cell r="J36">
            <v>30325</v>
          </cell>
          <cell r="K36">
            <v>1000</v>
          </cell>
          <cell r="L36">
            <v>1.02</v>
          </cell>
          <cell r="M36" t="str">
            <v>Gramos</v>
          </cell>
        </row>
        <row r="37">
          <cell r="A37" t="str">
            <v>0101248</v>
          </cell>
          <cell r="B37">
            <v>5441</v>
          </cell>
          <cell r="C37" t="str">
            <v>ZUQUINI KILO</v>
          </cell>
          <cell r="D37" t="str">
            <v>0101248</v>
          </cell>
          <cell r="E37" t="str">
            <v>MATERIAS PRIMAS PLANTA</v>
          </cell>
          <cell r="F37" t="str">
            <v>1 KILO</v>
          </cell>
          <cell r="G37">
            <v>500</v>
          </cell>
          <cell r="H37" t="str">
            <v>14/05/2020</v>
          </cell>
          <cell r="I37">
            <v>575</v>
          </cell>
          <cell r="J37">
            <v>96024.946139795007</v>
          </cell>
          <cell r="K37">
            <v>1000</v>
          </cell>
          <cell r="L37">
            <v>0.57499999999999996</v>
          </cell>
          <cell r="M37" t="str">
            <v>Gramos</v>
          </cell>
        </row>
        <row r="38">
          <cell r="A38" t="str">
            <v>101260</v>
          </cell>
          <cell r="B38">
            <v>5457</v>
          </cell>
          <cell r="C38" t="str">
            <v>ALBAHACA KILO</v>
          </cell>
          <cell r="D38" t="str">
            <v>101260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13/06/2020</v>
          </cell>
          <cell r="I38">
            <v>5148</v>
          </cell>
          <cell r="J38">
            <v>1577342</v>
          </cell>
          <cell r="K38">
            <v>1000</v>
          </cell>
          <cell r="L38">
            <v>5.1479999999999997</v>
          </cell>
          <cell r="M38" t="str">
            <v>Gramos</v>
          </cell>
        </row>
        <row r="39">
          <cell r="A39" t="str">
            <v>105808</v>
          </cell>
          <cell r="B39">
            <v>14409</v>
          </cell>
          <cell r="C39" t="str">
            <v>FRUTOS ROJOS DEL BOSQUE BEGRO (PAQ:1 K)</v>
          </cell>
          <cell r="D39" t="str">
            <v>105808</v>
          </cell>
          <cell r="E39" t="str">
            <v>MATERIAS PRIMAS PLANTA</v>
          </cell>
          <cell r="F39" t="str">
            <v>1 PAQUETE</v>
          </cell>
          <cell r="G39">
            <v>500</v>
          </cell>
          <cell r="H39" t="str">
            <v>21/12/2019</v>
          </cell>
          <cell r="I39">
            <v>4589</v>
          </cell>
          <cell r="J39">
            <v>188149</v>
          </cell>
          <cell r="K39">
            <v>1000</v>
          </cell>
          <cell r="L39">
            <v>4.5890000000000004</v>
          </cell>
          <cell r="M39" t="str">
            <v>Gramos</v>
          </cell>
        </row>
        <row r="40">
          <cell r="A40" t="str">
            <v>109254</v>
          </cell>
          <cell r="B40">
            <v>12095</v>
          </cell>
          <cell r="C40" t="str">
            <v>VASO 3.25 ONZ (PAQ*200)</v>
          </cell>
          <cell r="D40" t="str">
            <v>109254</v>
          </cell>
          <cell r="E40" t="str">
            <v>EMPAQUES PLANTA</v>
          </cell>
          <cell r="F40" t="str">
            <v>1 PAQUETE</v>
          </cell>
          <cell r="G40">
            <v>500</v>
          </cell>
          <cell r="H40" t="str">
            <v>11/06/2020</v>
          </cell>
          <cell r="I40">
            <v>1</v>
          </cell>
          <cell r="J40">
            <v>1159264.8</v>
          </cell>
          <cell r="K40">
            <v>200</v>
          </cell>
          <cell r="L40">
            <v>5.0000000000000001E-3</v>
          </cell>
          <cell r="M40" t="str">
            <v>Gramos</v>
          </cell>
        </row>
        <row r="41">
          <cell r="A41" t="str">
            <v>0110060</v>
          </cell>
          <cell r="B41">
            <v>5471</v>
          </cell>
          <cell r="C41" t="str">
            <v>PULPA DE TAMARINDO KILO</v>
          </cell>
          <cell r="D41" t="str">
            <v>0110060</v>
          </cell>
          <cell r="E41" t="str">
            <v>MATERIAS PRIMAS PLANTA</v>
          </cell>
          <cell r="F41" t="str">
            <v>1 KILO</v>
          </cell>
          <cell r="G41">
            <v>500</v>
          </cell>
          <cell r="H41" t="str">
            <v>16/06/2020</v>
          </cell>
          <cell r="I41">
            <v>1500</v>
          </cell>
          <cell r="J41">
            <v>507000</v>
          </cell>
          <cell r="K41">
            <v>1000</v>
          </cell>
          <cell r="L41">
            <v>1.5</v>
          </cell>
          <cell r="M41" t="str">
            <v>Gramos</v>
          </cell>
        </row>
        <row r="42">
          <cell r="A42" t="str">
            <v>0110080</v>
          </cell>
          <cell r="B42">
            <v>5502</v>
          </cell>
          <cell r="C42" t="str">
            <v>CEBOLLA MORADA KILO</v>
          </cell>
          <cell r="D42" t="str">
            <v>0110080</v>
          </cell>
          <cell r="E42" t="str">
            <v>MATERIAS PRIMAS PLANTA</v>
          </cell>
          <cell r="F42" t="str">
            <v xml:space="preserve">1 KILO </v>
          </cell>
          <cell r="G42">
            <v>500</v>
          </cell>
          <cell r="H42" t="str">
            <v>04/06/2020</v>
          </cell>
          <cell r="I42">
            <v>1500</v>
          </cell>
          <cell r="J42">
            <v>109500</v>
          </cell>
          <cell r="K42">
            <v>1000</v>
          </cell>
          <cell r="L42">
            <v>1.5</v>
          </cell>
          <cell r="M42" t="str">
            <v>Gramos</v>
          </cell>
        </row>
        <row r="43">
          <cell r="A43" t="str">
            <v>0110085</v>
          </cell>
          <cell r="B43">
            <v>5438</v>
          </cell>
          <cell r="C43" t="str">
            <v>PLATANO VERDE PICADO KILO</v>
          </cell>
          <cell r="D43" t="str">
            <v>0110085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30/05/2020</v>
          </cell>
          <cell r="I43">
            <v>1474</v>
          </cell>
          <cell r="J43">
            <v>1891646.5</v>
          </cell>
          <cell r="K43">
            <v>1000</v>
          </cell>
          <cell r="L43">
            <v>1.474</v>
          </cell>
          <cell r="M43" t="str">
            <v>Gramos</v>
          </cell>
        </row>
        <row r="44">
          <cell r="A44" t="str">
            <v>0110086</v>
          </cell>
          <cell r="B44">
            <v>5461</v>
          </cell>
          <cell r="C44" t="str">
            <v>TOMILLO FRESCO ROLLO KILO</v>
          </cell>
          <cell r="D44" t="str">
            <v>0110086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16/06/2020</v>
          </cell>
          <cell r="I44">
            <v>5500</v>
          </cell>
          <cell r="J44">
            <v>57750</v>
          </cell>
          <cell r="K44">
            <v>1000</v>
          </cell>
          <cell r="L44">
            <v>5.5</v>
          </cell>
          <cell r="M44" t="str">
            <v>Gramos</v>
          </cell>
        </row>
        <row r="45">
          <cell r="A45" t="str">
            <v>121208</v>
          </cell>
          <cell r="B45">
            <v>5862</v>
          </cell>
          <cell r="C45" t="str">
            <v>QUEQUERA PLAST 12 CENT (CAJA:250UND)</v>
          </cell>
          <cell r="D45" t="str">
            <v>121208</v>
          </cell>
          <cell r="E45" t="str">
            <v>EMPAQUES PLANTA</v>
          </cell>
          <cell r="F45" t="str">
            <v>1 CAJA</v>
          </cell>
          <cell r="G45">
            <v>500</v>
          </cell>
          <cell r="H45" t="str">
            <v>08/06/2020</v>
          </cell>
          <cell r="I45">
            <v>16021</v>
          </cell>
          <cell r="J45">
            <v>2152118</v>
          </cell>
          <cell r="K45">
            <v>250</v>
          </cell>
          <cell r="L45">
            <v>64.084000000000003</v>
          </cell>
          <cell r="M45" t="str">
            <v>UND</v>
          </cell>
        </row>
        <row r="46">
          <cell r="A46" t="str">
            <v>121603</v>
          </cell>
          <cell r="B46">
            <v>11191</v>
          </cell>
          <cell r="C46" t="str">
            <v>QUEQUERA RED  BASE/DOMO 10 (CAJA:50)</v>
          </cell>
          <cell r="D46" t="str">
            <v>121603</v>
          </cell>
          <cell r="E46" t="str">
            <v>EMPAQUES PLANTA</v>
          </cell>
          <cell r="F46" t="str">
            <v>1 CAJA</v>
          </cell>
          <cell r="G46">
            <v>500</v>
          </cell>
          <cell r="H46" t="str">
            <v>15/06/2020</v>
          </cell>
          <cell r="I46">
            <v>16166</v>
          </cell>
          <cell r="J46">
            <v>63585505</v>
          </cell>
          <cell r="K46">
            <v>50</v>
          </cell>
          <cell r="L46">
            <v>323.32</v>
          </cell>
          <cell r="M46" t="str">
            <v>UND</v>
          </cell>
        </row>
        <row r="47">
          <cell r="A47" t="str">
            <v>164038</v>
          </cell>
          <cell r="B47">
            <v>14417</v>
          </cell>
          <cell r="C47" t="str">
            <v>AGUA ALPINA 600 ML (PAQ = 12 UND)</v>
          </cell>
          <cell r="D47" t="str">
            <v>0210070</v>
          </cell>
          <cell r="E47" t="str">
            <v>MATERIAS PRIMAS PLANTA</v>
          </cell>
          <cell r="F47" t="str">
            <v>1 PAQ</v>
          </cell>
          <cell r="G47">
            <v>500</v>
          </cell>
          <cell r="H47" t="str">
            <v>21/03/2020</v>
          </cell>
          <cell r="I47">
            <v>234</v>
          </cell>
          <cell r="J47">
            <v>31260.731194690299</v>
          </cell>
          <cell r="K47">
            <v>1000</v>
          </cell>
          <cell r="L47" t="e">
            <v>#DIV/0!</v>
          </cell>
          <cell r="M47" t="str">
            <v>Gramos</v>
          </cell>
        </row>
        <row r="48">
          <cell r="A48" t="str">
            <v>176799</v>
          </cell>
          <cell r="B48">
            <v>12665</v>
          </cell>
          <cell r="C48" t="str">
            <v>ENELDO SECO (UND:141 G)</v>
          </cell>
          <cell r="D48" t="str">
            <v>176799</v>
          </cell>
          <cell r="E48" t="str">
            <v>MATERIAS PRIMAS PLANTA</v>
          </cell>
          <cell r="F48" t="str">
            <v>1 UND</v>
          </cell>
          <cell r="G48">
            <v>500</v>
          </cell>
          <cell r="H48" t="str">
            <v>08/06/2020</v>
          </cell>
          <cell r="I48">
            <v>6935</v>
          </cell>
          <cell r="J48">
            <v>55091</v>
          </cell>
          <cell r="K48">
            <v>141</v>
          </cell>
          <cell r="L48">
            <v>49.184397163120565</v>
          </cell>
          <cell r="M48" t="str">
            <v>Gramos</v>
          </cell>
        </row>
        <row r="49">
          <cell r="A49" t="str">
            <v>0210047</v>
          </cell>
          <cell r="B49">
            <v>5379</v>
          </cell>
          <cell r="C49" t="str">
            <v xml:space="preserve">CHICHARON KILO </v>
          </cell>
          <cell r="D49" t="str">
            <v>0210047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5900</v>
          </cell>
          <cell r="J49">
            <v>20504863.039999999</v>
          </cell>
          <cell r="K49">
            <v>1000</v>
          </cell>
          <cell r="L49">
            <v>5.9</v>
          </cell>
          <cell r="M49" t="str">
            <v>Gramos</v>
          </cell>
        </row>
        <row r="50">
          <cell r="A50" t="str">
            <v>0210056</v>
          </cell>
          <cell r="B50">
            <v>5380</v>
          </cell>
          <cell r="C50" t="str">
            <v>MONDONGO ENTERO KILO</v>
          </cell>
          <cell r="D50" t="str">
            <v>0210056</v>
          </cell>
          <cell r="E50" t="str">
            <v>MATERIAS PRIMAS PLANTA</v>
          </cell>
          <cell r="F50" t="str">
            <v>1 KILO</v>
          </cell>
          <cell r="G50">
            <v>500</v>
          </cell>
          <cell r="H50" t="str">
            <v>05/05/2020</v>
          </cell>
          <cell r="I50">
            <v>1995</v>
          </cell>
          <cell r="J50">
            <v>60448.5</v>
          </cell>
          <cell r="K50">
            <v>1000</v>
          </cell>
          <cell r="L50">
            <v>1.9950000000000001</v>
          </cell>
          <cell r="M50" t="str">
            <v>Gramos</v>
          </cell>
        </row>
        <row r="51">
          <cell r="A51" t="str">
            <v>210060</v>
          </cell>
          <cell r="B51">
            <v>5377</v>
          </cell>
          <cell r="C51" t="str">
            <v>CHORIZO  CRIOLLO KILO</v>
          </cell>
          <cell r="D51" t="str">
            <v>210060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02/06/2020</v>
          </cell>
          <cell r="I51">
            <v>2195</v>
          </cell>
          <cell r="J51">
            <v>192501.5</v>
          </cell>
          <cell r="K51">
            <v>1000</v>
          </cell>
          <cell r="L51">
            <v>2.1949999999999998</v>
          </cell>
          <cell r="M51" t="str">
            <v>Gramos</v>
          </cell>
        </row>
        <row r="52">
          <cell r="A52" t="str">
            <v>210069</v>
          </cell>
          <cell r="B52">
            <v>5376</v>
          </cell>
          <cell r="C52" t="str">
            <v>CARNE MOLIDA RES PREMIUM KILO</v>
          </cell>
          <cell r="D52" t="str">
            <v>210069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30/05/2020</v>
          </cell>
          <cell r="I52">
            <v>3150</v>
          </cell>
          <cell r="J52">
            <v>2800623</v>
          </cell>
          <cell r="K52">
            <v>1000</v>
          </cell>
          <cell r="L52">
            <v>3.15</v>
          </cell>
          <cell r="M52" t="str">
            <v>Gramos</v>
          </cell>
        </row>
        <row r="53">
          <cell r="A53" t="str">
            <v>0210070</v>
          </cell>
          <cell r="B53">
            <v>5369</v>
          </cell>
          <cell r="C53" t="str">
            <v>PECHUGA FILET S/ PIEL Y S/ GRASA KILO</v>
          </cell>
          <cell r="D53" t="str">
            <v>0210070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15/06/2020</v>
          </cell>
          <cell r="I53">
            <v>2900</v>
          </cell>
          <cell r="J53">
            <v>54741328</v>
          </cell>
          <cell r="K53">
            <v>1000</v>
          </cell>
          <cell r="L53">
            <v>2.9</v>
          </cell>
          <cell r="M53" t="str">
            <v>Gramos</v>
          </cell>
        </row>
        <row r="54">
          <cell r="A54" t="str">
            <v>0210076</v>
          </cell>
          <cell r="B54">
            <v>11354</v>
          </cell>
          <cell r="C54" t="str">
            <v>LOMITO DE CERDO KILO</v>
          </cell>
          <cell r="D54" t="str">
            <v>0210076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28/12/2019</v>
          </cell>
          <cell r="I54">
            <v>3500</v>
          </cell>
          <cell r="J54">
            <v>4235000</v>
          </cell>
          <cell r="K54">
            <v>1000</v>
          </cell>
          <cell r="L54">
            <v>3.5</v>
          </cell>
          <cell r="M54" t="str">
            <v>Gramos</v>
          </cell>
        </row>
        <row r="55">
          <cell r="A55" t="str">
            <v>0210080</v>
          </cell>
          <cell r="B55">
            <v>5381</v>
          </cell>
          <cell r="C55" t="str">
            <v>HUESO DE PESCUEZO PICADO KILO</v>
          </cell>
          <cell r="D55" t="str">
            <v>0210080</v>
          </cell>
          <cell r="E55" t="str">
            <v>MATERIAS PRIMAS PLANTA</v>
          </cell>
          <cell r="F55" t="str">
            <v>1 KILO</v>
          </cell>
          <cell r="G55">
            <v>500</v>
          </cell>
          <cell r="H55" t="str">
            <v>19/05/2020</v>
          </cell>
          <cell r="I55">
            <v>2095</v>
          </cell>
          <cell r="J55">
            <v>32053.5</v>
          </cell>
          <cell r="K55">
            <v>1000</v>
          </cell>
          <cell r="L55">
            <v>2.0950000000000002</v>
          </cell>
          <cell r="M55" t="str">
            <v>Gramos</v>
          </cell>
        </row>
        <row r="56">
          <cell r="A56" t="str">
            <v>210085</v>
          </cell>
          <cell r="B56">
            <v>5363</v>
          </cell>
          <cell r="C56" t="str">
            <v>CARCASA DE POLLO KILO</v>
          </cell>
          <cell r="D56" t="str">
            <v>210085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27/01/2020</v>
          </cell>
          <cell r="I56">
            <v>740</v>
          </cell>
          <cell r="J56">
            <v>19055</v>
          </cell>
          <cell r="K56">
            <v>1000</v>
          </cell>
          <cell r="L56">
            <v>0.74</v>
          </cell>
          <cell r="M56" t="str">
            <v>Gramos</v>
          </cell>
        </row>
        <row r="57">
          <cell r="A57" t="str">
            <v>0210093</v>
          </cell>
          <cell r="B57">
            <v>5375</v>
          </cell>
          <cell r="C57" t="str">
            <v>SALCHICHON KILO</v>
          </cell>
          <cell r="D57" t="str">
            <v>0210093</v>
          </cell>
          <cell r="E57" t="str">
            <v>MATERIAS PRIMAS PLANTA</v>
          </cell>
          <cell r="F57" t="str">
            <v>1 KILO</v>
          </cell>
          <cell r="G57">
            <v>500</v>
          </cell>
          <cell r="H57" t="str">
            <v>04/06/2020</v>
          </cell>
          <cell r="I57">
            <v>2190</v>
          </cell>
          <cell r="J57">
            <v>734416.5</v>
          </cell>
          <cell r="K57">
            <v>1000</v>
          </cell>
          <cell r="L57">
            <v>2.19</v>
          </cell>
          <cell r="M57" t="str">
            <v>Gramos</v>
          </cell>
        </row>
        <row r="58">
          <cell r="A58" t="str">
            <v>0210096</v>
          </cell>
          <cell r="B58">
            <v>5382</v>
          </cell>
          <cell r="C58" t="str">
            <v>POSTA DE CERDO KILO</v>
          </cell>
          <cell r="D58" t="str">
            <v>0210096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13/06/2020</v>
          </cell>
          <cell r="I58">
            <v>2990</v>
          </cell>
          <cell r="J58">
            <v>6855255.7999999998</v>
          </cell>
          <cell r="K58">
            <v>1000</v>
          </cell>
          <cell r="L58">
            <v>2.99</v>
          </cell>
          <cell r="M58" t="str">
            <v>Gramos</v>
          </cell>
        </row>
        <row r="59">
          <cell r="A59" t="str">
            <v>0210101</v>
          </cell>
          <cell r="B59">
            <v>5384</v>
          </cell>
          <cell r="C59" t="str">
            <v>BISTEK POPULAR (KILO)</v>
          </cell>
          <cell r="D59" t="str">
            <v>0210101</v>
          </cell>
          <cell r="E59" t="str">
            <v>MATERIAS PRIMAS PLANTA</v>
          </cell>
          <cell r="F59" t="str">
            <v>1 KILO</v>
          </cell>
          <cell r="G59">
            <v>700</v>
          </cell>
          <cell r="H59" t="str">
            <v>13/04/2020</v>
          </cell>
          <cell r="I59">
            <v>4395</v>
          </cell>
          <cell r="J59">
            <v>441314.5</v>
          </cell>
          <cell r="K59">
            <v>1000</v>
          </cell>
          <cell r="L59">
            <v>4.3949999999999996</v>
          </cell>
          <cell r="M59" t="str">
            <v>Gramos</v>
          </cell>
        </row>
        <row r="60">
          <cell r="A60" t="str">
            <v>0210104</v>
          </cell>
          <cell r="B60">
            <v>5392</v>
          </cell>
          <cell r="C60" t="str">
            <v>MANO PIEDRA KILO</v>
          </cell>
          <cell r="D60" t="str">
            <v>0210104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18/02/2020</v>
          </cell>
          <cell r="I60">
            <v>3775</v>
          </cell>
          <cell r="J60">
            <v>168742.5</v>
          </cell>
          <cell r="K60">
            <v>1000</v>
          </cell>
          <cell r="L60">
            <v>3.7749999999999999</v>
          </cell>
          <cell r="M60" t="str">
            <v>Gramos</v>
          </cell>
        </row>
        <row r="61">
          <cell r="A61" t="str">
            <v>210107</v>
          </cell>
          <cell r="B61">
            <v>5385</v>
          </cell>
          <cell r="C61" t="str">
            <v>BISTEC CERDO KILO</v>
          </cell>
          <cell r="D61" t="str">
            <v>210107</v>
          </cell>
          <cell r="E61" t="str">
            <v>MATERIAS PRIMAS PLANTA</v>
          </cell>
          <cell r="F61" t="str">
            <v>1 KILO</v>
          </cell>
          <cell r="G61">
            <v>500</v>
          </cell>
          <cell r="H61" t="str">
            <v>06/05/2020</v>
          </cell>
          <cell r="I61">
            <v>3550</v>
          </cell>
          <cell r="J61">
            <v>478540</v>
          </cell>
          <cell r="K61">
            <v>1000</v>
          </cell>
          <cell r="L61">
            <v>3.55</v>
          </cell>
          <cell r="M61" t="str">
            <v>Gramos</v>
          </cell>
        </row>
        <row r="62">
          <cell r="A62" t="str">
            <v>0210108</v>
          </cell>
          <cell r="B62">
            <v>5386</v>
          </cell>
          <cell r="C62" t="str">
            <v>CHULETA AHUMADA KILO</v>
          </cell>
          <cell r="D62" t="str">
            <v>0210108</v>
          </cell>
          <cell r="E62" t="str">
            <v>MATERIAS PRIMAS PLANTA</v>
          </cell>
          <cell r="F62" t="str">
            <v>1 KILO</v>
          </cell>
          <cell r="G62">
            <v>500</v>
          </cell>
          <cell r="H62" t="str">
            <v>21/05/2020</v>
          </cell>
          <cell r="I62">
            <v>3550</v>
          </cell>
          <cell r="J62">
            <v>324115</v>
          </cell>
          <cell r="K62">
            <v>1000</v>
          </cell>
          <cell r="L62">
            <v>3.55</v>
          </cell>
          <cell r="M62" t="str">
            <v>Gramos</v>
          </cell>
        </row>
        <row r="63">
          <cell r="A63" t="str">
            <v>0210117</v>
          </cell>
          <cell r="B63">
            <v>5366</v>
          </cell>
          <cell r="C63" t="str">
            <v>RECORTE FILET Nº1358 KILO</v>
          </cell>
          <cell r="D63" t="str">
            <v>0210117</v>
          </cell>
          <cell r="E63" t="str">
            <v>MATERIAS PRIMAS PLANTA</v>
          </cell>
          <cell r="F63" t="str">
            <v>1 KILO</v>
          </cell>
          <cell r="G63">
            <v>500</v>
          </cell>
          <cell r="H63" t="str">
            <v>15/06/2020</v>
          </cell>
          <cell r="I63">
            <v>2170</v>
          </cell>
          <cell r="J63">
            <v>45151624</v>
          </cell>
          <cell r="K63">
            <v>1000</v>
          </cell>
          <cell r="L63">
            <v>2.17</v>
          </cell>
          <cell r="M63" t="str">
            <v>Gramos</v>
          </cell>
        </row>
        <row r="64">
          <cell r="A64" t="str">
            <v>0212254</v>
          </cell>
          <cell r="B64">
            <v>10468</v>
          </cell>
          <cell r="C64" t="str">
            <v>MANTECA DE CERDO</v>
          </cell>
          <cell r="D64" t="str">
            <v>0212254</v>
          </cell>
          <cell r="E64" t="str">
            <v>MATERIAS PRIMAS PLANTA</v>
          </cell>
          <cell r="F64" t="str">
            <v xml:space="preserve">1 KILO </v>
          </cell>
          <cell r="G64">
            <v>500</v>
          </cell>
          <cell r="H64" t="str">
            <v>17/12/2019</v>
          </cell>
          <cell r="I64">
            <v>1545</v>
          </cell>
          <cell r="J64">
            <v>461491.5</v>
          </cell>
          <cell r="K64">
            <v>1000</v>
          </cell>
          <cell r="L64">
            <v>1.5449999999999999</v>
          </cell>
          <cell r="M64" t="str">
            <v>Gramos</v>
          </cell>
        </row>
        <row r="65">
          <cell r="A65" t="str">
            <v>0212275</v>
          </cell>
          <cell r="B65">
            <v>5387</v>
          </cell>
          <cell r="C65" t="str">
            <v>MORTADELA ESPECIAL KILO</v>
          </cell>
          <cell r="D65" t="str">
            <v>0212275</v>
          </cell>
          <cell r="E65" t="str">
            <v>MATERIAS PRIMAS PLANTA</v>
          </cell>
          <cell r="F65" t="str">
            <v>1 KILO</v>
          </cell>
          <cell r="G65">
            <v>500</v>
          </cell>
          <cell r="H65" t="str">
            <v>06/06/2020</v>
          </cell>
          <cell r="I65">
            <v>3390</v>
          </cell>
          <cell r="J65">
            <v>530535</v>
          </cell>
          <cell r="K65">
            <v>1000</v>
          </cell>
          <cell r="L65">
            <v>3.39</v>
          </cell>
          <cell r="M65" t="str">
            <v>Gramos</v>
          </cell>
        </row>
        <row r="66">
          <cell r="A66" t="str">
            <v>0310100</v>
          </cell>
          <cell r="B66">
            <v>7047</v>
          </cell>
          <cell r="C66" t="str">
            <v>CREMA DULCE (LITRO)</v>
          </cell>
          <cell r="D66" t="str">
            <v>0310100</v>
          </cell>
          <cell r="E66" t="str">
            <v>MATERIAS PRIMAS PLANTA</v>
          </cell>
          <cell r="F66" t="str">
            <v>1 UND</v>
          </cell>
          <cell r="G66">
            <v>700</v>
          </cell>
          <cell r="H66" t="str">
            <v>27/04/2020</v>
          </cell>
          <cell r="I66">
            <v>21262</v>
          </cell>
          <cell r="J66">
            <v>106310</v>
          </cell>
          <cell r="K66">
            <v>1000</v>
          </cell>
          <cell r="L66">
            <v>21.262</v>
          </cell>
          <cell r="M66" t="str">
            <v>Mililitros</v>
          </cell>
        </row>
        <row r="67">
          <cell r="A67" t="str">
            <v>0310107</v>
          </cell>
          <cell r="B67">
            <v>5521</v>
          </cell>
          <cell r="C67" t="str">
            <v>LACTOCREMA GRANEL (CAJA:25 KG)</v>
          </cell>
          <cell r="D67" t="str">
            <v>0310107</v>
          </cell>
          <cell r="E67" t="str">
            <v>MATERIAS PRIMAS PLANTA</v>
          </cell>
          <cell r="F67" t="str">
            <v>1 CAJA</v>
          </cell>
          <cell r="G67">
            <v>500</v>
          </cell>
          <cell r="H67" t="str">
            <v>15/06/2020</v>
          </cell>
          <cell r="I67">
            <v>76375</v>
          </cell>
          <cell r="J67">
            <v>23543600.5</v>
          </cell>
          <cell r="K67">
            <v>25000</v>
          </cell>
          <cell r="L67">
            <v>3.0550000000000002</v>
          </cell>
          <cell r="M67" t="str">
            <v>Gramos</v>
          </cell>
        </row>
        <row r="68">
          <cell r="A68" t="str">
            <v>0310112</v>
          </cell>
          <cell r="B68">
            <v>5604</v>
          </cell>
          <cell r="C68" t="str">
            <v>QUESO PRADO RICO REBANADO KILO</v>
          </cell>
          <cell r="D68" t="str">
            <v>0310112</v>
          </cell>
          <cell r="E68" t="str">
            <v>MATERIAS PRIMAS PLANTA</v>
          </cell>
          <cell r="F68" t="str">
            <v>1 KILO</v>
          </cell>
          <cell r="G68">
            <v>500</v>
          </cell>
          <cell r="H68" t="str">
            <v>15/06/2020</v>
          </cell>
          <cell r="I68">
            <v>5307.4979999999996</v>
          </cell>
          <cell r="J68">
            <v>17034100.631700002</v>
          </cell>
          <cell r="K68">
            <v>1000</v>
          </cell>
          <cell r="L68">
            <v>5.3074979999999998</v>
          </cell>
          <cell r="M68" t="str">
            <v>Gramos</v>
          </cell>
        </row>
        <row r="69">
          <cell r="A69" t="str">
            <v>0310115</v>
          </cell>
          <cell r="B69">
            <v>5585</v>
          </cell>
          <cell r="C69" t="str">
            <v>QUESO CHEDDAR BLOCK (UND:2 kg)</v>
          </cell>
          <cell r="D69" t="str">
            <v>0310115</v>
          </cell>
          <cell r="E69" t="str">
            <v>MATERIAS PRIMAS PLANTA</v>
          </cell>
          <cell r="F69" t="str">
            <v>1 UND</v>
          </cell>
          <cell r="G69">
            <v>500</v>
          </cell>
          <cell r="H69" t="str">
            <v>15/06/2020</v>
          </cell>
          <cell r="I69">
            <v>18641</v>
          </cell>
          <cell r="J69">
            <v>6151530</v>
          </cell>
          <cell r="K69">
            <v>2000</v>
          </cell>
          <cell r="L69">
            <v>9.3204999999999991</v>
          </cell>
          <cell r="M69" t="str">
            <v>Gramos</v>
          </cell>
        </row>
        <row r="70">
          <cell r="A70" t="str">
            <v>0310116</v>
          </cell>
          <cell r="B70">
            <v>5615</v>
          </cell>
          <cell r="C70" t="str">
            <v>QUESO PARMERSANO (KILO)</v>
          </cell>
          <cell r="D70" t="str">
            <v>0310116</v>
          </cell>
          <cell r="E70" t="str">
            <v>MATERIAS PRIMAS PLANTA</v>
          </cell>
          <cell r="F70" t="str">
            <v>1 KILO</v>
          </cell>
          <cell r="G70">
            <v>500</v>
          </cell>
          <cell r="H70" t="str">
            <v>18/05/2020</v>
          </cell>
          <cell r="I70">
            <v>10764.67</v>
          </cell>
          <cell r="J70">
            <v>9185385.2526387908</v>
          </cell>
          <cell r="K70">
            <v>1000</v>
          </cell>
          <cell r="L70">
            <v>10.764670000000001</v>
          </cell>
          <cell r="M70" t="str">
            <v>Gramos</v>
          </cell>
        </row>
        <row r="71">
          <cell r="A71" t="str">
            <v>0310120</v>
          </cell>
          <cell r="B71">
            <v>5612</v>
          </cell>
          <cell r="C71" t="str">
            <v>QUESO RICOTTA (UND: KILO)</v>
          </cell>
          <cell r="D71" t="str">
            <v>0310120</v>
          </cell>
          <cell r="E71" t="str">
            <v>MATERIAS PRIMAS PLANTA</v>
          </cell>
          <cell r="F71" t="str">
            <v>1 UND</v>
          </cell>
          <cell r="G71">
            <v>500</v>
          </cell>
          <cell r="H71" t="str">
            <v>15/06/2020</v>
          </cell>
          <cell r="I71">
            <v>3600</v>
          </cell>
          <cell r="J71">
            <v>969039.38242799998</v>
          </cell>
          <cell r="K71">
            <v>1000</v>
          </cell>
          <cell r="L71">
            <v>3.6</v>
          </cell>
          <cell r="M71" t="str">
            <v>Gramos</v>
          </cell>
        </row>
        <row r="72">
          <cell r="A72" t="str">
            <v>0310145</v>
          </cell>
          <cell r="B72">
            <v>5586</v>
          </cell>
          <cell r="C72" t="str">
            <v>LECHE POLVO INDUSTRIAL (SACO:25 KG)</v>
          </cell>
          <cell r="D72" t="str">
            <v>0310145</v>
          </cell>
          <cell r="E72" t="str">
            <v>MATERIAS PRIMAS PLANTA</v>
          </cell>
          <cell r="F72" t="str">
            <v>1 SACO</v>
          </cell>
          <cell r="G72">
            <v>500</v>
          </cell>
          <cell r="H72" t="str">
            <v>12/06/2020</v>
          </cell>
          <cell r="I72">
            <v>65957</v>
          </cell>
          <cell r="J72">
            <v>1253207</v>
          </cell>
          <cell r="K72">
            <v>25000</v>
          </cell>
          <cell r="L72">
            <v>2.63828</v>
          </cell>
          <cell r="M72" t="str">
            <v>Gramos</v>
          </cell>
        </row>
        <row r="73">
          <cell r="A73" t="str">
            <v>0310146</v>
          </cell>
          <cell r="B73">
            <v>5587</v>
          </cell>
          <cell r="C73" t="str">
            <v>QUESO CREMA (UND:3.6 Kg)</v>
          </cell>
          <cell r="D73" t="str">
            <v>0310146</v>
          </cell>
          <cell r="E73" t="str">
            <v>MATERIAS PRIMAS PLANTA</v>
          </cell>
          <cell r="F73" t="str">
            <v>1 UND</v>
          </cell>
          <cell r="G73">
            <v>500</v>
          </cell>
          <cell r="H73" t="str">
            <v>09/12/2019</v>
          </cell>
          <cell r="I73">
            <v>10553.66</v>
          </cell>
          <cell r="J73">
            <v>-41764</v>
          </cell>
          <cell r="K73">
            <v>3600</v>
          </cell>
          <cell r="L73">
            <v>2.931572222222222</v>
          </cell>
          <cell r="M73" t="str">
            <v>Gramos</v>
          </cell>
        </row>
        <row r="74">
          <cell r="A74" t="str">
            <v>310148</v>
          </cell>
          <cell r="B74">
            <v>5597</v>
          </cell>
          <cell r="C74" t="str">
            <v>BETTERCREME SUPREMO (UND:4 K)</v>
          </cell>
          <cell r="D74" t="str">
            <v>310148</v>
          </cell>
          <cell r="E74" t="str">
            <v>MATERIAS PRIMAS PLANTA</v>
          </cell>
          <cell r="F74" t="str">
            <v>1 UND</v>
          </cell>
          <cell r="G74">
            <v>500</v>
          </cell>
          <cell r="H74" t="str">
            <v>15/06/2020</v>
          </cell>
          <cell r="I74">
            <v>7346</v>
          </cell>
          <cell r="J74">
            <v>91229916</v>
          </cell>
          <cell r="K74">
            <v>4000</v>
          </cell>
          <cell r="L74">
            <v>1.8365</v>
          </cell>
          <cell r="M74" t="str">
            <v>Gramos</v>
          </cell>
        </row>
        <row r="75">
          <cell r="A75" t="str">
            <v>310218</v>
          </cell>
          <cell r="B75">
            <v>5620</v>
          </cell>
          <cell r="C75" t="str">
            <v>LA LECHERA TRES LECHES (CAJA:12 UND)</v>
          </cell>
          <cell r="D75" t="str">
            <v>310218</v>
          </cell>
          <cell r="E75" t="str">
            <v>MATERIAS PRIMAS PLANTA</v>
          </cell>
          <cell r="F75" t="str">
            <v>1 CAJA</v>
          </cell>
          <cell r="G75">
            <v>500</v>
          </cell>
          <cell r="H75" t="str">
            <v>15/06/2020</v>
          </cell>
          <cell r="I75">
            <v>28667</v>
          </cell>
          <cell r="J75">
            <v>13742988</v>
          </cell>
          <cell r="K75">
            <v>12000</v>
          </cell>
          <cell r="L75">
            <v>2.0305791666666666</v>
          </cell>
          <cell r="M75" t="str">
            <v>Gramos</v>
          </cell>
        </row>
        <row r="76">
          <cell r="A76" t="str">
            <v>0312277</v>
          </cell>
          <cell r="B76">
            <v>5607</v>
          </cell>
          <cell r="C76" t="str">
            <v>QUESO BOCCONCINI (PAQ:500g)</v>
          </cell>
          <cell r="D76" t="str">
            <v>0312277</v>
          </cell>
          <cell r="E76" t="str">
            <v>MATERIAS PRIMAS PLANTA</v>
          </cell>
          <cell r="F76" t="str">
            <v>1 PAQUETE</v>
          </cell>
          <cell r="G76">
            <v>500</v>
          </cell>
          <cell r="H76" t="str">
            <v>15/06/2020</v>
          </cell>
          <cell r="I76">
            <v>3513.1</v>
          </cell>
          <cell r="J76">
            <v>5596424.7000000002</v>
          </cell>
          <cell r="K76">
            <v>500</v>
          </cell>
          <cell r="L76">
            <v>7.0262000000000002</v>
          </cell>
          <cell r="M76" t="str">
            <v>Gramos</v>
          </cell>
        </row>
        <row r="77">
          <cell r="A77" t="str">
            <v>0312278</v>
          </cell>
          <cell r="B77">
            <v>5589</v>
          </cell>
          <cell r="C77" t="str">
            <v>LECHE ESTANDAR (UND:10 L)</v>
          </cell>
          <cell r="D77" t="str">
            <v>0312278</v>
          </cell>
          <cell r="E77" t="str">
            <v>MATERIAS PRIMAS PLANTA</v>
          </cell>
          <cell r="F77" t="str">
            <v>1 UND</v>
          </cell>
          <cell r="G77">
            <v>500</v>
          </cell>
          <cell r="H77" t="str">
            <v>13/04/2020</v>
          </cell>
          <cell r="I77">
            <v>4992.8211000000001</v>
          </cell>
          <cell r="J77">
            <v>3089612.2996</v>
          </cell>
          <cell r="K77">
            <v>10000</v>
          </cell>
          <cell r="L77">
            <v>0.49928211</v>
          </cell>
          <cell r="M77" t="str">
            <v>Mililitros</v>
          </cell>
        </row>
        <row r="78">
          <cell r="A78" t="str">
            <v>0410110</v>
          </cell>
          <cell r="B78">
            <v>5635</v>
          </cell>
          <cell r="C78" t="str">
            <v>RELLENO MELOCOTON BUCCA KILO</v>
          </cell>
          <cell r="D78" t="str">
            <v>0410110</v>
          </cell>
          <cell r="E78" t="str">
            <v>MATERIAS PRIMAS PLANTA</v>
          </cell>
          <cell r="F78" t="str">
            <v>1 KILO</v>
          </cell>
          <cell r="G78">
            <v>500</v>
          </cell>
          <cell r="H78" t="str">
            <v>04/05/2020</v>
          </cell>
          <cell r="I78">
            <v>2133</v>
          </cell>
          <cell r="J78">
            <v>5559301.8899999997</v>
          </cell>
          <cell r="K78">
            <v>1000</v>
          </cell>
          <cell r="L78">
            <v>2.133</v>
          </cell>
          <cell r="M78" t="str">
            <v>Gramos</v>
          </cell>
        </row>
        <row r="79">
          <cell r="A79" t="str">
            <v>410118</v>
          </cell>
          <cell r="B79">
            <v>5416</v>
          </cell>
          <cell r="C79" t="str">
            <v>BRILLO GLIT (UND:5 KILOS)</v>
          </cell>
          <cell r="D79" t="str">
            <v>410118</v>
          </cell>
          <cell r="E79" t="str">
            <v>MATERIAS PRIMAS PLANTA</v>
          </cell>
          <cell r="F79" t="str">
            <v>1 UND</v>
          </cell>
          <cell r="G79">
            <v>500</v>
          </cell>
          <cell r="H79" t="str">
            <v>21/03/2020</v>
          </cell>
          <cell r="I79">
            <v>12360</v>
          </cell>
          <cell r="J79">
            <v>123600</v>
          </cell>
          <cell r="K79">
            <v>5000</v>
          </cell>
          <cell r="L79">
            <v>2.472</v>
          </cell>
          <cell r="M79" t="str">
            <v>Gramos</v>
          </cell>
        </row>
        <row r="80">
          <cell r="A80" t="str">
            <v>410127</v>
          </cell>
          <cell r="B80">
            <v>5647</v>
          </cell>
          <cell r="C80" t="str">
            <v>CREMA PASTELERA KILO</v>
          </cell>
          <cell r="D80" t="str">
            <v>410127</v>
          </cell>
          <cell r="E80" t="str">
            <v>MATERIAS PRIMAS PLANTA</v>
          </cell>
          <cell r="F80" t="str">
            <v>1 KILO</v>
          </cell>
          <cell r="G80">
            <v>500</v>
          </cell>
          <cell r="H80" t="str">
            <v>23/03/2020</v>
          </cell>
          <cell r="I80">
            <v>2080</v>
          </cell>
          <cell r="J80">
            <v>1008592</v>
          </cell>
          <cell r="K80">
            <v>1000</v>
          </cell>
          <cell r="L80">
            <v>2.08</v>
          </cell>
          <cell r="M80" t="str">
            <v>Gramos</v>
          </cell>
        </row>
        <row r="81">
          <cell r="A81" t="str">
            <v>0410137</v>
          </cell>
          <cell r="B81">
            <v>5301</v>
          </cell>
          <cell r="C81" t="str">
            <v>JALEA FRESA (UND:5 K)</v>
          </cell>
          <cell r="D81" t="str">
            <v>0410137</v>
          </cell>
          <cell r="E81" t="str">
            <v>MATERIAS PRIMAS PLANTA</v>
          </cell>
          <cell r="F81" t="str">
            <v>1 UND</v>
          </cell>
          <cell r="G81">
            <v>500</v>
          </cell>
          <cell r="H81" t="str">
            <v>12/06/2020</v>
          </cell>
          <cell r="I81">
            <v>7341</v>
          </cell>
          <cell r="J81">
            <v>1548951</v>
          </cell>
          <cell r="K81">
            <v>5000</v>
          </cell>
          <cell r="L81">
            <v>1.4681999999999999</v>
          </cell>
          <cell r="M81" t="str">
            <v>Gramos</v>
          </cell>
        </row>
        <row r="82">
          <cell r="A82" t="str">
            <v>0410151</v>
          </cell>
          <cell r="B82">
            <v>5646</v>
          </cell>
          <cell r="C82" t="str">
            <v>RELLENO FUDGE KILO</v>
          </cell>
          <cell r="D82" t="str">
            <v>0410151</v>
          </cell>
          <cell r="E82" t="str">
            <v>MATERIAS PRIMAS PLANTA</v>
          </cell>
          <cell r="F82" t="str">
            <v>1 KILO</v>
          </cell>
          <cell r="G82">
            <v>500</v>
          </cell>
          <cell r="H82" t="str">
            <v>16/06/2020</v>
          </cell>
          <cell r="I82">
            <v>3697</v>
          </cell>
          <cell r="J82">
            <v>174281903.68000001</v>
          </cell>
          <cell r="K82">
            <v>1000</v>
          </cell>
          <cell r="L82">
            <v>3.1424500000000002</v>
          </cell>
          <cell r="M82" t="str">
            <v>Gramos</v>
          </cell>
        </row>
        <row r="83">
          <cell r="A83" t="str">
            <v>0410152</v>
          </cell>
          <cell r="B83">
            <v>5645</v>
          </cell>
          <cell r="C83" t="str">
            <v>RELLENO MELOCOTON KILO</v>
          </cell>
          <cell r="D83" t="str">
            <v>0410152</v>
          </cell>
          <cell r="E83" t="str">
            <v>MATERIAS PRIMAS PLANTA</v>
          </cell>
          <cell r="F83" t="str">
            <v>1 KILO</v>
          </cell>
          <cell r="G83">
            <v>500</v>
          </cell>
          <cell r="H83" t="str">
            <v>04/05/2020</v>
          </cell>
          <cell r="I83">
            <v>2525</v>
          </cell>
          <cell r="J83">
            <v>27267702.25</v>
          </cell>
          <cell r="K83">
            <v>1000</v>
          </cell>
          <cell r="L83">
            <v>2.5249999999999999</v>
          </cell>
          <cell r="M83" t="str">
            <v>Gramos</v>
          </cell>
        </row>
        <row r="84">
          <cell r="A84" t="str">
            <v>0410153</v>
          </cell>
          <cell r="B84">
            <v>5644</v>
          </cell>
          <cell r="C84" t="str">
            <v>TOPPING MELOCOTON KILO</v>
          </cell>
          <cell r="D84" t="str">
            <v>0410153</v>
          </cell>
          <cell r="E84" t="str">
            <v>MATERIAS PRIMAS PLANTA</v>
          </cell>
          <cell r="F84" t="str">
            <v>1 KILO</v>
          </cell>
          <cell r="G84">
            <v>500</v>
          </cell>
          <cell r="H84" t="str">
            <v>04/05/2020</v>
          </cell>
          <cell r="I84">
            <v>2060</v>
          </cell>
          <cell r="J84">
            <v>6154064.5999999996</v>
          </cell>
          <cell r="K84">
            <v>1000</v>
          </cell>
          <cell r="L84">
            <v>2.06</v>
          </cell>
          <cell r="M84" t="str">
            <v>Gramos</v>
          </cell>
        </row>
        <row r="85">
          <cell r="A85" t="str">
            <v>0410154</v>
          </cell>
          <cell r="B85">
            <v>5643</v>
          </cell>
          <cell r="C85" t="str">
            <v>RELLENO CARAMELO KILO</v>
          </cell>
          <cell r="D85" t="str">
            <v>0410154</v>
          </cell>
          <cell r="E85" t="str">
            <v>MATERIAS PRIMAS PLANTA</v>
          </cell>
          <cell r="F85" t="str">
            <v>1 KILO</v>
          </cell>
          <cell r="G85">
            <v>500</v>
          </cell>
          <cell r="H85" t="str">
            <v>15/06/2020</v>
          </cell>
          <cell r="I85">
            <v>3335</v>
          </cell>
          <cell r="J85">
            <v>33770243.350000001</v>
          </cell>
          <cell r="K85">
            <v>1000</v>
          </cell>
          <cell r="L85">
            <v>3.335</v>
          </cell>
          <cell r="M85" t="str">
            <v>Gramos</v>
          </cell>
        </row>
        <row r="86">
          <cell r="A86" t="str">
            <v>0410172</v>
          </cell>
          <cell r="B86">
            <v>5642</v>
          </cell>
          <cell r="C86" t="str">
            <v>RELLENO DE FRESA KILO</v>
          </cell>
          <cell r="D86" t="str">
            <v>0410172</v>
          </cell>
          <cell r="E86" t="str">
            <v>MATERIAS PRIMAS PLANTA</v>
          </cell>
          <cell r="F86" t="str">
            <v>1 KILO</v>
          </cell>
          <cell r="G86">
            <v>500</v>
          </cell>
          <cell r="H86" t="str">
            <v>04/05/2020</v>
          </cell>
          <cell r="I86">
            <v>2397</v>
          </cell>
          <cell r="J86">
            <v>16008094.18</v>
          </cell>
          <cell r="K86">
            <v>1000</v>
          </cell>
          <cell r="L86">
            <v>2.3969999999999998</v>
          </cell>
          <cell r="M86" t="str">
            <v>Gramos</v>
          </cell>
        </row>
        <row r="87">
          <cell r="A87" t="str">
            <v>0410174</v>
          </cell>
          <cell r="B87">
            <v>5640</v>
          </cell>
          <cell r="C87" t="str">
            <v>RELLENO PIÑA COLADA KILO</v>
          </cell>
          <cell r="D87" t="str">
            <v>0410174</v>
          </cell>
          <cell r="E87" t="str">
            <v>MATERIAS PRIMAS PLANTA</v>
          </cell>
          <cell r="F87" t="str">
            <v>1 KILO</v>
          </cell>
          <cell r="G87">
            <v>500</v>
          </cell>
          <cell r="H87" t="str">
            <v>11/05/2020</v>
          </cell>
          <cell r="I87">
            <v>1982</v>
          </cell>
          <cell r="J87">
            <v>177190.8</v>
          </cell>
          <cell r="K87">
            <v>1000</v>
          </cell>
          <cell r="L87">
            <v>1.982</v>
          </cell>
          <cell r="M87" t="str">
            <v>Gramos</v>
          </cell>
        </row>
        <row r="88">
          <cell r="A88" t="str">
            <v>0410189</v>
          </cell>
          <cell r="B88">
            <v>5648</v>
          </cell>
          <cell r="C88" t="str">
            <v>RELLENO DE FRESA ESPESA KILO</v>
          </cell>
          <cell r="D88" t="str">
            <v>0410189</v>
          </cell>
          <cell r="E88" t="str">
            <v>MATERIAS PRIMAS PLANTA</v>
          </cell>
          <cell r="F88" t="str">
            <v>1 KILO</v>
          </cell>
          <cell r="G88">
            <v>500</v>
          </cell>
          <cell r="H88" t="str">
            <v>06/05/2020</v>
          </cell>
          <cell r="I88">
            <v>2540</v>
          </cell>
          <cell r="J88">
            <v>4618424</v>
          </cell>
          <cell r="K88">
            <v>1000</v>
          </cell>
          <cell r="L88">
            <v>2.54</v>
          </cell>
          <cell r="M88" t="str">
            <v>Gramos</v>
          </cell>
        </row>
        <row r="89">
          <cell r="A89" t="str">
            <v>505605</v>
          </cell>
          <cell r="B89">
            <v>3266</v>
          </cell>
          <cell r="C89" t="str">
            <v>LECHE CONDENSADA NESTLE (UND:395 G)</v>
          </cell>
          <cell r="D89" t="str">
            <v>505605</v>
          </cell>
          <cell r="E89" t="str">
            <v>MATERIAS PRIMAS PLANTA</v>
          </cell>
          <cell r="F89" t="str">
            <v>1 UND</v>
          </cell>
          <cell r="G89">
            <v>500</v>
          </cell>
          <cell r="H89" t="str">
            <v>03/03/2020</v>
          </cell>
          <cell r="I89">
            <v>894.85</v>
          </cell>
          <cell r="J89">
            <v>4475</v>
          </cell>
          <cell r="K89">
            <v>395</v>
          </cell>
          <cell r="L89">
            <v>1.925626582278481</v>
          </cell>
          <cell r="M89" t="str">
            <v>Gramos</v>
          </cell>
        </row>
        <row r="90">
          <cell r="A90" t="str">
            <v>0510051</v>
          </cell>
          <cell r="B90">
            <v>5536</v>
          </cell>
          <cell r="C90" t="str">
            <v>PASTAS DE HARINA AMARILLA (CAJA:9.52 KG)</v>
          </cell>
          <cell r="D90" t="str">
            <v>0510051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10/06/2020</v>
          </cell>
          <cell r="I90">
            <v>33850</v>
          </cell>
          <cell r="J90">
            <v>1716753</v>
          </cell>
          <cell r="K90">
            <v>9520</v>
          </cell>
          <cell r="L90">
            <v>3.5556722689075628</v>
          </cell>
          <cell r="M90" t="str">
            <v>Gramos</v>
          </cell>
        </row>
        <row r="91">
          <cell r="A91" t="str">
            <v>510100</v>
          </cell>
          <cell r="B91">
            <v>11252</v>
          </cell>
          <cell r="C91" t="str">
            <v>ARROZ PRECOCIDO MI SABOR(BULTO:15 K)</v>
          </cell>
          <cell r="D91" t="str">
            <v>510100</v>
          </cell>
          <cell r="E91" t="str">
            <v>MATERIAS PRIMAS PLANTA</v>
          </cell>
          <cell r="F91" t="str">
            <v>1 BULTO</v>
          </cell>
          <cell r="G91">
            <v>500</v>
          </cell>
          <cell r="H91" t="str">
            <v>09/06/2020</v>
          </cell>
          <cell r="I91">
            <v>10515</v>
          </cell>
          <cell r="J91">
            <v>2586690</v>
          </cell>
          <cell r="K91">
            <v>15000</v>
          </cell>
          <cell r="L91">
            <v>0.70099999999999996</v>
          </cell>
          <cell r="M91" t="str">
            <v>Gramos</v>
          </cell>
        </row>
        <row r="92">
          <cell r="A92" t="str">
            <v>0510107</v>
          </cell>
          <cell r="B92">
            <v>5567</v>
          </cell>
          <cell r="C92" t="str">
            <v>HARINA HARISOL WINTER (SACO:25 KG)</v>
          </cell>
          <cell r="D92" t="str">
            <v>0510107</v>
          </cell>
          <cell r="E92" t="str">
            <v>MATERIAS PRIMAS PLANTA</v>
          </cell>
          <cell r="F92" t="str">
            <v>1 SACO</v>
          </cell>
          <cell r="G92">
            <v>500</v>
          </cell>
          <cell r="H92" t="str">
            <v>11/06/2020</v>
          </cell>
          <cell r="I92">
            <v>10330.5</v>
          </cell>
          <cell r="J92">
            <v>3790548</v>
          </cell>
          <cell r="K92">
            <v>25000</v>
          </cell>
          <cell r="L92">
            <v>0.41321999999999998</v>
          </cell>
          <cell r="M92" t="str">
            <v>Gramos</v>
          </cell>
        </row>
        <row r="93">
          <cell r="A93" t="str">
            <v>510109</v>
          </cell>
          <cell r="B93">
            <v>5297</v>
          </cell>
          <cell r="C93" t="str">
            <v>AZUCAR DOÑA MARIA (PAQ:5 K)</v>
          </cell>
          <cell r="D93" t="str">
            <v>510109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10/06/2020</v>
          </cell>
          <cell r="I93">
            <v>3240</v>
          </cell>
          <cell r="J93">
            <v>194400</v>
          </cell>
          <cell r="K93">
            <v>5000</v>
          </cell>
          <cell r="L93">
            <v>0.64800000000000002</v>
          </cell>
          <cell r="M93" t="str">
            <v>Gramos</v>
          </cell>
        </row>
        <row r="94">
          <cell r="A94" t="str">
            <v>510115</v>
          </cell>
          <cell r="B94">
            <v>7055</v>
          </cell>
          <cell r="C94" t="str">
            <v>COLOR CARAMELINA EXTRA (KILO)</v>
          </cell>
          <cell r="D94" t="str">
            <v>510115</v>
          </cell>
          <cell r="E94" t="str">
            <v>MATERIAS PRIMAS PLANTA</v>
          </cell>
          <cell r="F94" t="str">
            <v xml:space="preserve">1 KILO </v>
          </cell>
          <cell r="G94">
            <v>500</v>
          </cell>
          <cell r="H94" t="str">
            <v>06/05/2020</v>
          </cell>
          <cell r="I94">
            <v>5727</v>
          </cell>
          <cell r="J94">
            <v>114770.258</v>
          </cell>
          <cell r="K94">
            <v>1000</v>
          </cell>
          <cell r="L94">
            <v>5.7270000000000003</v>
          </cell>
          <cell r="M94" t="str">
            <v>Gramos</v>
          </cell>
        </row>
        <row r="95">
          <cell r="A95" t="str">
            <v>0510146</v>
          </cell>
          <cell r="B95">
            <v>7042</v>
          </cell>
          <cell r="C95" t="str">
            <v>AJONJOLI (PAQ:1 KILO)</v>
          </cell>
          <cell r="D95" t="str">
            <v>0510146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18/05/2020</v>
          </cell>
          <cell r="I95">
            <v>2859.1</v>
          </cell>
          <cell r="J95">
            <v>152402.6</v>
          </cell>
          <cell r="K95">
            <v>1000</v>
          </cell>
          <cell r="L95">
            <v>2.8590999999999998</v>
          </cell>
          <cell r="M95" t="str">
            <v>Gramos</v>
          </cell>
        </row>
        <row r="96">
          <cell r="A96" t="str">
            <v>510148</v>
          </cell>
          <cell r="B96">
            <v>5662</v>
          </cell>
          <cell r="C96" t="str">
            <v>ALMENDRA FILETEADA (CAJA: 11,34KG)</v>
          </cell>
          <cell r="D96" t="str">
            <v>510148</v>
          </cell>
          <cell r="E96" t="str">
            <v>MATERIAS PRIMAS PLANTA</v>
          </cell>
          <cell r="F96" t="str">
            <v xml:space="preserve">1 CAJA </v>
          </cell>
          <cell r="G96">
            <v>500</v>
          </cell>
          <cell r="H96" t="str">
            <v>15/06/2020</v>
          </cell>
          <cell r="I96">
            <v>70565.165299999993</v>
          </cell>
          <cell r="J96">
            <v>4412088.2621999998</v>
          </cell>
          <cell r="K96">
            <v>11340</v>
          </cell>
          <cell r="L96">
            <v>6.2226777160493825</v>
          </cell>
          <cell r="M96" t="str">
            <v>Gramos</v>
          </cell>
        </row>
        <row r="97">
          <cell r="A97" t="str">
            <v>510149</v>
          </cell>
          <cell r="B97">
            <v>5663</v>
          </cell>
          <cell r="C97" t="str">
            <v>ALMENDRA ENTERA (CAJA:12 KG)</v>
          </cell>
          <cell r="D97" t="str">
            <v>510149</v>
          </cell>
          <cell r="E97" t="str">
            <v>MATERIAS PRIMAS PLANTA</v>
          </cell>
          <cell r="F97" t="str">
            <v xml:space="preserve">1 CAJA </v>
          </cell>
          <cell r="G97">
            <v>500</v>
          </cell>
          <cell r="H97" t="str">
            <v>24/12/2019</v>
          </cell>
          <cell r="I97">
            <v>66639.69</v>
          </cell>
          <cell r="J97">
            <v>199956.51</v>
          </cell>
          <cell r="K97">
            <v>12000</v>
          </cell>
          <cell r="L97">
            <v>5.5533074999999998</v>
          </cell>
          <cell r="M97" t="str">
            <v>Gramos</v>
          </cell>
        </row>
        <row r="98">
          <cell r="A98" t="str">
            <v>510151</v>
          </cell>
          <cell r="B98">
            <v>5249</v>
          </cell>
          <cell r="C98" t="str">
            <v>ARROZ TIO PELON 96% (BULTO:12/1.8 K)</v>
          </cell>
          <cell r="D98" t="str">
            <v>510151</v>
          </cell>
          <cell r="E98" t="str">
            <v>MATERIAS PRIMAS PLANTA</v>
          </cell>
          <cell r="F98" t="str">
            <v>1 BULTO</v>
          </cell>
          <cell r="G98">
            <v>500</v>
          </cell>
          <cell r="H98" t="str">
            <v>12/06/2020</v>
          </cell>
          <cell r="I98">
            <v>16771</v>
          </cell>
          <cell r="J98">
            <v>7899141</v>
          </cell>
          <cell r="K98">
            <v>21600</v>
          </cell>
          <cell r="L98">
            <v>0.77643518518518517</v>
          </cell>
          <cell r="M98" t="str">
            <v>Gramos</v>
          </cell>
        </row>
        <row r="99">
          <cell r="A99" t="str">
            <v>510157</v>
          </cell>
          <cell r="B99">
            <v>5263</v>
          </cell>
          <cell r="C99" t="str">
            <v>AZUCAR MORENO (PAQ:2 K)</v>
          </cell>
          <cell r="D99" t="str">
            <v>510157</v>
          </cell>
          <cell r="E99" t="str">
            <v>MATERIAS PRIMAS PLANTA</v>
          </cell>
          <cell r="F99" t="str">
            <v>1 PAQUETE</v>
          </cell>
          <cell r="G99">
            <v>500</v>
          </cell>
          <cell r="H99" t="str">
            <v>05/06/2020</v>
          </cell>
          <cell r="I99">
            <v>1788</v>
          </cell>
          <cell r="J99">
            <v>337932</v>
          </cell>
          <cell r="K99">
            <v>2000</v>
          </cell>
          <cell r="L99">
            <v>0.89400000000000002</v>
          </cell>
          <cell r="M99" t="str">
            <v>Gramos</v>
          </cell>
        </row>
        <row r="100">
          <cell r="A100" t="str">
            <v>510171</v>
          </cell>
          <cell r="B100">
            <v>11797</v>
          </cell>
          <cell r="C100" t="str">
            <v>CEREZA CONFITADA (CAJA:10 K)</v>
          </cell>
          <cell r="D100" t="str">
            <v>510171</v>
          </cell>
          <cell r="E100" t="str">
            <v>MATERIAS PRIMAS PLANTA</v>
          </cell>
          <cell r="F100" t="str">
            <v>1 CAJA</v>
          </cell>
          <cell r="G100">
            <v>500</v>
          </cell>
          <cell r="H100" t="str">
            <v>11/12/2019</v>
          </cell>
          <cell r="I100">
            <v>28950</v>
          </cell>
          <cell r="J100">
            <v>8685</v>
          </cell>
          <cell r="K100">
            <v>10000</v>
          </cell>
          <cell r="L100">
            <v>2.895</v>
          </cell>
          <cell r="M100" t="str">
            <v>Gramos</v>
          </cell>
        </row>
        <row r="101">
          <cell r="A101" t="str">
            <v>510173</v>
          </cell>
          <cell r="B101">
            <v>7037</v>
          </cell>
          <cell r="C101" t="str">
            <v>CIRUELA (CAJA:10 Kg)</v>
          </cell>
          <cell r="D101" t="str">
            <v>510173</v>
          </cell>
          <cell r="E101" t="str">
            <v>MATERIAS PRIMAS PLANTA</v>
          </cell>
          <cell r="F101" t="str">
            <v>1 CAJA</v>
          </cell>
          <cell r="G101">
            <v>500</v>
          </cell>
          <cell r="H101" t="str">
            <v>16/01/2020</v>
          </cell>
          <cell r="I101">
            <v>22829.599999999999</v>
          </cell>
          <cell r="J101">
            <v>273906.8</v>
          </cell>
          <cell r="K101">
            <v>10000</v>
          </cell>
          <cell r="L101">
            <v>2.2829599999999997</v>
          </cell>
          <cell r="M101" t="str">
            <v>Gramos</v>
          </cell>
        </row>
        <row r="102">
          <cell r="A102" t="str">
            <v>510174</v>
          </cell>
          <cell r="B102">
            <v>5664</v>
          </cell>
          <cell r="C102" t="str">
            <v>COCO RALLADO (PAQ: 1 K)</v>
          </cell>
          <cell r="D102" t="str">
            <v>510174</v>
          </cell>
          <cell r="E102" t="str">
            <v>MATERIAS PRIMAS PLANTA</v>
          </cell>
          <cell r="F102" t="str">
            <v>1 PAQUETE</v>
          </cell>
          <cell r="G102">
            <v>500</v>
          </cell>
          <cell r="H102" t="str">
            <v>15/06/2020</v>
          </cell>
          <cell r="I102">
            <v>2170.6125000000002</v>
          </cell>
          <cell r="J102">
            <v>1337134.875</v>
          </cell>
          <cell r="K102">
            <v>1000</v>
          </cell>
          <cell r="L102">
            <v>2.1706125000000003</v>
          </cell>
          <cell r="M102" t="str">
            <v>Gramos</v>
          </cell>
        </row>
        <row r="103">
          <cell r="A103" t="str">
            <v>510179</v>
          </cell>
          <cell r="B103">
            <v>5418</v>
          </cell>
          <cell r="C103" t="str">
            <v>CONFITURA COLORES(PAQ:1 KILO)</v>
          </cell>
          <cell r="D103" t="str">
            <v>510179</v>
          </cell>
          <cell r="E103" t="str">
            <v>MATERIAS PRIMAS PLANTA</v>
          </cell>
          <cell r="F103" t="str">
            <v>1 PAQUETE</v>
          </cell>
          <cell r="G103">
            <v>500</v>
          </cell>
          <cell r="H103" t="str">
            <v>13/06/2020</v>
          </cell>
          <cell r="I103">
            <v>3337.2</v>
          </cell>
          <cell r="J103">
            <v>519080.4</v>
          </cell>
          <cell r="K103">
            <v>1000</v>
          </cell>
          <cell r="L103">
            <v>3.3371999999999997</v>
          </cell>
          <cell r="M103" t="str">
            <v>Gramos</v>
          </cell>
        </row>
        <row r="104">
          <cell r="A104" t="str">
            <v>0510181</v>
          </cell>
          <cell r="B104">
            <v>9708</v>
          </cell>
          <cell r="C104" t="str">
            <v>CREMOR TARTARO (PAQ: 1 KILO)</v>
          </cell>
          <cell r="D104" t="str">
            <v>0510181</v>
          </cell>
          <cell r="E104" t="str">
            <v>MATERIAS PRIMAS PLANTA</v>
          </cell>
          <cell r="F104" t="str">
            <v>1 PAQUETE</v>
          </cell>
          <cell r="G104">
            <v>500</v>
          </cell>
          <cell r="H104" t="str">
            <v>13/06/2020</v>
          </cell>
          <cell r="I104">
            <v>2765.55</v>
          </cell>
          <cell r="J104">
            <v>69138.75</v>
          </cell>
          <cell r="K104">
            <v>1000</v>
          </cell>
          <cell r="L104">
            <v>2.7655500000000002</v>
          </cell>
          <cell r="M104" t="str">
            <v>Gramos</v>
          </cell>
        </row>
        <row r="105">
          <cell r="A105" t="str">
            <v>0510185</v>
          </cell>
          <cell r="B105">
            <v>5660</v>
          </cell>
          <cell r="C105" t="str">
            <v>FRUTA CONFITADA (CAJA:10 K)</v>
          </cell>
          <cell r="D105" t="str">
            <v>0510185</v>
          </cell>
          <cell r="E105" t="str">
            <v>MATERIAS PRIMAS PLANTA</v>
          </cell>
          <cell r="F105" t="str">
            <v>1 CAJA</v>
          </cell>
          <cell r="G105">
            <v>500</v>
          </cell>
          <cell r="H105" t="str">
            <v>27/02/2020</v>
          </cell>
          <cell r="I105">
            <v>17420</v>
          </cell>
          <cell r="J105">
            <v>-17420</v>
          </cell>
          <cell r="K105">
            <v>10000</v>
          </cell>
          <cell r="L105">
            <v>1.742</v>
          </cell>
          <cell r="M105" t="str">
            <v>Gramos</v>
          </cell>
        </row>
        <row r="106">
          <cell r="A106" t="str">
            <v>0510186</v>
          </cell>
          <cell r="B106">
            <v>5520</v>
          </cell>
          <cell r="C106" t="str">
            <v>GELATINA PURA  (PAQ:1 k)</v>
          </cell>
          <cell r="D106" t="str">
            <v>0510186</v>
          </cell>
          <cell r="E106" t="str">
            <v>MATERIAS PRIMAS PLANTA</v>
          </cell>
          <cell r="F106" t="str">
            <v>1 PAQUETE</v>
          </cell>
          <cell r="G106">
            <v>500</v>
          </cell>
          <cell r="H106" t="str">
            <v>15/06/2020</v>
          </cell>
          <cell r="I106">
            <v>9071</v>
          </cell>
          <cell r="J106">
            <v>2766655</v>
          </cell>
          <cell r="K106">
            <v>1000</v>
          </cell>
          <cell r="L106">
            <v>9.0709999999999997</v>
          </cell>
          <cell r="M106" t="str">
            <v>Gramos</v>
          </cell>
        </row>
        <row r="107">
          <cell r="A107" t="str">
            <v>0510188</v>
          </cell>
          <cell r="B107">
            <v>5568</v>
          </cell>
          <cell r="C107" t="str">
            <v>HARINA ESTANDAR  (SACO: 25 KG )</v>
          </cell>
          <cell r="D107" t="str">
            <v>0510188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11/06/2020</v>
          </cell>
          <cell r="I107">
            <v>11737</v>
          </cell>
          <cell r="J107">
            <v>3951255</v>
          </cell>
          <cell r="K107">
            <v>25000</v>
          </cell>
          <cell r="L107">
            <v>0.46948000000000001</v>
          </cell>
          <cell r="M107" t="str">
            <v>Gramos</v>
          </cell>
        </row>
        <row r="108">
          <cell r="A108" t="str">
            <v>0510190</v>
          </cell>
          <cell r="B108">
            <v>5557</v>
          </cell>
          <cell r="C108" t="str">
            <v>HARINA GOLD MEDAL (PAQ:4.5 K)</v>
          </cell>
          <cell r="D108" t="str">
            <v>0510190</v>
          </cell>
          <cell r="E108" t="str">
            <v>MATERIAS PRIMAS PLANTA</v>
          </cell>
          <cell r="F108" t="str">
            <v>1 PAQUETE</v>
          </cell>
          <cell r="G108">
            <v>500</v>
          </cell>
          <cell r="H108" t="str">
            <v>03/06/2020</v>
          </cell>
          <cell r="I108">
            <v>2346.9780059999998</v>
          </cell>
          <cell r="J108">
            <v>4815998.8683120003</v>
          </cell>
          <cell r="K108">
            <v>4500</v>
          </cell>
          <cell r="L108">
            <v>0.52155066799999994</v>
          </cell>
          <cell r="M108" t="str">
            <v>Gramos</v>
          </cell>
        </row>
        <row r="109">
          <cell r="A109" t="str">
            <v>0510194</v>
          </cell>
          <cell r="B109">
            <v>7038</v>
          </cell>
          <cell r="C109" t="str">
            <v>MACADAMIA #8 (PAQ:800g)</v>
          </cell>
          <cell r="D109" t="str">
            <v>0510194</v>
          </cell>
          <cell r="E109" t="str">
            <v>MATERIAS PRIMAS PLANTA</v>
          </cell>
          <cell r="F109" t="str">
            <v>1 PAQUETE</v>
          </cell>
          <cell r="G109">
            <v>500</v>
          </cell>
          <cell r="H109" t="str">
            <v>13/06/2020</v>
          </cell>
          <cell r="I109">
            <v>8193</v>
          </cell>
          <cell r="J109">
            <v>7831509</v>
          </cell>
          <cell r="K109">
            <v>800</v>
          </cell>
          <cell r="L109">
            <v>10.241250000000001</v>
          </cell>
          <cell r="M109" t="str">
            <v>Gramos</v>
          </cell>
        </row>
        <row r="110">
          <cell r="A110" t="str">
            <v>0510200</v>
          </cell>
          <cell r="B110">
            <v>5672</v>
          </cell>
          <cell r="C110" t="str">
            <v>PASAS (CAJAS:13.6KG)</v>
          </cell>
          <cell r="D110" t="str">
            <v>0510200</v>
          </cell>
          <cell r="E110" t="str">
            <v>MATERIAS PRIMAS PLANTA</v>
          </cell>
          <cell r="F110" t="str">
            <v xml:space="preserve">1 CAJA </v>
          </cell>
          <cell r="G110">
            <v>500</v>
          </cell>
          <cell r="H110" t="str">
            <v>15/06/2020</v>
          </cell>
          <cell r="I110">
            <v>37392.417999999998</v>
          </cell>
          <cell r="J110">
            <v>356811.77260000003</v>
          </cell>
          <cell r="K110">
            <v>13600</v>
          </cell>
          <cell r="L110">
            <v>2.7494424999999998</v>
          </cell>
          <cell r="M110" t="str">
            <v>Gramos</v>
          </cell>
        </row>
        <row r="111">
          <cell r="A111" t="str">
            <v>510207</v>
          </cell>
          <cell r="B111">
            <v>5464</v>
          </cell>
          <cell r="C111" t="str">
            <v>FRIJOL BLANCO (PAQ:1KILO)</v>
          </cell>
          <cell r="D111" t="str">
            <v>510207</v>
          </cell>
          <cell r="E111" t="str">
            <v>MATERIAS PRIMAS PLANTA</v>
          </cell>
          <cell r="F111" t="str">
            <v>1 PAQUETE</v>
          </cell>
          <cell r="G111">
            <v>500</v>
          </cell>
          <cell r="H111" t="str">
            <v>04/06/2020</v>
          </cell>
          <cell r="I111">
            <v>1400</v>
          </cell>
          <cell r="J111">
            <v>736200</v>
          </cell>
          <cell r="K111">
            <v>1000</v>
          </cell>
          <cell r="L111">
            <v>1.4</v>
          </cell>
          <cell r="M111" t="str">
            <v>Gramos</v>
          </cell>
        </row>
        <row r="112">
          <cell r="A112" t="str">
            <v>510215</v>
          </cell>
          <cell r="B112">
            <v>5626</v>
          </cell>
          <cell r="C112" t="str">
            <v xml:space="preserve">ALMIDON MODIFICADO (SACO:25 K) </v>
          </cell>
          <cell r="D112" t="str">
            <v>510215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09/06/2020</v>
          </cell>
          <cell r="I112">
            <v>29143.5</v>
          </cell>
          <cell r="J112">
            <v>1456502.3298484399</v>
          </cell>
          <cell r="K112">
            <v>25000</v>
          </cell>
          <cell r="L112">
            <v>1.16574</v>
          </cell>
          <cell r="M112" t="str">
            <v>Gramos</v>
          </cell>
        </row>
        <row r="113">
          <cell r="A113" t="str">
            <v>0510240</v>
          </cell>
          <cell r="B113">
            <v>11595</v>
          </cell>
          <cell r="C113" t="str">
            <v>PREMEZCLA PILS. CHOCOLATE (SACO:22.68 K)</v>
          </cell>
          <cell r="D113" t="str">
            <v>0510240</v>
          </cell>
          <cell r="E113" t="str">
            <v>MATERIAS PRIMAS PLANTA</v>
          </cell>
          <cell r="F113" t="str">
            <v>1 SACO</v>
          </cell>
          <cell r="G113">
            <v>500</v>
          </cell>
          <cell r="H113" t="str">
            <v>15/06/2020</v>
          </cell>
          <cell r="I113">
            <v>37179</v>
          </cell>
          <cell r="J113">
            <v>85754003</v>
          </cell>
          <cell r="K113">
            <v>22680</v>
          </cell>
          <cell r="L113">
            <v>1.6392857142857142</v>
          </cell>
          <cell r="M113" t="str">
            <v>Gramos</v>
          </cell>
        </row>
        <row r="114">
          <cell r="A114" t="str">
            <v>0510258</v>
          </cell>
          <cell r="B114">
            <v>5558</v>
          </cell>
          <cell r="C114" t="str">
            <v>PREMEZCLA MOIST PUDIN CAKE (SACO:25 K)</v>
          </cell>
          <cell r="D114" t="str">
            <v>0510258</v>
          </cell>
          <cell r="E114" t="str">
            <v>MATERIAS PRIMAS PLANTA</v>
          </cell>
          <cell r="F114" t="str">
            <v>1 SACO</v>
          </cell>
          <cell r="G114">
            <v>500</v>
          </cell>
          <cell r="H114" t="str">
            <v>05/05/2020</v>
          </cell>
          <cell r="I114">
            <v>24875</v>
          </cell>
          <cell r="J114">
            <v>7039625</v>
          </cell>
          <cell r="K114">
            <v>25000</v>
          </cell>
          <cell r="L114">
            <v>0.995</v>
          </cell>
          <cell r="M114" t="str">
            <v>Gramos</v>
          </cell>
        </row>
        <row r="115">
          <cell r="A115" t="str">
            <v>0510262</v>
          </cell>
          <cell r="B115">
            <v>5667</v>
          </cell>
          <cell r="C115" t="str">
            <v>PECANA ENTERA (CAJA:13.6 K)</v>
          </cell>
          <cell r="D115" t="str">
            <v>0510262</v>
          </cell>
          <cell r="E115" t="str">
            <v>MATERIAS PRIMAS PLANTA</v>
          </cell>
          <cell r="F115" t="str">
            <v xml:space="preserve">1 CAJA </v>
          </cell>
          <cell r="G115">
            <v>500</v>
          </cell>
          <cell r="H115" t="str">
            <v>15/06/2020</v>
          </cell>
          <cell r="I115">
            <v>133825.49600000001</v>
          </cell>
          <cell r="J115">
            <v>4417154.608</v>
          </cell>
          <cell r="K115">
            <v>13600</v>
          </cell>
          <cell r="L115">
            <v>9.840110000000001</v>
          </cell>
          <cell r="M115" t="str">
            <v>Gramos</v>
          </cell>
        </row>
        <row r="116">
          <cell r="A116" t="str">
            <v>510268</v>
          </cell>
          <cell r="B116">
            <v>5460</v>
          </cell>
          <cell r="C116" t="str">
            <v>FRIJOL TIERNO (PAQ:1KILO)</v>
          </cell>
          <cell r="D116" t="str">
            <v>510268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16/06/2020</v>
          </cell>
          <cell r="I116">
            <v>1700</v>
          </cell>
          <cell r="J116">
            <v>4845000</v>
          </cell>
          <cell r="K116">
            <v>1000</v>
          </cell>
          <cell r="L116">
            <v>1.7</v>
          </cell>
          <cell r="M116" t="str">
            <v>Gramos</v>
          </cell>
        </row>
        <row r="117">
          <cell r="A117" t="str">
            <v>510280</v>
          </cell>
          <cell r="B117">
            <v>5627</v>
          </cell>
          <cell r="C117" t="str">
            <v>EMULCON TM (SACO:20 K)</v>
          </cell>
          <cell r="D117" t="str">
            <v>510280</v>
          </cell>
          <cell r="E117" t="str">
            <v>MATERIAS PRIMAS PLANTA</v>
          </cell>
          <cell r="F117" t="str">
            <v>1 SACO</v>
          </cell>
          <cell r="G117">
            <v>500</v>
          </cell>
          <cell r="H117" t="str">
            <v>02/06/2020</v>
          </cell>
          <cell r="I117">
            <v>92960</v>
          </cell>
          <cell r="J117">
            <v>741420</v>
          </cell>
          <cell r="K117">
            <v>20000</v>
          </cell>
          <cell r="L117">
            <v>4.6479999999999997</v>
          </cell>
          <cell r="M117" t="str">
            <v>Gramos</v>
          </cell>
        </row>
        <row r="118">
          <cell r="A118" t="str">
            <v>0510285</v>
          </cell>
          <cell r="B118">
            <v>5559</v>
          </cell>
          <cell r="C118" t="str">
            <v>PREMEZCLA P/QUEQUE YOGURT (SACO:22.67 K)</v>
          </cell>
          <cell r="D118" t="str">
            <v>0510285</v>
          </cell>
          <cell r="E118" t="str">
            <v>MATERIAS PRIMAS PLANTA</v>
          </cell>
          <cell r="F118" t="str">
            <v>1 SACO</v>
          </cell>
          <cell r="G118">
            <v>500</v>
          </cell>
          <cell r="H118" t="str">
            <v>09/12/2019</v>
          </cell>
          <cell r="I118">
            <v>38555.32</v>
          </cell>
          <cell r="J118">
            <v>-192776.6</v>
          </cell>
          <cell r="K118">
            <v>22670</v>
          </cell>
          <cell r="L118">
            <v>1.7007198941332158</v>
          </cell>
          <cell r="M118" t="str">
            <v>Gramos</v>
          </cell>
        </row>
        <row r="119">
          <cell r="A119" t="str">
            <v>0510287</v>
          </cell>
          <cell r="B119">
            <v>5560</v>
          </cell>
          <cell r="C119" t="str">
            <v>PREMEZCLA TEGRAL CHIFON (SACO:10K)</v>
          </cell>
          <cell r="D119" t="str">
            <v>0510287</v>
          </cell>
          <cell r="E119" t="str">
            <v>MATERIAS PRIMAS PLANTA</v>
          </cell>
          <cell r="F119" t="str">
            <v>1 SACO</v>
          </cell>
          <cell r="G119">
            <v>500</v>
          </cell>
          <cell r="H119" t="str">
            <v>13/06/2020</v>
          </cell>
          <cell r="I119">
            <v>17300</v>
          </cell>
          <cell r="J119">
            <v>2923700</v>
          </cell>
          <cell r="K119">
            <v>10000</v>
          </cell>
          <cell r="L119">
            <v>1.73</v>
          </cell>
          <cell r="M119" t="str">
            <v>Gramos</v>
          </cell>
        </row>
        <row r="120">
          <cell r="A120" t="str">
            <v>0510294</v>
          </cell>
          <cell r="B120">
            <v>7064</v>
          </cell>
          <cell r="C120" t="str">
            <v>ANTIOXIDANTE ESPECIAL (KILO)</v>
          </cell>
          <cell r="D120" t="str">
            <v>0510294</v>
          </cell>
          <cell r="E120" t="str">
            <v>MATERIAS PRIMAS PLANTA</v>
          </cell>
          <cell r="F120" t="str">
            <v xml:space="preserve">1 KILO </v>
          </cell>
          <cell r="G120">
            <v>500</v>
          </cell>
          <cell r="H120" t="str">
            <v>18/05/2020</v>
          </cell>
          <cell r="I120">
            <v>5391.6962999999996</v>
          </cell>
          <cell r="J120">
            <v>70471.695999999996</v>
          </cell>
          <cell r="K120">
            <v>1000</v>
          </cell>
          <cell r="L120">
            <v>5.3916962999999996</v>
          </cell>
          <cell r="M120" t="str">
            <v>Gramos</v>
          </cell>
        </row>
        <row r="121">
          <cell r="A121" t="str">
            <v>0510298</v>
          </cell>
          <cell r="B121">
            <v>5561</v>
          </cell>
          <cell r="C121" t="str">
            <v>PREMEZCLA TEGRAL BIZCO MELOC (PAQ:6K)</v>
          </cell>
          <cell r="D121" t="str">
            <v>0510298</v>
          </cell>
          <cell r="E121" t="str">
            <v>MATERIAS PRIMAS PLANTA</v>
          </cell>
          <cell r="F121" t="str">
            <v>1 KILO</v>
          </cell>
          <cell r="G121">
            <v>500</v>
          </cell>
          <cell r="H121" t="str">
            <v>13/06/2020</v>
          </cell>
          <cell r="I121">
            <v>1010</v>
          </cell>
          <cell r="J121">
            <v>14004660</v>
          </cell>
          <cell r="K121">
            <v>1000</v>
          </cell>
          <cell r="L121">
            <v>1.01</v>
          </cell>
          <cell r="M121" t="str">
            <v>Gramos</v>
          </cell>
        </row>
        <row r="122">
          <cell r="A122" t="str">
            <v>510301</v>
          </cell>
          <cell r="B122">
            <v>5243</v>
          </cell>
          <cell r="C122" t="str">
            <v>AZUCAR BLANCO INDUSTRIAL (SACO:50 K)</v>
          </cell>
          <cell r="D122" t="str">
            <v>510301</v>
          </cell>
          <cell r="E122" t="str">
            <v>MATERIAS PRIMAS PLANTA</v>
          </cell>
          <cell r="F122" t="str">
            <v>1 SACO</v>
          </cell>
          <cell r="G122">
            <v>500</v>
          </cell>
          <cell r="H122" t="str">
            <v>09/06/2020</v>
          </cell>
          <cell r="I122">
            <v>19517</v>
          </cell>
          <cell r="J122">
            <v>7006603</v>
          </cell>
          <cell r="K122">
            <v>50000</v>
          </cell>
          <cell r="L122">
            <v>0.39034000000000002</v>
          </cell>
          <cell r="M122" t="str">
            <v>Gramos</v>
          </cell>
        </row>
        <row r="123">
          <cell r="A123" t="str">
            <v>510302</v>
          </cell>
          <cell r="B123">
            <v>5244</v>
          </cell>
          <cell r="C123" t="str">
            <v>AZUCAR REFINO INDUSTRIAL (SACO:50 K)</v>
          </cell>
          <cell r="D123" t="str">
            <v>510302</v>
          </cell>
          <cell r="E123" t="str">
            <v>MATERIAS PRIMAS PLANTA</v>
          </cell>
          <cell r="F123" t="str">
            <v>1 SACO</v>
          </cell>
          <cell r="G123">
            <v>500</v>
          </cell>
          <cell r="H123" t="str">
            <v>26/05/2020</v>
          </cell>
          <cell r="I123">
            <v>21982</v>
          </cell>
          <cell r="J123">
            <v>998702</v>
          </cell>
          <cell r="K123">
            <v>50000</v>
          </cell>
          <cell r="L123">
            <v>0.43963999999999998</v>
          </cell>
          <cell r="M123" t="str">
            <v>Gramos</v>
          </cell>
        </row>
        <row r="124">
          <cell r="A124" t="str">
            <v>0510304</v>
          </cell>
          <cell r="B124">
            <v>8126</v>
          </cell>
          <cell r="C124" t="str">
            <v>PREMEZCLA PASTEL SUPER ESPONJA</v>
          </cell>
          <cell r="D124" t="str">
            <v>0510304</v>
          </cell>
          <cell r="E124" t="str">
            <v>MATERIAS PRIMAS PLANTA</v>
          </cell>
          <cell r="F124" t="str">
            <v>1 KILO</v>
          </cell>
          <cell r="G124">
            <v>500</v>
          </cell>
          <cell r="H124" t="str">
            <v>03/06/2020</v>
          </cell>
          <cell r="I124">
            <v>1848.1265000000001</v>
          </cell>
          <cell r="J124">
            <v>18608776.419998001</v>
          </cell>
          <cell r="K124">
            <v>1000</v>
          </cell>
          <cell r="L124">
            <v>1.8481265</v>
          </cell>
          <cell r="M124" t="str">
            <v>Gramos</v>
          </cell>
        </row>
        <row r="125">
          <cell r="A125" t="str">
            <v>510414</v>
          </cell>
          <cell r="B125">
            <v>5255</v>
          </cell>
          <cell r="C125" t="str">
            <v>SNACK MIX PLATANO-YUCA (PAQ:500g)</v>
          </cell>
          <cell r="D125" t="str">
            <v>510414</v>
          </cell>
          <cell r="E125" t="str">
            <v>MATERIAS PRIMAS PLANTA</v>
          </cell>
          <cell r="F125" t="str">
            <v>1 PAQUETE</v>
          </cell>
          <cell r="G125">
            <v>500</v>
          </cell>
          <cell r="H125" t="str">
            <v>10/06/2020</v>
          </cell>
          <cell r="I125">
            <v>1327.4333329999999</v>
          </cell>
          <cell r="J125">
            <v>3376990.399152</v>
          </cell>
          <cell r="K125">
            <v>500</v>
          </cell>
          <cell r="L125">
            <v>2.6548666659999998</v>
          </cell>
          <cell r="M125" t="str">
            <v>Gramos</v>
          </cell>
        </row>
        <row r="126">
          <cell r="A126" t="str">
            <v>0512255</v>
          </cell>
          <cell r="B126">
            <v>5282</v>
          </cell>
          <cell r="C126" t="str">
            <v>COCOA DUTCH PROCESS (SACO:25 KG)</v>
          </cell>
          <cell r="D126" t="str">
            <v>0512255</v>
          </cell>
          <cell r="E126" t="str">
            <v>MATERIAS PRIMAS PLANTA</v>
          </cell>
          <cell r="F126" t="str">
            <v>1 SACO</v>
          </cell>
          <cell r="G126">
            <v>500</v>
          </cell>
          <cell r="H126" t="str">
            <v>02/03/2020</v>
          </cell>
          <cell r="I126">
            <v>121620.125</v>
          </cell>
          <cell r="J126">
            <v>854318</v>
          </cell>
          <cell r="K126">
            <v>25000</v>
          </cell>
          <cell r="L126">
            <v>4.8648049999999996</v>
          </cell>
          <cell r="M126" t="str">
            <v>Gramos</v>
          </cell>
        </row>
        <row r="127">
          <cell r="A127" t="str">
            <v>512261</v>
          </cell>
          <cell r="B127">
            <v>7066</v>
          </cell>
          <cell r="C127" t="str">
            <v>ACIDO SORBICO (PAQ:2.5 K)</v>
          </cell>
          <cell r="D127" t="str">
            <v>512261</v>
          </cell>
          <cell r="E127" t="str">
            <v>MATERIAS PRIMAS PLANTA</v>
          </cell>
          <cell r="F127" t="str">
            <v>1 PAQUETE</v>
          </cell>
          <cell r="G127">
            <v>500</v>
          </cell>
          <cell r="H127" t="str">
            <v>01/06/2020</v>
          </cell>
          <cell r="I127">
            <v>18046.900000000001</v>
          </cell>
          <cell r="J127">
            <v>538675.61450000003</v>
          </cell>
          <cell r="K127">
            <v>2500</v>
          </cell>
          <cell r="L127">
            <v>7.2187600000000005</v>
          </cell>
          <cell r="M127" t="str">
            <v>Gramos</v>
          </cell>
        </row>
        <row r="128">
          <cell r="A128" t="str">
            <v>0512262</v>
          </cell>
          <cell r="B128">
            <v>7067</v>
          </cell>
          <cell r="C128" t="str">
            <v>PROPIANATO CALCIO (PAQ:2.5 K)</v>
          </cell>
          <cell r="D128" t="str">
            <v>0512262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01/06/2020</v>
          </cell>
          <cell r="I128">
            <v>1783.12</v>
          </cell>
          <cell r="J128">
            <v>151710.125</v>
          </cell>
          <cell r="K128">
            <v>2500</v>
          </cell>
          <cell r="L128">
            <v>0.71324799999999999</v>
          </cell>
          <cell r="M128" t="str">
            <v>Gramos</v>
          </cell>
        </row>
        <row r="129">
          <cell r="A129" t="str">
            <v>0512319</v>
          </cell>
          <cell r="B129">
            <v>5483</v>
          </cell>
          <cell r="C129" t="str">
            <v>PASTA AJO (PAQ: 1 KILO)</v>
          </cell>
          <cell r="D129" t="str">
            <v>0512319</v>
          </cell>
          <cell r="E129" t="str">
            <v>MATERIAS PRIMAS PLANTA</v>
          </cell>
          <cell r="F129" t="str">
            <v xml:space="preserve">1 KILO </v>
          </cell>
          <cell r="G129">
            <v>500</v>
          </cell>
          <cell r="H129" t="str">
            <v>13/06/2020</v>
          </cell>
          <cell r="I129">
            <v>4458</v>
          </cell>
          <cell r="J129">
            <v>3446988</v>
          </cell>
          <cell r="K129">
            <v>1000</v>
          </cell>
          <cell r="L129">
            <v>4.4580000000000002</v>
          </cell>
          <cell r="M129" t="str">
            <v>Gramos</v>
          </cell>
        </row>
        <row r="130">
          <cell r="A130" t="str">
            <v>0512334</v>
          </cell>
          <cell r="B130">
            <v>7068</v>
          </cell>
          <cell r="C130" t="str">
            <v>BENZOATO SODIO (PAQ:2.5 K)</v>
          </cell>
          <cell r="D130" t="str">
            <v>0512334</v>
          </cell>
          <cell r="E130" t="str">
            <v>MATERIAS PRIMAS PLANTA</v>
          </cell>
          <cell r="F130" t="str">
            <v>1 PAQUETE</v>
          </cell>
          <cell r="G130">
            <v>500</v>
          </cell>
          <cell r="H130" t="str">
            <v>01/06/2020</v>
          </cell>
          <cell r="I130">
            <v>1668.08</v>
          </cell>
          <cell r="J130">
            <v>33116.695</v>
          </cell>
          <cell r="K130">
            <v>2500</v>
          </cell>
          <cell r="L130">
            <v>0.66723199999999994</v>
          </cell>
          <cell r="M130" t="str">
            <v>Gramos</v>
          </cell>
        </row>
        <row r="131">
          <cell r="A131" t="str">
            <v>0610212</v>
          </cell>
          <cell r="B131">
            <v>5466</v>
          </cell>
          <cell r="C131" t="str">
            <v>JENGIBRE ENTERO KILO</v>
          </cell>
          <cell r="D131" t="str">
            <v>0610212</v>
          </cell>
          <cell r="E131" t="str">
            <v>MATERIAS PRIMAS PLANTA</v>
          </cell>
          <cell r="F131" t="str">
            <v>1 KILO</v>
          </cell>
          <cell r="G131">
            <v>500</v>
          </cell>
          <cell r="H131" t="str">
            <v>23/05/2020</v>
          </cell>
          <cell r="I131">
            <v>2780</v>
          </cell>
          <cell r="J131">
            <v>37726</v>
          </cell>
          <cell r="K131">
            <v>1000</v>
          </cell>
          <cell r="L131">
            <v>2.78</v>
          </cell>
          <cell r="M131" t="str">
            <v>Gramos</v>
          </cell>
        </row>
        <row r="132">
          <cell r="A132" t="str">
            <v>610218</v>
          </cell>
          <cell r="B132">
            <v>5409</v>
          </cell>
          <cell r="C132" t="str">
            <v>COMINO (UND:454G)</v>
          </cell>
          <cell r="D132" t="str">
            <v>610218</v>
          </cell>
          <cell r="E132" t="str">
            <v>MATERIAS PRIMAS PLANTA</v>
          </cell>
          <cell r="F132" t="str">
            <v>1 UND</v>
          </cell>
          <cell r="G132">
            <v>500</v>
          </cell>
          <cell r="H132" t="str">
            <v>19/03/2020</v>
          </cell>
          <cell r="I132">
            <v>2673</v>
          </cell>
          <cell r="J132">
            <v>115062</v>
          </cell>
          <cell r="K132">
            <v>454</v>
          </cell>
          <cell r="L132">
            <v>5.8876651982378858</v>
          </cell>
          <cell r="M132" t="str">
            <v>Gramos</v>
          </cell>
        </row>
        <row r="133">
          <cell r="A133" t="str">
            <v>610220</v>
          </cell>
          <cell r="B133">
            <v>5414</v>
          </cell>
          <cell r="C133" t="str">
            <v>CONSOME POLLO ALSERRO (PAQ: 1 K)</v>
          </cell>
          <cell r="D133" t="str">
            <v>610220</v>
          </cell>
          <cell r="E133" t="str">
            <v>MATERIAS PRIMAS PLANTA</v>
          </cell>
          <cell r="F133" t="str">
            <v>1 PAQUETE</v>
          </cell>
          <cell r="G133">
            <v>500</v>
          </cell>
          <cell r="H133" t="str">
            <v>05/06/2020</v>
          </cell>
          <cell r="I133">
            <v>1708</v>
          </cell>
          <cell r="J133">
            <v>1115324</v>
          </cell>
          <cell r="K133">
            <v>1000</v>
          </cell>
          <cell r="L133">
            <v>1.708</v>
          </cell>
          <cell r="M133" t="str">
            <v>Gramos</v>
          </cell>
        </row>
        <row r="134">
          <cell r="A134" t="str">
            <v>610223</v>
          </cell>
          <cell r="B134">
            <v>5306</v>
          </cell>
          <cell r="C134" t="str">
            <v>CREMA DE HONGOS (CAJA:12 UND)</v>
          </cell>
          <cell r="D134" t="str">
            <v>610223</v>
          </cell>
          <cell r="E134" t="str">
            <v>MATERIAS PRIMAS PLANTA</v>
          </cell>
          <cell r="F134" t="str">
            <v>1 CAJA</v>
          </cell>
          <cell r="G134">
            <v>500</v>
          </cell>
          <cell r="H134" t="str">
            <v>28/05/2020</v>
          </cell>
          <cell r="I134">
            <v>6212</v>
          </cell>
          <cell r="J134">
            <v>2211472</v>
          </cell>
          <cell r="K134">
            <v>780</v>
          </cell>
          <cell r="L134">
            <v>6.7694871794871796</v>
          </cell>
          <cell r="M134" t="str">
            <v>Gramos</v>
          </cell>
        </row>
        <row r="135">
          <cell r="A135" t="str">
            <v>0610236</v>
          </cell>
          <cell r="B135">
            <v>7071</v>
          </cell>
          <cell r="C135" t="str">
            <v>PIMIENTA NEGRA MOLIDA (PAQ: 5 K)</v>
          </cell>
          <cell r="D135" t="str">
            <v>0610236</v>
          </cell>
          <cell r="E135" t="str">
            <v>MATERIAS PRIMAS PLANTA</v>
          </cell>
          <cell r="F135" t="str">
            <v>1 PAQUETE</v>
          </cell>
          <cell r="G135">
            <v>500</v>
          </cell>
          <cell r="H135" t="str">
            <v>21/05/2020</v>
          </cell>
          <cell r="I135">
            <v>29612.35</v>
          </cell>
          <cell r="J135">
            <v>296123.5</v>
          </cell>
          <cell r="K135">
            <v>5000</v>
          </cell>
          <cell r="L135">
            <v>5.9224699999999997</v>
          </cell>
          <cell r="M135" t="str">
            <v>Gramos</v>
          </cell>
        </row>
        <row r="136">
          <cell r="A136" t="str">
            <v>0610244</v>
          </cell>
          <cell r="B136">
            <v>7072</v>
          </cell>
          <cell r="C136" t="str">
            <v>JENGIBRE MOLIDO (UND:340g)</v>
          </cell>
          <cell r="D136" t="str">
            <v>0610244</v>
          </cell>
          <cell r="E136" t="str">
            <v>MATERIAS PRIMAS PLANTA</v>
          </cell>
          <cell r="F136" t="str">
            <v>1 UND</v>
          </cell>
          <cell r="G136">
            <v>500</v>
          </cell>
          <cell r="H136" t="str">
            <v>03/06/2020</v>
          </cell>
          <cell r="I136">
            <v>2814</v>
          </cell>
          <cell r="J136">
            <v>33602</v>
          </cell>
          <cell r="K136">
            <v>340</v>
          </cell>
          <cell r="L136">
            <v>8.2764705882352949</v>
          </cell>
          <cell r="M136" t="str">
            <v>Gramos</v>
          </cell>
        </row>
        <row r="137">
          <cell r="A137" t="str">
            <v>0610250</v>
          </cell>
          <cell r="B137">
            <v>5570</v>
          </cell>
          <cell r="C137" t="str">
            <v>HOJUELA PURE PAPA (SACO:15 K)</v>
          </cell>
          <cell r="D137" t="str">
            <v>0610250</v>
          </cell>
          <cell r="E137" t="str">
            <v>MATERIAS PRIMAS PLANTA</v>
          </cell>
          <cell r="F137" t="str">
            <v xml:space="preserve">1 SACO </v>
          </cell>
          <cell r="G137">
            <v>500</v>
          </cell>
          <cell r="H137" t="str">
            <v>27/05/2020</v>
          </cell>
          <cell r="I137">
            <v>27555.3</v>
          </cell>
          <cell r="J137">
            <v>851602.34424759995</v>
          </cell>
          <cell r="K137">
            <v>15000</v>
          </cell>
          <cell r="L137">
            <v>1.8370199999999999</v>
          </cell>
          <cell r="M137" t="str">
            <v>Gramos</v>
          </cell>
        </row>
        <row r="138">
          <cell r="A138" t="str">
            <v>0610253</v>
          </cell>
          <cell r="B138">
            <v>5308</v>
          </cell>
          <cell r="C138" t="str">
            <v>SOPA OLLA CARNE MAGGI (CAJA:12 UND)</v>
          </cell>
          <cell r="D138" t="str">
            <v>0610253</v>
          </cell>
          <cell r="E138" t="str">
            <v>MATERIAS PRIMAS PLANTA</v>
          </cell>
          <cell r="F138" t="str">
            <v>1 CAJA</v>
          </cell>
          <cell r="G138">
            <v>500</v>
          </cell>
          <cell r="H138" t="str">
            <v>05/06/2020</v>
          </cell>
          <cell r="I138">
            <v>3684</v>
          </cell>
          <cell r="J138">
            <v>1661484</v>
          </cell>
          <cell r="K138">
            <v>480</v>
          </cell>
          <cell r="L138">
            <v>6.5237499999999997</v>
          </cell>
          <cell r="M138" t="str">
            <v>Gramos</v>
          </cell>
        </row>
        <row r="139">
          <cell r="A139" t="str">
            <v>0610254</v>
          </cell>
          <cell r="B139">
            <v>5260</v>
          </cell>
          <cell r="C139" t="str">
            <v>PIMIENTA BLANCA  MOLIDA (PAQ:5 K)</v>
          </cell>
          <cell r="D139" t="str">
            <v>0610254</v>
          </cell>
          <cell r="E139" t="str">
            <v>MATERIAS PRIMAS PLANTA</v>
          </cell>
          <cell r="F139" t="str">
            <v>1 PAQUETE</v>
          </cell>
          <cell r="G139">
            <v>500</v>
          </cell>
          <cell r="H139" t="str">
            <v>21/05/2020</v>
          </cell>
          <cell r="I139">
            <v>47381.85</v>
          </cell>
          <cell r="J139">
            <v>142145.54999999999</v>
          </cell>
          <cell r="K139">
            <v>5000</v>
          </cell>
          <cell r="L139">
            <v>9.4763699999999993</v>
          </cell>
          <cell r="M139" t="str">
            <v>Gramos</v>
          </cell>
        </row>
        <row r="140">
          <cell r="A140" t="str">
            <v>0610256</v>
          </cell>
          <cell r="B140">
            <v>5259</v>
          </cell>
          <cell r="C140" t="str">
            <v>NUEZ MOSCADA MOLIDA (PAQ:3 K)</v>
          </cell>
          <cell r="D140" t="str">
            <v>0610256</v>
          </cell>
          <cell r="E140" t="str">
            <v>MATERIAS PRIMAS PLANTA</v>
          </cell>
          <cell r="F140" t="str">
            <v>1 PAQUETE</v>
          </cell>
          <cell r="G140">
            <v>500</v>
          </cell>
          <cell r="H140" t="str">
            <v>21/05/2020</v>
          </cell>
          <cell r="I140">
            <v>41471.1</v>
          </cell>
          <cell r="J140">
            <v>290297.71000000002</v>
          </cell>
          <cell r="K140">
            <v>3000</v>
          </cell>
          <cell r="L140">
            <v>13.823699999999999</v>
          </cell>
          <cell r="M140" t="str">
            <v>Gramos</v>
          </cell>
        </row>
        <row r="141">
          <cell r="A141" t="str">
            <v>701096</v>
          </cell>
          <cell r="B141">
            <v>5887</v>
          </cell>
          <cell r="C141" t="str">
            <v>ETIQUETA BLANCA R-153 (UND)</v>
          </cell>
          <cell r="D141" t="str">
            <v>701096</v>
          </cell>
          <cell r="E141" t="str">
            <v>ETIQUETAS PLANTA</v>
          </cell>
          <cell r="F141" t="str">
            <v>1 UND</v>
          </cell>
          <cell r="G141">
            <v>500</v>
          </cell>
          <cell r="H141" t="str">
            <v>12/06/2020</v>
          </cell>
          <cell r="I141">
            <v>0.39</v>
          </cell>
          <cell r="J141">
            <v>553800</v>
          </cell>
          <cell r="K141">
            <v>1</v>
          </cell>
          <cell r="L141">
            <v>0.39</v>
          </cell>
          <cell r="M141" t="str">
            <v>Und</v>
          </cell>
        </row>
        <row r="142">
          <cell r="A142" t="str">
            <v>0702006</v>
          </cell>
          <cell r="B142">
            <v>5899</v>
          </cell>
          <cell r="C142" t="str">
            <v>ETIQ.FECHA VENCIMIENTO AMARILLO (ROLLO)</v>
          </cell>
          <cell r="D142" t="str">
            <v>0702006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25/03/2020</v>
          </cell>
          <cell r="I142">
            <v>180</v>
          </cell>
          <cell r="J142">
            <v>27720</v>
          </cell>
          <cell r="K142">
            <v>900</v>
          </cell>
          <cell r="L142">
            <v>0.2</v>
          </cell>
          <cell r="M142" t="str">
            <v>Und</v>
          </cell>
        </row>
        <row r="143">
          <cell r="A143" t="str">
            <v>0702008</v>
          </cell>
          <cell r="B143">
            <v>5901</v>
          </cell>
          <cell r="C143" t="str">
            <v>ETIQ.FECHA VENCIMIENTO CELESTE (ROLLO)</v>
          </cell>
          <cell r="D143" t="str">
            <v>0702008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180</v>
          </cell>
          <cell r="J143">
            <v>19620</v>
          </cell>
          <cell r="K143">
            <v>900</v>
          </cell>
          <cell r="L143">
            <v>0.2</v>
          </cell>
          <cell r="M143" t="str">
            <v>Und</v>
          </cell>
        </row>
        <row r="144">
          <cell r="A144" t="str">
            <v>0702009</v>
          </cell>
          <cell r="B144">
            <v>5902</v>
          </cell>
          <cell r="C144" t="str">
            <v>ETIQ.FECHA VENCIMIENTO NARANJA (ROLLO)</v>
          </cell>
          <cell r="D144" t="str">
            <v>0702009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28/04/2020</v>
          </cell>
          <cell r="I144">
            <v>180</v>
          </cell>
          <cell r="J144">
            <v>8100</v>
          </cell>
          <cell r="K144">
            <v>900</v>
          </cell>
          <cell r="L144">
            <v>0.2</v>
          </cell>
          <cell r="M144" t="str">
            <v>Und</v>
          </cell>
        </row>
        <row r="145">
          <cell r="A145" t="str">
            <v>0702010</v>
          </cell>
          <cell r="B145">
            <v>5903</v>
          </cell>
          <cell r="C145" t="str">
            <v>ETIQ.FECHA VENCIMIENTO ROJO (ROLLO)</v>
          </cell>
          <cell r="D145" t="str">
            <v>0702010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25/03/2020</v>
          </cell>
          <cell r="I145">
            <v>180</v>
          </cell>
          <cell r="J145">
            <v>4500</v>
          </cell>
          <cell r="K145">
            <v>900</v>
          </cell>
          <cell r="L145">
            <v>0.2</v>
          </cell>
          <cell r="M145" t="str">
            <v>Und</v>
          </cell>
        </row>
        <row r="146">
          <cell r="A146" t="str">
            <v>0702011</v>
          </cell>
          <cell r="B146">
            <v>5904</v>
          </cell>
          <cell r="C146" t="str">
            <v>ETIQ.FECHA VENCIMIENTO ROSADO (ROLLO)</v>
          </cell>
          <cell r="D146" t="str">
            <v>0702011</v>
          </cell>
          <cell r="E146" t="str">
            <v>ETIQUETAS PLANTA</v>
          </cell>
          <cell r="F146" t="str">
            <v>1 ROLLO</v>
          </cell>
          <cell r="G146">
            <v>500</v>
          </cell>
          <cell r="H146" t="str">
            <v>31/01/2020</v>
          </cell>
          <cell r="I146">
            <v>180</v>
          </cell>
          <cell r="J146">
            <v>18000</v>
          </cell>
          <cell r="K146">
            <v>900</v>
          </cell>
          <cell r="L146">
            <v>0.2</v>
          </cell>
          <cell r="M146" t="str">
            <v>Und</v>
          </cell>
        </row>
        <row r="147">
          <cell r="A147" t="str">
            <v>0702012</v>
          </cell>
          <cell r="B147">
            <v>5905</v>
          </cell>
          <cell r="C147" t="str">
            <v>ETIQ.FECHA VENCIMIENTO VERDE (ROLLO)</v>
          </cell>
          <cell r="D147" t="str">
            <v>0702012</v>
          </cell>
          <cell r="E147" t="str">
            <v>ETIQUETAS PLANTA</v>
          </cell>
          <cell r="F147" t="str">
            <v>1 ROLLO</v>
          </cell>
          <cell r="G147">
            <v>500</v>
          </cell>
          <cell r="H147" t="str">
            <v>12/06/2020</v>
          </cell>
          <cell r="I147">
            <v>180</v>
          </cell>
          <cell r="J147">
            <v>10080</v>
          </cell>
          <cell r="K147">
            <v>900</v>
          </cell>
          <cell r="L147">
            <v>0.2</v>
          </cell>
          <cell r="M147" t="str">
            <v>Und</v>
          </cell>
        </row>
        <row r="148">
          <cell r="A148" t="str">
            <v>0702030</v>
          </cell>
          <cell r="B148">
            <v>5906</v>
          </cell>
          <cell r="C148" t="str">
            <v>ETIQ PRODUCCION BLANCO (ROLLO)</v>
          </cell>
          <cell r="D148" t="str">
            <v>0702030</v>
          </cell>
          <cell r="E148" t="str">
            <v>ETIQUETAS PLANTA</v>
          </cell>
          <cell r="F148" t="str">
            <v>1 ROLLO</v>
          </cell>
          <cell r="G148">
            <v>500</v>
          </cell>
          <cell r="H148" t="str">
            <v>12/06/2020</v>
          </cell>
          <cell r="I148">
            <v>157</v>
          </cell>
          <cell r="J148">
            <v>229220</v>
          </cell>
          <cell r="K148">
            <v>900</v>
          </cell>
          <cell r="L148">
            <v>0.17444444444444446</v>
          </cell>
          <cell r="M148" t="str">
            <v>Und</v>
          </cell>
        </row>
        <row r="149">
          <cell r="A149" t="str">
            <v>0702039</v>
          </cell>
          <cell r="B149">
            <v>5915</v>
          </cell>
          <cell r="C149" t="str">
            <v>ETIQUETA QQ GRANDE V-272 CHOCOLATE (UND)</v>
          </cell>
          <cell r="D149" t="str">
            <v>0702039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07/05/2020</v>
          </cell>
          <cell r="I149">
            <v>47.024999999999999</v>
          </cell>
          <cell r="J149">
            <v>1669387.5</v>
          </cell>
          <cell r="K149">
            <v>1</v>
          </cell>
          <cell r="L149">
            <v>47.024999999999999</v>
          </cell>
          <cell r="M149" t="str">
            <v>Und</v>
          </cell>
        </row>
        <row r="150">
          <cell r="A150" t="str">
            <v>0702041</v>
          </cell>
          <cell r="B150">
            <v>5914</v>
          </cell>
          <cell r="C150" t="str">
            <v>ETIQUETA QQ GRAND  V-272 CHOCOFRESA(UND)</v>
          </cell>
          <cell r="D150" t="str">
            <v>0702041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07/04/2020</v>
          </cell>
          <cell r="I150">
            <v>47.024999999999999</v>
          </cell>
          <cell r="J150">
            <v>376200</v>
          </cell>
          <cell r="K150">
            <v>1</v>
          </cell>
          <cell r="L150">
            <v>47.024999999999999</v>
          </cell>
          <cell r="M150" t="str">
            <v>Und</v>
          </cell>
        </row>
        <row r="151">
          <cell r="A151" t="str">
            <v>0702048</v>
          </cell>
          <cell r="B151">
            <v>5913</v>
          </cell>
          <cell r="C151" t="str">
            <v>ETIQUETA QQ GRANDE V-272 MELOCOTON (UND)</v>
          </cell>
          <cell r="D151" t="str">
            <v>0702048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04/03/2020</v>
          </cell>
          <cell r="I151">
            <v>47.024999999999999</v>
          </cell>
          <cell r="J151">
            <v>493762.5</v>
          </cell>
          <cell r="K151">
            <v>1</v>
          </cell>
          <cell r="L151">
            <v>47.024999999999999</v>
          </cell>
          <cell r="M151" t="str">
            <v>Und</v>
          </cell>
        </row>
        <row r="152">
          <cell r="A152" t="str">
            <v>0702053</v>
          </cell>
          <cell r="B152">
            <v>5891</v>
          </cell>
          <cell r="C152" t="str">
            <v>STICKER REDONDO AMARILLO (ROLLO)</v>
          </cell>
          <cell r="D152" t="str">
            <v>0702053</v>
          </cell>
          <cell r="E152" t="str">
            <v>ETIQUETAS PLANTA</v>
          </cell>
          <cell r="F152" t="str">
            <v>1 ROLLO</v>
          </cell>
          <cell r="G152">
            <v>500</v>
          </cell>
          <cell r="H152" t="str">
            <v>12/06/2020</v>
          </cell>
          <cell r="I152">
            <v>200</v>
          </cell>
          <cell r="J152">
            <v>18000</v>
          </cell>
          <cell r="K152">
            <v>900</v>
          </cell>
          <cell r="L152">
            <v>0.22222222222222221</v>
          </cell>
          <cell r="M152" t="str">
            <v>Und</v>
          </cell>
        </row>
        <row r="153">
          <cell r="A153" t="str">
            <v>0702056</v>
          </cell>
          <cell r="B153">
            <v>5894</v>
          </cell>
          <cell r="C153" t="str">
            <v>STICKER REDONDO CELESTE (ROLLO)</v>
          </cell>
          <cell r="D153" t="str">
            <v>0702056</v>
          </cell>
          <cell r="E153" t="str">
            <v>ETIQUETAS PLANTA</v>
          </cell>
          <cell r="F153" t="str">
            <v>1 ROLLO</v>
          </cell>
          <cell r="G153">
            <v>500</v>
          </cell>
          <cell r="H153" t="str">
            <v>20/12/2019</v>
          </cell>
          <cell r="I153">
            <v>200</v>
          </cell>
          <cell r="J153">
            <v>10000</v>
          </cell>
          <cell r="K153">
            <v>900</v>
          </cell>
          <cell r="L153">
            <v>0.22222222222222221</v>
          </cell>
        </row>
        <row r="154">
          <cell r="A154" t="str">
            <v>0702057</v>
          </cell>
          <cell r="B154">
            <v>12061</v>
          </cell>
          <cell r="C154" t="str">
            <v>STICKER REDONDO NARANJA (ROLLO)</v>
          </cell>
          <cell r="D154" t="str">
            <v>0702057</v>
          </cell>
          <cell r="E154" t="str">
            <v>ETIQUETAS PLANTA</v>
          </cell>
          <cell r="F154" t="str">
            <v>1 ROLLO</v>
          </cell>
          <cell r="G154">
            <v>500</v>
          </cell>
          <cell r="H154" t="str">
            <v>12/06/2020</v>
          </cell>
          <cell r="I154">
            <v>200</v>
          </cell>
          <cell r="J154">
            <v>15200</v>
          </cell>
          <cell r="K154">
            <v>900</v>
          </cell>
          <cell r="L154">
            <v>0.22222222222222221</v>
          </cell>
        </row>
        <row r="155">
          <cell r="A155" t="str">
            <v>0702058</v>
          </cell>
          <cell r="B155">
            <v>5896</v>
          </cell>
          <cell r="C155" t="str">
            <v>STICKER REDONDO ROJO (ROLLO)</v>
          </cell>
          <cell r="D155" t="str">
            <v>0702058</v>
          </cell>
          <cell r="E155" t="str">
            <v>ETIQUETAS PLANTA</v>
          </cell>
          <cell r="F155" t="str">
            <v>1 ROLLO</v>
          </cell>
          <cell r="G155">
            <v>500</v>
          </cell>
          <cell r="H155" t="str">
            <v>12/06/2020</v>
          </cell>
          <cell r="I155">
            <v>200</v>
          </cell>
          <cell r="J155">
            <v>4000</v>
          </cell>
          <cell r="K155">
            <v>900</v>
          </cell>
          <cell r="L155">
            <v>0.22222222222222221</v>
          </cell>
        </row>
        <row r="156">
          <cell r="A156" t="str">
            <v>0702059</v>
          </cell>
          <cell r="B156">
            <v>5897</v>
          </cell>
          <cell r="C156" t="str">
            <v>STICKER REDONDO ROSADO (ROLLO)</v>
          </cell>
          <cell r="D156" t="str">
            <v>0702059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20/12/2019</v>
          </cell>
          <cell r="I156">
            <v>200</v>
          </cell>
          <cell r="J156">
            <v>10000</v>
          </cell>
          <cell r="K156">
            <v>900</v>
          </cell>
          <cell r="L156">
            <v>0.22222222222222221</v>
          </cell>
        </row>
        <row r="157">
          <cell r="A157" t="str">
            <v>0702067</v>
          </cell>
          <cell r="B157">
            <v>5888</v>
          </cell>
          <cell r="C157" t="str">
            <v>ETIQ.BLANCA 1 13/16 * 1 7/8 (UND)</v>
          </cell>
          <cell r="D157" t="str">
            <v>0702067</v>
          </cell>
          <cell r="E157" t="str">
            <v>ETIQUETAS PLANTA</v>
          </cell>
          <cell r="F157" t="str">
            <v>1 UND</v>
          </cell>
          <cell r="G157">
            <v>500</v>
          </cell>
          <cell r="H157" t="str">
            <v>12/06/2020</v>
          </cell>
          <cell r="I157">
            <v>1.7949999999999999</v>
          </cell>
          <cell r="J157">
            <v>840060</v>
          </cell>
          <cell r="K157">
            <v>1</v>
          </cell>
          <cell r="L157">
            <v>1.7949999999999999</v>
          </cell>
          <cell r="M157" t="str">
            <v>Und</v>
          </cell>
        </row>
        <row r="158">
          <cell r="A158" t="str">
            <v>0702069</v>
          </cell>
          <cell r="B158">
            <v>5884</v>
          </cell>
          <cell r="C158" t="str">
            <v>ETIQ.BLANCA 1 1/4 * 3/4 (UND)</v>
          </cell>
          <cell r="D158" t="str">
            <v>0702069</v>
          </cell>
          <cell r="E158" t="str">
            <v>ETIQUETAS PLANTA</v>
          </cell>
          <cell r="F158" t="str">
            <v>1 UND</v>
          </cell>
          <cell r="G158">
            <v>500</v>
          </cell>
          <cell r="H158" t="str">
            <v>28/04/2020</v>
          </cell>
          <cell r="I158">
            <v>0.57999999999999996</v>
          </cell>
          <cell r="J158">
            <v>775460</v>
          </cell>
          <cell r="K158">
            <v>1</v>
          </cell>
          <cell r="L158">
            <v>0.57999999999999996</v>
          </cell>
          <cell r="M158" t="str">
            <v>Und</v>
          </cell>
        </row>
        <row r="159">
          <cell r="A159" t="str">
            <v>0702072</v>
          </cell>
          <cell r="B159">
            <v>5885</v>
          </cell>
          <cell r="C159" t="str">
            <v>ETIQ.BLANCA 3X3 (UND)</v>
          </cell>
          <cell r="D159" t="str">
            <v>0702072</v>
          </cell>
          <cell r="E159" t="str">
            <v>ETIQUETAS PLANTA</v>
          </cell>
          <cell r="F159" t="str">
            <v>1 UND</v>
          </cell>
          <cell r="G159">
            <v>500</v>
          </cell>
          <cell r="H159" t="str">
            <v>25/02/2020</v>
          </cell>
          <cell r="I159">
            <v>4.3230000000000004</v>
          </cell>
          <cell r="J159">
            <v>220473</v>
          </cell>
          <cell r="K159">
            <v>1</v>
          </cell>
          <cell r="L159">
            <v>4.3230000000000004</v>
          </cell>
          <cell r="M159" t="str">
            <v>Und</v>
          </cell>
        </row>
        <row r="160">
          <cell r="A160" t="str">
            <v>0702077</v>
          </cell>
          <cell r="B160">
            <v>5911</v>
          </cell>
          <cell r="C160" t="str">
            <v>ETIQ. GENERICA PEQUEÑA V-274 (UND)</v>
          </cell>
          <cell r="D160" t="str">
            <v>0702077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12.188000000000001</v>
          </cell>
          <cell r="J160">
            <v>1469928</v>
          </cell>
          <cell r="K160">
            <v>1</v>
          </cell>
          <cell r="L160">
            <v>12.188000000000001</v>
          </cell>
          <cell r="M160" t="str">
            <v>Und</v>
          </cell>
        </row>
        <row r="161">
          <cell r="A161" t="str">
            <v>0702087</v>
          </cell>
          <cell r="B161">
            <v>11572</v>
          </cell>
          <cell r="C161" t="str">
            <v>ET.  BUCCA DULCE (UND)</v>
          </cell>
          <cell r="D161" t="str">
            <v>0702087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08/06/2020</v>
          </cell>
          <cell r="I161">
            <v>5</v>
          </cell>
          <cell r="J161">
            <v>345000</v>
          </cell>
          <cell r="K161">
            <v>1</v>
          </cell>
          <cell r="L161">
            <v>5</v>
          </cell>
          <cell r="M161" t="str">
            <v>Und</v>
          </cell>
        </row>
        <row r="162">
          <cell r="A162" t="str">
            <v>0702123</v>
          </cell>
          <cell r="B162">
            <v>12490</v>
          </cell>
          <cell r="C162" t="str">
            <v>ETIQUETA BLANCA 2 5/8X1 15/16 (UND)</v>
          </cell>
          <cell r="D162" t="str">
            <v>0702123</v>
          </cell>
          <cell r="E162" t="str">
            <v>ETIQUETAS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2.1280000000000001</v>
          </cell>
          <cell r="J162">
            <v>2157792</v>
          </cell>
          <cell r="K162">
            <v>1</v>
          </cell>
          <cell r="L162">
            <v>2.1280000000000001</v>
          </cell>
          <cell r="M162" t="str">
            <v>Und</v>
          </cell>
        </row>
        <row r="163">
          <cell r="A163" t="str">
            <v>702136</v>
          </cell>
          <cell r="B163">
            <v>5917</v>
          </cell>
          <cell r="C163" t="str">
            <v>ET. STARBUCKS ALFAJOR (UND)</v>
          </cell>
          <cell r="D163" t="str">
            <v>702136</v>
          </cell>
          <cell r="E163" t="str">
            <v>ETIQUETAS PLANTA</v>
          </cell>
          <cell r="F163" t="str">
            <v>1 UND</v>
          </cell>
          <cell r="G163">
            <v>500</v>
          </cell>
          <cell r="H163" t="str">
            <v>24/03/2020</v>
          </cell>
          <cell r="I163">
            <v>25</v>
          </cell>
          <cell r="J163">
            <v>245000</v>
          </cell>
          <cell r="K163">
            <v>1</v>
          </cell>
          <cell r="L163">
            <v>25</v>
          </cell>
          <cell r="M163" t="str">
            <v>Cm</v>
          </cell>
        </row>
        <row r="164">
          <cell r="A164" t="str">
            <v>0702137</v>
          </cell>
          <cell r="B164">
            <v>5918</v>
          </cell>
          <cell r="C164" t="str">
            <v>ET. STARBUCKS TROCITOS CHEDDAR (UND)</v>
          </cell>
          <cell r="D164" t="str">
            <v>0702137</v>
          </cell>
          <cell r="E164" t="str">
            <v>ETIQUETAS PLANTA</v>
          </cell>
          <cell r="F164" t="str">
            <v>1 UND</v>
          </cell>
          <cell r="G164">
            <v>500</v>
          </cell>
          <cell r="H164" t="str">
            <v>13/03/2020</v>
          </cell>
          <cell r="I164">
            <v>25</v>
          </cell>
          <cell r="J164">
            <v>245000</v>
          </cell>
          <cell r="K164">
            <v>1</v>
          </cell>
          <cell r="L164">
            <v>25</v>
          </cell>
          <cell r="M164" t="str">
            <v>Gramos</v>
          </cell>
        </row>
        <row r="165">
          <cell r="A165" t="str">
            <v>0702147</v>
          </cell>
          <cell r="B165">
            <v>14148</v>
          </cell>
          <cell r="C165" t="str">
            <v>ETIQUETA LIVIANO GENERICA GRD (UND)</v>
          </cell>
          <cell r="D165" t="str">
            <v>0702147</v>
          </cell>
          <cell r="E165" t="str">
            <v>ETIQUETAS PLANTA</v>
          </cell>
          <cell r="F165" t="str">
            <v>1 UND</v>
          </cell>
          <cell r="G165">
            <v>500</v>
          </cell>
          <cell r="H165" t="str">
            <v>06/03/2020</v>
          </cell>
          <cell r="I165">
            <v>32</v>
          </cell>
          <cell r="J165">
            <v>160000</v>
          </cell>
          <cell r="K165">
            <v>1</v>
          </cell>
          <cell r="L165">
            <v>32</v>
          </cell>
          <cell r="M165" t="str">
            <v>Gramos</v>
          </cell>
        </row>
        <row r="166">
          <cell r="A166" t="str">
            <v>0702148</v>
          </cell>
          <cell r="B166">
            <v>5882</v>
          </cell>
          <cell r="C166" t="str">
            <v>ETIQUETA LIVIANO GENERICA PEQUEÑA (UND)</v>
          </cell>
          <cell r="D166" t="str">
            <v>0702148</v>
          </cell>
          <cell r="E166" t="str">
            <v>ETIQUETAS PLANTA</v>
          </cell>
          <cell r="F166" t="str">
            <v>1 UND</v>
          </cell>
          <cell r="G166">
            <v>500</v>
          </cell>
          <cell r="H166" t="str">
            <v>20/02/2020</v>
          </cell>
          <cell r="I166">
            <v>25</v>
          </cell>
          <cell r="J166">
            <v>75000</v>
          </cell>
          <cell r="K166">
            <v>1</v>
          </cell>
          <cell r="L166">
            <v>25</v>
          </cell>
          <cell r="M166" t="str">
            <v>Gramos</v>
          </cell>
        </row>
        <row r="167">
          <cell r="A167" t="str">
            <v>0702155</v>
          </cell>
          <cell r="B167">
            <v>5907</v>
          </cell>
          <cell r="C167" t="str">
            <v>ETIQUETA BLANCA VENCE (ROLLO:1000 UND)</v>
          </cell>
          <cell r="D167" t="str">
            <v>0702155</v>
          </cell>
          <cell r="E167" t="str">
            <v>ETIQUETAS PLANTA</v>
          </cell>
          <cell r="F167" t="str">
            <v>1 ROLLO</v>
          </cell>
          <cell r="G167">
            <v>500</v>
          </cell>
          <cell r="H167" t="str">
            <v>12/06/2020</v>
          </cell>
          <cell r="I167">
            <v>551</v>
          </cell>
          <cell r="J167">
            <v>200013</v>
          </cell>
          <cell r="K167">
            <v>1000</v>
          </cell>
          <cell r="L167">
            <v>0.55100000000000005</v>
          </cell>
          <cell r="M167" t="str">
            <v>Gramos</v>
          </cell>
        </row>
        <row r="168">
          <cell r="A168" t="str">
            <v>0702167</v>
          </cell>
          <cell r="B168">
            <v>10088</v>
          </cell>
          <cell r="C168" t="str">
            <v>ETIQUETA D-31 TORTA BAILEYS (ROLLO)</v>
          </cell>
          <cell r="D168" t="str">
            <v>0702167</v>
          </cell>
          <cell r="E168" t="str">
            <v>ETIQUETAS PLANTA</v>
          </cell>
          <cell r="F168" t="str">
            <v>1 ROLLO</v>
          </cell>
          <cell r="G168">
            <v>500</v>
          </cell>
          <cell r="H168" t="str">
            <v>14/01/2020</v>
          </cell>
          <cell r="I168">
            <v>8000</v>
          </cell>
          <cell r="J168">
            <v>240000</v>
          </cell>
          <cell r="K168">
            <v>1000</v>
          </cell>
          <cell r="L168" t="e">
            <v>#DIV/0!</v>
          </cell>
          <cell r="M168" t="str">
            <v>und</v>
          </cell>
        </row>
        <row r="169">
          <cell r="A169" t="str">
            <v>0702169</v>
          </cell>
          <cell r="B169">
            <v>9467</v>
          </cell>
          <cell r="C169" t="str">
            <v>CARTULINA KRAFT 2.5 X 31 -8 (UND)</v>
          </cell>
          <cell r="D169" t="str">
            <v>0702169</v>
          </cell>
          <cell r="E169" t="str">
            <v>EMPAQUES PLANTA</v>
          </cell>
          <cell r="F169" t="str">
            <v>1 UND</v>
          </cell>
          <cell r="G169">
            <v>500</v>
          </cell>
          <cell r="H169" t="str">
            <v>24/03/2020</v>
          </cell>
          <cell r="I169">
            <v>15</v>
          </cell>
          <cell r="J169">
            <v>427500</v>
          </cell>
          <cell r="K169">
            <v>1</v>
          </cell>
          <cell r="L169">
            <v>15</v>
          </cell>
          <cell r="M169" t="str">
            <v>Und</v>
          </cell>
        </row>
        <row r="170">
          <cell r="A170" t="str">
            <v>702174</v>
          </cell>
          <cell r="B170">
            <v>5908</v>
          </cell>
          <cell r="C170" t="str">
            <v>ETIQUETA SELLO SEGURIDAD (ROLLO:1000)</v>
          </cell>
          <cell r="D170" t="str">
            <v>702174</v>
          </cell>
          <cell r="E170" t="str">
            <v>ETIQUETAS PLANTA</v>
          </cell>
          <cell r="F170" t="str">
            <v>1 ROLLO</v>
          </cell>
          <cell r="G170">
            <v>500</v>
          </cell>
          <cell r="H170" t="str">
            <v>12/06/2020</v>
          </cell>
          <cell r="I170">
            <v>6000</v>
          </cell>
          <cell r="J170">
            <v>1283700</v>
          </cell>
          <cell r="K170">
            <v>1000</v>
          </cell>
          <cell r="L170">
            <v>6</v>
          </cell>
          <cell r="M170" t="str">
            <v>Und</v>
          </cell>
        </row>
        <row r="171">
          <cell r="A171" t="str">
            <v>702175</v>
          </cell>
          <cell r="B171">
            <v>5912</v>
          </cell>
          <cell r="C171" t="str">
            <v>ETIQUETA IMPRES SPOON GRANDE V-272 (UND)</v>
          </cell>
          <cell r="D171" t="str">
            <v>702175</v>
          </cell>
          <cell r="E171" t="str">
            <v>ETIQUETAS PLANTA</v>
          </cell>
          <cell r="F171" t="str">
            <v>1 UND</v>
          </cell>
          <cell r="G171">
            <v>500</v>
          </cell>
          <cell r="H171" t="str">
            <v>12/06/2020</v>
          </cell>
          <cell r="I171">
            <v>47.024999999999999</v>
          </cell>
          <cell r="J171">
            <v>6583500</v>
          </cell>
          <cell r="K171">
            <v>1</v>
          </cell>
          <cell r="L171">
            <v>47.024999999999999</v>
          </cell>
          <cell r="M171" t="str">
            <v>Und</v>
          </cell>
        </row>
        <row r="172">
          <cell r="A172" t="str">
            <v>702182</v>
          </cell>
          <cell r="B172">
            <v>9535</v>
          </cell>
          <cell r="C172" t="str">
            <v>ETIQUETA IMP. SPOON MEDIANA V-273 (UND)</v>
          </cell>
          <cell r="D172" t="str">
            <v>702182</v>
          </cell>
          <cell r="E172" t="str">
            <v>ETIQUETAS PLANTA</v>
          </cell>
          <cell r="F172" t="str">
            <v>1 UND</v>
          </cell>
          <cell r="G172">
            <v>500</v>
          </cell>
          <cell r="H172" t="str">
            <v>02/06/2020</v>
          </cell>
          <cell r="I172">
            <v>32.49</v>
          </cell>
          <cell r="J172">
            <v>1938969</v>
          </cell>
          <cell r="K172">
            <v>1</v>
          </cell>
          <cell r="L172">
            <v>32.49</v>
          </cell>
          <cell r="M172" t="str">
            <v>Und</v>
          </cell>
        </row>
        <row r="173">
          <cell r="A173" t="str">
            <v>703020</v>
          </cell>
          <cell r="B173">
            <v>9444</v>
          </cell>
          <cell r="C173" t="str">
            <v>CINTA ADHESIVA TRANSPARENT 2*100 M (UND)</v>
          </cell>
          <cell r="D173" t="str">
            <v>703020</v>
          </cell>
          <cell r="E173" t="str">
            <v>EMPAQUES PLANTA</v>
          </cell>
          <cell r="F173" t="str">
            <v>1 UND</v>
          </cell>
          <cell r="G173">
            <v>500</v>
          </cell>
          <cell r="H173" t="str">
            <v>12/06/2020</v>
          </cell>
          <cell r="I173">
            <v>1450</v>
          </cell>
          <cell r="J173">
            <v>5875400</v>
          </cell>
          <cell r="K173">
            <v>10000</v>
          </cell>
          <cell r="L173">
            <v>0.14499999999999999</v>
          </cell>
          <cell r="M173" t="str">
            <v>Cm</v>
          </cell>
        </row>
        <row r="174">
          <cell r="A174" t="str">
            <v>0710260</v>
          </cell>
          <cell r="B174">
            <v>12504</v>
          </cell>
          <cell r="C174" t="str">
            <v>PAN CUADRADO INTEGRAL (PAQ=22 REBANADAS)</v>
          </cell>
          <cell r="D174" t="str">
            <v>0710260</v>
          </cell>
          <cell r="E174" t="str">
            <v>MATERIAS PRIMAS PLANTA</v>
          </cell>
          <cell r="F174" t="str">
            <v>1 PAQUETE</v>
          </cell>
          <cell r="G174">
            <v>500</v>
          </cell>
          <cell r="H174" t="str">
            <v>19/05/2020</v>
          </cell>
          <cell r="I174">
            <v>1</v>
          </cell>
          <cell r="J174">
            <v>272800</v>
          </cell>
          <cell r="K174">
            <v>1000</v>
          </cell>
          <cell r="L174" t="e">
            <v>#DIV/0!</v>
          </cell>
          <cell r="M174" t="str">
            <v>Und</v>
          </cell>
        </row>
        <row r="175">
          <cell r="A175" t="str">
            <v>0710261</v>
          </cell>
          <cell r="B175">
            <v>5544</v>
          </cell>
          <cell r="C175" t="str">
            <v>PAN CUADRADO BLANCO (PAQ=22 REBANADAS )</v>
          </cell>
          <cell r="D175" t="str">
            <v>0710261</v>
          </cell>
          <cell r="E175" t="str">
            <v>MATERIAS PRIMAS PLANTA</v>
          </cell>
          <cell r="F175" t="str">
            <v>1 PAQUETE</v>
          </cell>
          <cell r="G175">
            <v>500</v>
          </cell>
          <cell r="H175" t="str">
            <v>10/06/2020</v>
          </cell>
          <cell r="I175">
            <v>1000</v>
          </cell>
          <cell r="J175">
            <v>2036750</v>
          </cell>
          <cell r="K175">
            <v>790</v>
          </cell>
          <cell r="L175">
            <v>1.2658227848101267</v>
          </cell>
          <cell r="M175" t="str">
            <v>Gramos</v>
          </cell>
        </row>
        <row r="176">
          <cell r="A176" t="str">
            <v>0710262</v>
          </cell>
          <cell r="B176">
            <v>5550</v>
          </cell>
          <cell r="C176" t="str">
            <v>PAN MOLIDO (PAQ:5 K)</v>
          </cell>
          <cell r="D176" t="str">
            <v>0710262</v>
          </cell>
          <cell r="E176" t="str">
            <v>MATERIAS PRIMAS PLANTA</v>
          </cell>
          <cell r="F176" t="str">
            <v>1 PAQUETE</v>
          </cell>
          <cell r="G176">
            <v>500</v>
          </cell>
          <cell r="H176" t="str">
            <v>26/05/2020</v>
          </cell>
          <cell r="I176">
            <v>6050</v>
          </cell>
          <cell r="J176">
            <v>78650</v>
          </cell>
          <cell r="K176">
            <v>5000</v>
          </cell>
          <cell r="L176">
            <v>1.21</v>
          </cell>
          <cell r="M176" t="str">
            <v>Gramos</v>
          </cell>
        </row>
        <row r="177">
          <cell r="A177" t="str">
            <v>0710282</v>
          </cell>
          <cell r="B177">
            <v>5553</v>
          </cell>
          <cell r="C177" t="str">
            <v>GALLETA POZUELO ENTERA KILO</v>
          </cell>
          <cell r="D177" t="str">
            <v>0710282</v>
          </cell>
          <cell r="E177" t="str">
            <v>MATERIAS PRIMAS PLANTA</v>
          </cell>
          <cell r="F177" t="str">
            <v>1 KILO</v>
          </cell>
          <cell r="G177">
            <v>500</v>
          </cell>
          <cell r="H177" t="str">
            <v>15/06/2020</v>
          </cell>
          <cell r="I177">
            <v>1726.34</v>
          </cell>
          <cell r="J177">
            <v>9303669.4550000001</v>
          </cell>
          <cell r="K177">
            <v>1000</v>
          </cell>
          <cell r="L177">
            <v>1.72634</v>
          </cell>
          <cell r="M177" t="str">
            <v>Gramos</v>
          </cell>
        </row>
        <row r="178">
          <cell r="A178" t="str">
            <v>0710290</v>
          </cell>
          <cell r="B178">
            <v>5548</v>
          </cell>
          <cell r="C178" t="str">
            <v>PAPEL DE ARROZ (PAQ:36 UND)</v>
          </cell>
          <cell r="D178" t="str">
            <v>0710290</v>
          </cell>
          <cell r="E178" t="str">
            <v>MATERIAS PRIMAS PLANTA</v>
          </cell>
          <cell r="F178" t="str">
            <v>1 PAQUETE</v>
          </cell>
          <cell r="G178">
            <v>500</v>
          </cell>
          <cell r="H178" t="str">
            <v>15/06/2020</v>
          </cell>
          <cell r="I178">
            <v>1467.39</v>
          </cell>
          <cell r="J178">
            <v>961140.45</v>
          </cell>
          <cell r="K178">
            <v>36</v>
          </cell>
          <cell r="L178">
            <v>40.760833333333338</v>
          </cell>
          <cell r="M178" t="str">
            <v>Mililitros</v>
          </cell>
        </row>
        <row r="179">
          <cell r="A179" t="str">
            <v>710295</v>
          </cell>
          <cell r="B179">
            <v>5275</v>
          </cell>
          <cell r="C179" t="str">
            <v>BARQUILLO VETEAD CHOCOLAT (CAJA:420 UND)</v>
          </cell>
          <cell r="D179" t="str">
            <v>710295</v>
          </cell>
          <cell r="E179" t="str">
            <v>MATERIAS PRIMAS PLANTA</v>
          </cell>
          <cell r="F179" t="str">
            <v xml:space="preserve">1 CAJA </v>
          </cell>
          <cell r="G179">
            <v>500</v>
          </cell>
          <cell r="H179" t="str">
            <v>07/01/2020</v>
          </cell>
          <cell r="I179">
            <v>15740</v>
          </cell>
          <cell r="J179">
            <v>-31480</v>
          </cell>
          <cell r="K179">
            <v>420</v>
          </cell>
          <cell r="L179">
            <v>37.476190476190474</v>
          </cell>
          <cell r="M179" t="str">
            <v>Und</v>
          </cell>
        </row>
        <row r="180">
          <cell r="A180" t="str">
            <v>710305</v>
          </cell>
          <cell r="B180">
            <v>11347</v>
          </cell>
          <cell r="C180" t="str">
            <v>GALLETA DE CHOCOLATE KILO</v>
          </cell>
          <cell r="D180" t="str">
            <v>710305</v>
          </cell>
          <cell r="E180" t="str">
            <v>MATERIAS PRIMAS PLANTA</v>
          </cell>
          <cell r="F180" t="str">
            <v>1 KILO</v>
          </cell>
          <cell r="G180">
            <v>500</v>
          </cell>
          <cell r="H180" t="str">
            <v>01/06/2020</v>
          </cell>
          <cell r="I180">
            <v>1782</v>
          </cell>
          <cell r="J180">
            <v>761983.2</v>
          </cell>
          <cell r="K180">
            <v>1000</v>
          </cell>
          <cell r="L180">
            <v>1.782</v>
          </cell>
          <cell r="M180" t="str">
            <v>Gramos</v>
          </cell>
        </row>
        <row r="181">
          <cell r="A181" t="str">
            <v>720761</v>
          </cell>
          <cell r="B181">
            <v>13074</v>
          </cell>
          <cell r="C181" t="str">
            <v>RELLENO MANZANA CUBITOS (UND:19 LB)</v>
          </cell>
          <cell r="D181" t="str">
            <v>720761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08/02/2020</v>
          </cell>
          <cell r="I181">
            <v>26082</v>
          </cell>
          <cell r="J181">
            <v>288782</v>
          </cell>
          <cell r="K181">
            <v>8.61</v>
          </cell>
          <cell r="L181">
            <v>3029.268292682927</v>
          </cell>
          <cell r="M181" t="str">
            <v>Gramos</v>
          </cell>
        </row>
        <row r="182">
          <cell r="A182" t="str">
            <v>0810288</v>
          </cell>
          <cell r="B182">
            <v>5352</v>
          </cell>
          <cell r="C182" t="str">
            <v>JUGO DE NARANJA TB (CAJA:12 UND)</v>
          </cell>
          <cell r="D182" t="str">
            <v>0810288</v>
          </cell>
          <cell r="E182" t="str">
            <v>MATERIAS PRIMAS PLANTA</v>
          </cell>
          <cell r="F182" t="str">
            <v>1 CAJA</v>
          </cell>
          <cell r="G182">
            <v>500</v>
          </cell>
          <cell r="H182" t="str">
            <v>08/06/2020</v>
          </cell>
          <cell r="I182">
            <v>7853.54</v>
          </cell>
          <cell r="J182">
            <v>657558.06000000006</v>
          </cell>
          <cell r="K182">
            <v>12000</v>
          </cell>
          <cell r="L182">
            <v>0.65446166666666661</v>
          </cell>
          <cell r="M182" t="str">
            <v>Mililitros</v>
          </cell>
        </row>
        <row r="183">
          <cell r="A183" t="str">
            <v>0810306</v>
          </cell>
          <cell r="B183">
            <v>5309</v>
          </cell>
          <cell r="C183" t="str">
            <v>MIEL ABEJA BOTELLA (UND)</v>
          </cell>
          <cell r="D183" t="str">
            <v>0810306</v>
          </cell>
          <cell r="E183" t="str">
            <v>MATERIAS PRIMAS PLANTA</v>
          </cell>
          <cell r="F183" t="str">
            <v>1 UND</v>
          </cell>
          <cell r="G183">
            <v>500</v>
          </cell>
          <cell r="H183" t="str">
            <v>21/05/2020</v>
          </cell>
          <cell r="I183">
            <v>4471</v>
          </cell>
          <cell r="J183">
            <v>98362</v>
          </cell>
          <cell r="K183">
            <v>1</v>
          </cell>
          <cell r="L183">
            <v>4471</v>
          </cell>
          <cell r="M183" t="str">
            <v>Gramos</v>
          </cell>
        </row>
        <row r="184">
          <cell r="A184" t="str">
            <v>0906036</v>
          </cell>
          <cell r="B184">
            <v>5841</v>
          </cell>
          <cell r="C184" t="str">
            <v>PAPEL MANTEQUILLA (CAJA= 1000 UND)</v>
          </cell>
          <cell r="D184" t="str">
            <v>0906036</v>
          </cell>
          <cell r="E184" t="str">
            <v>EMPAQUES PLANTA</v>
          </cell>
          <cell r="F184" t="str">
            <v>1 CAJA</v>
          </cell>
          <cell r="G184">
            <v>500</v>
          </cell>
          <cell r="H184" t="str">
            <v>26/05/2020</v>
          </cell>
          <cell r="I184">
            <v>32000</v>
          </cell>
          <cell r="J184">
            <v>320000</v>
          </cell>
          <cell r="K184">
            <v>1000</v>
          </cell>
          <cell r="L184">
            <v>32</v>
          </cell>
          <cell r="M184" t="str">
            <v>Und</v>
          </cell>
        </row>
        <row r="185">
          <cell r="A185" t="str">
            <v>906288</v>
          </cell>
          <cell r="B185">
            <v>5422</v>
          </cell>
          <cell r="C185" t="str">
            <v>CILINDRO CHANTILLY (CAJA=10UND)</v>
          </cell>
          <cell r="D185" t="str">
            <v>906288</v>
          </cell>
          <cell r="E185" t="str">
            <v>MATERIAS PRIMAS PLANTA</v>
          </cell>
          <cell r="F185" t="str">
            <v>1 CAJA</v>
          </cell>
          <cell r="G185">
            <v>500</v>
          </cell>
          <cell r="H185" t="str">
            <v>19/05/2020</v>
          </cell>
          <cell r="I185">
            <v>1</v>
          </cell>
          <cell r="J185">
            <v>352800</v>
          </cell>
          <cell r="K185">
            <v>10</v>
          </cell>
          <cell r="L185">
            <v>0.1</v>
          </cell>
          <cell r="M185" t="str">
            <v>Mililitros</v>
          </cell>
        </row>
        <row r="186">
          <cell r="A186" t="str">
            <v>910311</v>
          </cell>
          <cell r="B186">
            <v>5529</v>
          </cell>
          <cell r="C186" t="str">
            <v>ACEITE DE OLIVA PLAST (UND:5 L)</v>
          </cell>
          <cell r="D186" t="str">
            <v>910311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13/06/2020</v>
          </cell>
          <cell r="I186">
            <v>9325</v>
          </cell>
          <cell r="J186">
            <v>3159855</v>
          </cell>
          <cell r="K186">
            <v>5000</v>
          </cell>
          <cell r="L186">
            <v>1.865</v>
          </cell>
          <cell r="M186" t="str">
            <v>Mililitros</v>
          </cell>
        </row>
        <row r="187">
          <cell r="A187" t="str">
            <v>0910322</v>
          </cell>
          <cell r="B187">
            <v>5287</v>
          </cell>
          <cell r="C187" t="str">
            <v>VINAGRE BLANCO (UND:3.785 L)</v>
          </cell>
          <cell r="D187" t="str">
            <v>0910322</v>
          </cell>
          <cell r="E187" t="str">
            <v>MATERIAS PRIMAS PLANTA</v>
          </cell>
          <cell r="F187" t="str">
            <v>1 UND</v>
          </cell>
          <cell r="G187">
            <v>500</v>
          </cell>
          <cell r="H187" t="str">
            <v>12/06/2020</v>
          </cell>
          <cell r="I187">
            <v>3230</v>
          </cell>
          <cell r="J187">
            <v>532950</v>
          </cell>
          <cell r="K187">
            <v>3785</v>
          </cell>
          <cell r="L187">
            <v>0.8533685601056803</v>
          </cell>
          <cell r="M187" t="str">
            <v>Mililitros</v>
          </cell>
        </row>
        <row r="188">
          <cell r="A188" t="str">
            <v>0910339</v>
          </cell>
          <cell r="B188">
            <v>5235</v>
          </cell>
          <cell r="C188" t="str">
            <v>VINAGRE VINO DE ARROZ (UND:3.785)</v>
          </cell>
          <cell r="D188" t="str">
            <v>0910339</v>
          </cell>
          <cell r="E188" t="str">
            <v>MATERIAS PRIMAS PLANTA</v>
          </cell>
          <cell r="F188" t="str">
            <v>1 UND</v>
          </cell>
          <cell r="G188">
            <v>500</v>
          </cell>
          <cell r="H188" t="str">
            <v>06/06/2020</v>
          </cell>
          <cell r="I188">
            <v>8378.4</v>
          </cell>
          <cell r="J188">
            <v>135101.70000000001</v>
          </cell>
          <cell r="K188">
            <v>3785</v>
          </cell>
          <cell r="L188">
            <v>2.213579920739762</v>
          </cell>
          <cell r="M188" t="str">
            <v>Mililitros</v>
          </cell>
        </row>
        <row r="189">
          <cell r="A189" t="str">
            <v>0910341</v>
          </cell>
          <cell r="B189">
            <v>12771</v>
          </cell>
          <cell r="C189" t="str">
            <v>SALSA INGLESA LIZANO (UND:3.7 L)</v>
          </cell>
          <cell r="D189" t="str">
            <v>0910341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15/06/2020</v>
          </cell>
          <cell r="I189">
            <v>7303</v>
          </cell>
          <cell r="J189">
            <v>2786574</v>
          </cell>
          <cell r="K189">
            <v>3700</v>
          </cell>
          <cell r="L189">
            <v>1.9737837837837837</v>
          </cell>
          <cell r="M189" t="str">
            <v>Mililitros</v>
          </cell>
        </row>
        <row r="190">
          <cell r="A190" t="str">
            <v>0910351</v>
          </cell>
          <cell r="B190">
            <v>5279</v>
          </cell>
          <cell r="C190" t="str">
            <v>SALSA CHILE AJI (PAQ:1 KILO)</v>
          </cell>
          <cell r="D190" t="str">
            <v>0910351</v>
          </cell>
          <cell r="E190" t="str">
            <v>MATERIAS PRIMAS PLANTA</v>
          </cell>
          <cell r="F190" t="str">
            <v>1 PAQUETE</v>
          </cell>
          <cell r="G190">
            <v>500</v>
          </cell>
          <cell r="H190" t="str">
            <v>05/06/2020</v>
          </cell>
          <cell r="I190">
            <v>5898.23</v>
          </cell>
          <cell r="J190">
            <v>412876.1</v>
          </cell>
          <cell r="K190">
            <v>1000</v>
          </cell>
          <cell r="L190">
            <v>5.8982299999999999</v>
          </cell>
          <cell r="M190" t="str">
            <v>Gramos</v>
          </cell>
        </row>
        <row r="191">
          <cell r="A191" t="str">
            <v>1010008</v>
          </cell>
          <cell r="B191">
            <v>7079</v>
          </cell>
          <cell r="C191" t="str">
            <v>VINAGRE BALSAMICO ROLAND (UND:5 L)</v>
          </cell>
          <cell r="D191" t="str">
            <v>1010008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23/03/2020</v>
          </cell>
          <cell r="I191">
            <v>13600</v>
          </cell>
          <cell r="J191">
            <v>136000</v>
          </cell>
          <cell r="K191">
            <v>5000</v>
          </cell>
          <cell r="L191">
            <v>2.72</v>
          </cell>
          <cell r="M191" t="str">
            <v>Mililitros</v>
          </cell>
        </row>
        <row r="192">
          <cell r="A192" t="str">
            <v>1010009</v>
          </cell>
          <cell r="B192">
            <v>5316</v>
          </cell>
          <cell r="C192" t="str">
            <v>CHILE CHIPOTLE COSTEÑA (UND:2.9 K)</v>
          </cell>
          <cell r="D192" t="str">
            <v>1010009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12/06/2020</v>
          </cell>
          <cell r="I192">
            <v>10930</v>
          </cell>
          <cell r="J192">
            <v>3115050</v>
          </cell>
          <cell r="K192">
            <v>2900</v>
          </cell>
          <cell r="L192">
            <v>3.7689655172413792</v>
          </cell>
          <cell r="M192" t="str">
            <v>Gramos</v>
          </cell>
        </row>
        <row r="193">
          <cell r="A193" t="str">
            <v>1010047</v>
          </cell>
          <cell r="B193">
            <v>13326</v>
          </cell>
          <cell r="C193" t="str">
            <v>SIROPE CHOCOLATE HERSHEY (UND:24 ONZ)</v>
          </cell>
          <cell r="D193" t="str">
            <v>1010047</v>
          </cell>
          <cell r="E193" t="str">
            <v>MATERIAS PRIMAS PLANTA</v>
          </cell>
          <cell r="F193" t="str">
            <v>1 UND</v>
          </cell>
          <cell r="G193">
            <v>500</v>
          </cell>
          <cell r="H193" t="str">
            <v>25/02/2020</v>
          </cell>
          <cell r="I193">
            <v>1691</v>
          </cell>
          <cell r="J193">
            <v>59185</v>
          </cell>
          <cell r="K193">
            <v>3785</v>
          </cell>
          <cell r="L193" t="e">
            <v>#DIV/0!</v>
          </cell>
          <cell r="M193" t="str">
            <v>Gramos</v>
          </cell>
        </row>
        <row r="194">
          <cell r="A194" t="str">
            <v>01011701</v>
          </cell>
          <cell r="B194">
            <v>11574</v>
          </cell>
          <cell r="C194" t="str">
            <v>PAPA PREFRITA CORTE RECTO 5/16" NG 6/5 L</v>
          </cell>
          <cell r="D194" t="str">
            <v>01011701</v>
          </cell>
          <cell r="E194" t="str">
            <v>MATERIAS PRIMAS PLANTA</v>
          </cell>
          <cell r="F194" t="str">
            <v>1 CAJA</v>
          </cell>
          <cell r="G194">
            <v>500</v>
          </cell>
          <cell r="H194" t="str">
            <v>10/12/2019</v>
          </cell>
          <cell r="I194">
            <v>15161</v>
          </cell>
          <cell r="J194">
            <v>15161</v>
          </cell>
          <cell r="K194">
            <v>2232</v>
          </cell>
          <cell r="L194" t="e">
            <v>#DIV/0!</v>
          </cell>
          <cell r="M194" t="str">
            <v>Gramos</v>
          </cell>
        </row>
        <row r="195">
          <cell r="A195" t="str">
            <v>1012301</v>
          </cell>
          <cell r="B195">
            <v>5335</v>
          </cell>
          <cell r="C195" t="str">
            <v>VINO TINTO PETER CABERNET SAUV (UND:5L)</v>
          </cell>
          <cell r="D195" t="str">
            <v>1012301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20/03/2020</v>
          </cell>
          <cell r="I195">
            <v>16689.001929999999</v>
          </cell>
          <cell r="J195">
            <v>656624.36562000006</v>
          </cell>
          <cell r="K195">
            <v>5000</v>
          </cell>
          <cell r="L195">
            <v>3.3378003859999996</v>
          </cell>
          <cell r="M195" t="str">
            <v>Mililitros</v>
          </cell>
        </row>
        <row r="196">
          <cell r="A196" t="str">
            <v>1012341</v>
          </cell>
          <cell r="B196">
            <v>5342</v>
          </cell>
          <cell r="C196" t="str">
            <v>BAILEYS (BOTELLA=1 LITRO)</v>
          </cell>
          <cell r="D196" t="str">
            <v>1012341</v>
          </cell>
          <cell r="E196" t="str">
            <v>MATERIAS PRIMAS PLANTA</v>
          </cell>
          <cell r="F196" t="str">
            <v>1 UND</v>
          </cell>
          <cell r="G196">
            <v>500</v>
          </cell>
          <cell r="H196" t="str">
            <v>26/05/2020</v>
          </cell>
          <cell r="I196">
            <v>12485.44</v>
          </cell>
          <cell r="J196">
            <v>17123097.48</v>
          </cell>
          <cell r="K196">
            <v>1000</v>
          </cell>
          <cell r="L196">
            <v>12.485440000000001</v>
          </cell>
          <cell r="M196" t="str">
            <v>Mililitros</v>
          </cell>
        </row>
        <row r="197">
          <cell r="A197" t="str">
            <v>1012431</v>
          </cell>
          <cell r="B197">
            <v>5334</v>
          </cell>
          <cell r="C197" t="str">
            <v>VINO BLANCO PETER CABERNET SAU (UND:5L)</v>
          </cell>
          <cell r="D197" t="str">
            <v>1012431</v>
          </cell>
          <cell r="E197" t="str">
            <v>MATERIAS PRIMAS PLANTA</v>
          </cell>
          <cell r="F197" t="str">
            <v>1 UND</v>
          </cell>
          <cell r="G197">
            <v>500</v>
          </cell>
          <cell r="H197" t="str">
            <v>18/05/2020</v>
          </cell>
          <cell r="I197">
            <v>16689.001929999999</v>
          </cell>
          <cell r="J197">
            <v>3840762.8402100001</v>
          </cell>
          <cell r="K197">
            <v>5000</v>
          </cell>
          <cell r="L197">
            <v>3.3378003859999996</v>
          </cell>
          <cell r="M197" t="str">
            <v>Mililitros</v>
          </cell>
        </row>
        <row r="198">
          <cell r="A198" t="str">
            <v>1058121</v>
          </cell>
          <cell r="B198">
            <v>15013</v>
          </cell>
          <cell r="C198" t="str">
            <v>MORA CONG INPAK (39/80 GRS)</v>
          </cell>
          <cell r="D198" t="str">
            <v>1058121</v>
          </cell>
          <cell r="E198" t="str">
            <v>MATERIAS PRIMAS PLANTA</v>
          </cell>
          <cell r="F198" t="str">
            <v>1 PAQUETE</v>
          </cell>
          <cell r="G198">
            <v>500</v>
          </cell>
          <cell r="H198" t="str">
            <v>17/12/2019</v>
          </cell>
          <cell r="I198">
            <v>10344</v>
          </cell>
          <cell r="J198">
            <v>506856</v>
          </cell>
          <cell r="K198">
            <v>3120</v>
          </cell>
          <cell r="L198">
            <v>3.3153846153846156</v>
          </cell>
          <cell r="M198" t="str">
            <v>Gramos</v>
          </cell>
        </row>
        <row r="199">
          <cell r="A199" t="str">
            <v>1070002</v>
          </cell>
          <cell r="B199">
            <v>8075</v>
          </cell>
          <cell r="C199" t="str">
            <v>CHOCOLATE TRIAN OLEA  PEQ (CAJA:250 UND)</v>
          </cell>
          <cell r="D199" t="str">
            <v>1070002</v>
          </cell>
          <cell r="E199" t="str">
            <v>MATERIAS PRIMAS PLANTA</v>
          </cell>
          <cell r="F199" t="str">
            <v>1 CAJA</v>
          </cell>
          <cell r="G199">
            <v>500</v>
          </cell>
          <cell r="H199" t="str">
            <v>12/06/2020</v>
          </cell>
          <cell r="I199">
            <v>20768</v>
          </cell>
          <cell r="J199">
            <v>2352183.6800000002</v>
          </cell>
          <cell r="K199">
            <v>250</v>
          </cell>
          <cell r="L199">
            <v>83.072000000000003</v>
          </cell>
          <cell r="M199" t="str">
            <v>Mililitros</v>
          </cell>
        </row>
        <row r="200">
          <cell r="A200" t="str">
            <v>1110354</v>
          </cell>
          <cell r="B200">
            <v>5295</v>
          </cell>
          <cell r="C200" t="str">
            <v>ALCAPARRA (UND:944g)</v>
          </cell>
          <cell r="D200" t="str">
            <v>1110354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12/06/2020</v>
          </cell>
          <cell r="I200">
            <v>3785</v>
          </cell>
          <cell r="J200">
            <v>589499</v>
          </cell>
          <cell r="K200">
            <v>944</v>
          </cell>
          <cell r="L200">
            <v>4.0095338983050848</v>
          </cell>
          <cell r="M200" t="str">
            <v>Gramos</v>
          </cell>
        </row>
        <row r="201">
          <cell r="A201" t="str">
            <v>1110363</v>
          </cell>
          <cell r="B201">
            <v>12772</v>
          </cell>
          <cell r="C201" t="str">
            <v>CEREZAS ROJAS C/TALLO (UND:1/2 g)</v>
          </cell>
          <cell r="D201" t="str">
            <v>1110363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09/06/2020</v>
          </cell>
          <cell r="I201">
            <v>10425</v>
          </cell>
          <cell r="J201">
            <v>145818</v>
          </cell>
          <cell r="K201">
            <v>2300</v>
          </cell>
          <cell r="L201">
            <v>4.5326086956521738</v>
          </cell>
          <cell r="M201" t="str">
            <v>Gramos</v>
          </cell>
        </row>
        <row r="202">
          <cell r="A202" t="str">
            <v>1110377</v>
          </cell>
          <cell r="B202">
            <v>5319</v>
          </cell>
          <cell r="C202" t="str">
            <v>MOSTAZA FRENCH (UND:2.98 L)</v>
          </cell>
          <cell r="D202" t="str">
            <v>1110377</v>
          </cell>
          <cell r="E202" t="str">
            <v>MATERIAS PRIMAS PLANTA</v>
          </cell>
          <cell r="F202" t="str">
            <v>1 UND</v>
          </cell>
          <cell r="G202">
            <v>500</v>
          </cell>
          <cell r="H202" t="str">
            <v>03/06/2020</v>
          </cell>
          <cell r="I202">
            <v>3859</v>
          </cell>
          <cell r="J202">
            <v>718858</v>
          </cell>
          <cell r="K202">
            <v>2980</v>
          </cell>
          <cell r="L202">
            <v>1.2949664429530201</v>
          </cell>
          <cell r="M202" t="str">
            <v>Mililitros</v>
          </cell>
        </row>
        <row r="203">
          <cell r="A203" t="str">
            <v>1110378</v>
          </cell>
          <cell r="B203">
            <v>5246</v>
          </cell>
          <cell r="C203" t="str">
            <v>TOMATE LICUADO LATA (UND: 4.1 K)</v>
          </cell>
          <cell r="D203" t="str">
            <v>1110378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25/05/2020</v>
          </cell>
          <cell r="I203">
            <v>6066.2</v>
          </cell>
          <cell r="J203">
            <v>9699853.8000000007</v>
          </cell>
          <cell r="K203">
            <v>4100</v>
          </cell>
          <cell r="L203">
            <v>1.4795609756097561</v>
          </cell>
          <cell r="M203" t="str">
            <v>Gramos</v>
          </cell>
        </row>
        <row r="204">
          <cell r="A204" t="str">
            <v>1110380</v>
          </cell>
          <cell r="B204">
            <v>5321</v>
          </cell>
          <cell r="C204" t="str">
            <v>PEPINILLOS REBANADOS (GALON)</v>
          </cell>
          <cell r="D204" t="str">
            <v>1110380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17/03/2020</v>
          </cell>
          <cell r="I204">
            <v>4226</v>
          </cell>
          <cell r="J204">
            <v>54866</v>
          </cell>
          <cell r="K204">
            <v>3785</v>
          </cell>
          <cell r="L204">
            <v>1.1165125495376487</v>
          </cell>
          <cell r="M204" t="str">
            <v>Gramos</v>
          </cell>
        </row>
        <row r="205">
          <cell r="A205" t="str">
            <v>1110386</v>
          </cell>
          <cell r="B205">
            <v>5322</v>
          </cell>
          <cell r="C205" t="str">
            <v>TABASCO 62g (CAJA:36 UND)</v>
          </cell>
          <cell r="D205" t="str">
            <v>1110386</v>
          </cell>
          <cell r="E205" t="str">
            <v>MATERIAS PRIMAS PLANTA</v>
          </cell>
          <cell r="F205" t="str">
            <v>1 CAJA</v>
          </cell>
          <cell r="G205">
            <v>500</v>
          </cell>
          <cell r="H205" t="str">
            <v>18/05/2020</v>
          </cell>
          <cell r="I205">
            <v>15669</v>
          </cell>
          <cell r="J205">
            <v>125352</v>
          </cell>
          <cell r="K205">
            <v>2232</v>
          </cell>
          <cell r="L205">
            <v>7.020161290322581</v>
          </cell>
          <cell r="M205" t="str">
            <v>Gramos</v>
          </cell>
        </row>
        <row r="206">
          <cell r="A206" t="str">
            <v>1110393</v>
          </cell>
          <cell r="B206">
            <v>5323</v>
          </cell>
          <cell r="C206" t="str">
            <v>PIÑA EN RODAJAS (UND: 3 K)</v>
          </cell>
          <cell r="D206" t="str">
            <v>1110393</v>
          </cell>
          <cell r="E206" t="str">
            <v>MATERIAS PRIMAS PLANTA</v>
          </cell>
          <cell r="F206" t="str">
            <v>1 UND</v>
          </cell>
          <cell r="G206">
            <v>500</v>
          </cell>
          <cell r="H206" t="str">
            <v>12/06/2020</v>
          </cell>
          <cell r="I206">
            <v>3061</v>
          </cell>
          <cell r="J206">
            <v>306100</v>
          </cell>
          <cell r="K206">
            <v>1600</v>
          </cell>
          <cell r="L206">
            <v>1.913125</v>
          </cell>
          <cell r="M206" t="str">
            <v>Gramos</v>
          </cell>
        </row>
        <row r="207">
          <cell r="A207" t="str">
            <v>1110406</v>
          </cell>
          <cell r="B207">
            <v>5394</v>
          </cell>
          <cell r="C207" t="str">
            <v>ATUN LOMO TROZOS AGUA (UND:1 K)</v>
          </cell>
          <cell r="D207" t="str">
            <v>1110406</v>
          </cell>
          <cell r="E207" t="str">
            <v>MATERIAS PRIMAS PLANTA</v>
          </cell>
          <cell r="F207" t="str">
            <v>1 UND</v>
          </cell>
          <cell r="G207">
            <v>500</v>
          </cell>
          <cell r="H207" t="str">
            <v>12/06/2020</v>
          </cell>
          <cell r="I207">
            <v>3839</v>
          </cell>
          <cell r="J207">
            <v>410773</v>
          </cell>
          <cell r="K207">
            <v>1000</v>
          </cell>
          <cell r="L207">
            <v>3.839</v>
          </cell>
          <cell r="M207" t="str">
            <v>Gramos</v>
          </cell>
        </row>
        <row r="208">
          <cell r="A208" t="str">
            <v>1110407</v>
          </cell>
          <cell r="B208">
            <v>5513</v>
          </cell>
          <cell r="C208" t="str">
            <v>VEGETALES MIXTOS LAMB WESTON (PAQ: 1 K)</v>
          </cell>
          <cell r="D208" t="str">
            <v>1110407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07/05/2020</v>
          </cell>
          <cell r="I208">
            <v>1755</v>
          </cell>
          <cell r="J208">
            <v>54017</v>
          </cell>
          <cell r="K208">
            <v>1000</v>
          </cell>
          <cell r="L208">
            <v>1.7549999999999999</v>
          </cell>
          <cell r="M208" t="str">
            <v>Gramos</v>
          </cell>
        </row>
        <row r="209">
          <cell r="A209" t="str">
            <v>1110408</v>
          </cell>
          <cell r="B209">
            <v>5514</v>
          </cell>
          <cell r="C209" t="str">
            <v>GUISANTES LAMB WESTON (PAQ: 1 K)</v>
          </cell>
          <cell r="D209" t="str">
            <v>1110408</v>
          </cell>
          <cell r="E209" t="str">
            <v>MATERIAS PRIMAS PLANTA</v>
          </cell>
          <cell r="F209" t="str">
            <v>1 PAQUETE</v>
          </cell>
          <cell r="G209">
            <v>500</v>
          </cell>
          <cell r="H209" t="str">
            <v>09/06/2020</v>
          </cell>
          <cell r="I209">
            <v>1344</v>
          </cell>
          <cell r="J209">
            <v>693946</v>
          </cell>
          <cell r="K209">
            <v>1000</v>
          </cell>
          <cell r="L209">
            <v>1.3440000000000001</v>
          </cell>
          <cell r="M209" t="str">
            <v>Gramos</v>
          </cell>
        </row>
        <row r="210">
          <cell r="A210" t="str">
            <v>1110414</v>
          </cell>
          <cell r="B210">
            <v>5602</v>
          </cell>
          <cell r="C210" t="str">
            <v>LECHE EVAPORADA (UND: 1 L)</v>
          </cell>
          <cell r="D210" t="str">
            <v>1110414</v>
          </cell>
          <cell r="E210" t="str">
            <v>MATERIAS PRIMAS PLANTA</v>
          </cell>
          <cell r="F210" t="str">
            <v>1 UND</v>
          </cell>
          <cell r="G210">
            <v>500</v>
          </cell>
          <cell r="H210" t="str">
            <v>15/06/2020</v>
          </cell>
          <cell r="I210">
            <v>1786</v>
          </cell>
          <cell r="J210">
            <v>47780858</v>
          </cell>
          <cell r="K210">
            <v>1000</v>
          </cell>
          <cell r="L210">
            <v>1.5181</v>
          </cell>
          <cell r="M210" t="str">
            <v>Mililitros</v>
          </cell>
        </row>
        <row r="211">
          <cell r="A211" t="str">
            <v>1110415</v>
          </cell>
          <cell r="B211">
            <v>5515</v>
          </cell>
          <cell r="C211" t="str">
            <v>PETI PIOS CON ZANAHORIA (PAQ: 1 K)</v>
          </cell>
          <cell r="D211" t="str">
            <v>1110415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28/05/2020</v>
          </cell>
          <cell r="I211">
            <v>1318</v>
          </cell>
          <cell r="J211">
            <v>1312230</v>
          </cell>
          <cell r="K211">
            <v>1000</v>
          </cell>
          <cell r="L211">
            <v>1.3180000000000001</v>
          </cell>
          <cell r="M211" t="str">
            <v>Gramos</v>
          </cell>
        </row>
        <row r="212">
          <cell r="A212" t="str">
            <v>1110418</v>
          </cell>
          <cell r="B212">
            <v>5237</v>
          </cell>
          <cell r="C212" t="str">
            <v>MOSTAZA DIJON GRANULADA (UND:820ML)</v>
          </cell>
          <cell r="D212" t="str">
            <v>1110418</v>
          </cell>
          <cell r="E212" t="str">
            <v>MATERIAS PRIMAS PLANTA</v>
          </cell>
          <cell r="F212" t="str">
            <v>1 UND</v>
          </cell>
          <cell r="G212">
            <v>500</v>
          </cell>
          <cell r="H212" t="str">
            <v>13/06/2020</v>
          </cell>
          <cell r="I212">
            <v>4068.3719999999998</v>
          </cell>
          <cell r="J212">
            <v>398505.53399999999</v>
          </cell>
          <cell r="K212">
            <v>820</v>
          </cell>
          <cell r="L212">
            <v>4.961429268292683</v>
          </cell>
          <cell r="M212" t="str">
            <v>Gramos</v>
          </cell>
        </row>
        <row r="213">
          <cell r="A213" t="str">
            <v>1110419</v>
          </cell>
          <cell r="B213">
            <v>7089</v>
          </cell>
          <cell r="C213" t="str">
            <v>ANCHOAS FILETAEADAS EN ACEITE (UND:700g)</v>
          </cell>
          <cell r="D213" t="str">
            <v>1110419</v>
          </cell>
          <cell r="E213" t="str">
            <v>MATERIAS PRIMAS PLANTA</v>
          </cell>
          <cell r="F213" t="str">
            <v>1 UND</v>
          </cell>
          <cell r="G213">
            <v>500</v>
          </cell>
          <cell r="H213" t="str">
            <v>30/05/2020</v>
          </cell>
          <cell r="I213">
            <v>13044.78</v>
          </cell>
          <cell r="J213">
            <v>577387.57999999996</v>
          </cell>
          <cell r="K213">
            <v>700</v>
          </cell>
          <cell r="L213">
            <v>18.635400000000001</v>
          </cell>
          <cell r="M213" t="str">
            <v>Gramos</v>
          </cell>
        </row>
        <row r="214">
          <cell r="A214" t="str">
            <v>1112431</v>
          </cell>
          <cell r="B214">
            <v>5603</v>
          </cell>
          <cell r="C214" t="str">
            <v>MANJAR LECHE CONDENSADA (PAQ: 4.5 K)</v>
          </cell>
          <cell r="D214" t="str">
            <v>1112431</v>
          </cell>
          <cell r="E214" t="str">
            <v>MATERIAS PRIMAS PLANTA</v>
          </cell>
          <cell r="F214" t="str">
            <v>1 PAQUETE</v>
          </cell>
          <cell r="G214">
            <v>500</v>
          </cell>
          <cell r="H214" t="str">
            <v>15/06/2020</v>
          </cell>
          <cell r="I214">
            <v>11340</v>
          </cell>
          <cell r="J214">
            <v>177602244</v>
          </cell>
          <cell r="K214">
            <v>4500</v>
          </cell>
          <cell r="L214">
            <v>2.1419999999999999</v>
          </cell>
          <cell r="M214" t="str">
            <v>Gramos</v>
          </cell>
        </row>
        <row r="215">
          <cell r="A215" t="str">
            <v>1112441</v>
          </cell>
          <cell r="B215">
            <v>11801</v>
          </cell>
          <cell r="C215" t="str">
            <v>ACEITUNA  C/PIMIENTO (UND:1,7 Kg)</v>
          </cell>
          <cell r="D215" t="str">
            <v>1112441</v>
          </cell>
          <cell r="E215" t="str">
            <v>MATERIAS PRIMAS PLANTA</v>
          </cell>
          <cell r="F215" t="str">
            <v>1 UND</v>
          </cell>
          <cell r="G215">
            <v>500</v>
          </cell>
          <cell r="H215" t="str">
            <v>14/12/2019</v>
          </cell>
          <cell r="I215">
            <v>6706</v>
          </cell>
          <cell r="J215">
            <v>523068</v>
          </cell>
          <cell r="K215">
            <v>1700</v>
          </cell>
          <cell r="L215">
            <v>3.9447058823529413</v>
          </cell>
          <cell r="M215" t="str">
            <v>Gramos</v>
          </cell>
        </row>
        <row r="216">
          <cell r="A216" t="str">
            <v>1112444</v>
          </cell>
          <cell r="B216">
            <v>5326</v>
          </cell>
          <cell r="C216" t="str">
            <v>FRIJOL MOLIDO NEGRO D PEDRO (UND=2.2 K)</v>
          </cell>
          <cell r="D216" t="str">
            <v>1112444</v>
          </cell>
          <cell r="E216" t="str">
            <v>MATERIAS PRIMAS PLANTA</v>
          </cell>
          <cell r="F216" t="str">
            <v>1 UND</v>
          </cell>
          <cell r="G216">
            <v>500</v>
          </cell>
          <cell r="H216" t="str">
            <v>12/06/2020</v>
          </cell>
          <cell r="I216">
            <v>1908</v>
          </cell>
          <cell r="J216">
            <v>1122011</v>
          </cell>
          <cell r="K216">
            <v>2200</v>
          </cell>
          <cell r="L216">
            <v>0.86727272727272731</v>
          </cell>
          <cell r="M216" t="str">
            <v>Gramos</v>
          </cell>
        </row>
        <row r="217">
          <cell r="A217" t="str">
            <v>1160001</v>
          </cell>
          <cell r="B217">
            <v>8142</v>
          </cell>
          <cell r="C217" t="str">
            <v>GOMA XANTAN (KILO)</v>
          </cell>
          <cell r="D217" t="str">
            <v>1160001</v>
          </cell>
          <cell r="E217" t="str">
            <v>MATERIAS PRIMAS PLANTA</v>
          </cell>
          <cell r="F217" t="str">
            <v>1 KILOGRAMOS</v>
          </cell>
          <cell r="G217">
            <v>500</v>
          </cell>
          <cell r="H217" t="str">
            <v>05/06/2020</v>
          </cell>
          <cell r="I217">
            <v>3224.29</v>
          </cell>
          <cell r="J217">
            <v>48030.55</v>
          </cell>
          <cell r="K217">
            <v>1000</v>
          </cell>
          <cell r="L217">
            <v>3.2242899999999999</v>
          </cell>
          <cell r="M217" t="str">
            <v>Gramos</v>
          </cell>
        </row>
        <row r="218">
          <cell r="A218" t="str">
            <v>1200003</v>
          </cell>
          <cell r="B218">
            <v>7096</v>
          </cell>
          <cell r="C218" t="str">
            <v>CHOCOLATE OSCURO BLOSSOMS (KILO)</v>
          </cell>
          <cell r="D218" t="str">
            <v>1200003</v>
          </cell>
          <cell r="E218" t="str">
            <v>MATERIAS PRIMAS PLANTA</v>
          </cell>
          <cell r="F218" t="str">
            <v xml:space="preserve">1 KILO </v>
          </cell>
          <cell r="G218">
            <v>500</v>
          </cell>
          <cell r="H218" t="str">
            <v>15/06/2020</v>
          </cell>
          <cell r="I218">
            <v>12324</v>
          </cell>
          <cell r="J218">
            <v>27309984</v>
          </cell>
          <cell r="K218">
            <v>1000</v>
          </cell>
          <cell r="L218">
            <v>12.324</v>
          </cell>
          <cell r="M218" t="str">
            <v>Gramos</v>
          </cell>
        </row>
        <row r="219">
          <cell r="A219" t="str">
            <v>1210386</v>
          </cell>
          <cell r="B219">
            <v>5324</v>
          </cell>
          <cell r="C219" t="str">
            <v>COBERTURA CHOCOLATE LECHE (PAQ:5 K)</v>
          </cell>
          <cell r="D219" t="str">
            <v>1210386</v>
          </cell>
          <cell r="E219" t="str">
            <v>MATERIAS PRIMAS PLANTA</v>
          </cell>
          <cell r="F219" t="str">
            <v>1 SACO</v>
          </cell>
          <cell r="G219">
            <v>500</v>
          </cell>
          <cell r="H219" t="str">
            <v>07/05/2020</v>
          </cell>
          <cell r="I219">
            <v>22340</v>
          </cell>
          <cell r="J219">
            <v>4088220</v>
          </cell>
          <cell r="K219">
            <v>5000</v>
          </cell>
          <cell r="L219">
            <v>4.468</v>
          </cell>
          <cell r="M219" t="str">
            <v>Gramos</v>
          </cell>
        </row>
        <row r="220">
          <cell r="A220" t="str">
            <v>1210387</v>
          </cell>
          <cell r="B220">
            <v>5325</v>
          </cell>
          <cell r="C220" t="str">
            <v>COBERTURA CHOCOLATE BLANCO (PAQ:5 K)</v>
          </cell>
          <cell r="D220" t="str">
            <v>1210387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15/06/2020</v>
          </cell>
          <cell r="I220">
            <v>15065</v>
          </cell>
          <cell r="J220">
            <v>12127980</v>
          </cell>
          <cell r="K220">
            <v>4500</v>
          </cell>
          <cell r="L220">
            <v>3.347777777777778</v>
          </cell>
          <cell r="M220" t="str">
            <v>Gramos</v>
          </cell>
        </row>
        <row r="221">
          <cell r="A221" t="str">
            <v>1210393</v>
          </cell>
          <cell r="B221">
            <v>5526</v>
          </cell>
          <cell r="C221" t="str">
            <v>MARGARINA MULTIUSO (CAJA: 25 k)</v>
          </cell>
          <cell r="D221" t="str">
            <v>1210393</v>
          </cell>
          <cell r="E221" t="str">
            <v>MATERIAS PRIMAS PLANTA</v>
          </cell>
          <cell r="F221" t="str">
            <v>1 CAJA</v>
          </cell>
          <cell r="G221">
            <v>500</v>
          </cell>
          <cell r="H221" t="str">
            <v>15/06/2020</v>
          </cell>
          <cell r="I221">
            <v>26675</v>
          </cell>
          <cell r="J221">
            <v>29193952</v>
          </cell>
          <cell r="K221">
            <v>25000</v>
          </cell>
          <cell r="L221">
            <v>1.0669999999999999</v>
          </cell>
          <cell r="M221" t="str">
            <v>Gramos</v>
          </cell>
        </row>
        <row r="222">
          <cell r="A222" t="str">
            <v>1210394</v>
          </cell>
          <cell r="B222">
            <v>11327</v>
          </cell>
          <cell r="C222" t="str">
            <v>CHOCOLATE BLANCO BELCOLAD (PAQ:2.5 K)</v>
          </cell>
          <cell r="D222" t="str">
            <v>1210394</v>
          </cell>
          <cell r="E222" t="str">
            <v>MATERIAS PRIMAS PLANTA</v>
          </cell>
          <cell r="F222" t="str">
            <v>1 PAQ</v>
          </cell>
          <cell r="G222">
            <v>500</v>
          </cell>
          <cell r="H222" t="str">
            <v>27/02/2020</v>
          </cell>
          <cell r="I222">
            <v>15660</v>
          </cell>
          <cell r="J222">
            <v>-250560</v>
          </cell>
          <cell r="K222">
            <v>2500</v>
          </cell>
          <cell r="L222">
            <v>6.2640000000000002</v>
          </cell>
          <cell r="M222" t="str">
            <v>Gramos</v>
          </cell>
        </row>
        <row r="223">
          <cell r="A223" t="str">
            <v>1210396</v>
          </cell>
          <cell r="B223">
            <v>11328</v>
          </cell>
          <cell r="C223" t="str">
            <v>CHOCOLATE LECHE BELCOLADE (PAQ:2.5 K)</v>
          </cell>
          <cell r="D223" t="str">
            <v>1210396</v>
          </cell>
          <cell r="E223" t="str">
            <v>MATERIAS PRIMAS PLANTA</v>
          </cell>
          <cell r="F223" t="str">
            <v>1 PAQUETE</v>
          </cell>
          <cell r="G223">
            <v>500</v>
          </cell>
          <cell r="H223" t="str">
            <v>03/06/2020</v>
          </cell>
          <cell r="I223">
            <v>5998.3140000000003</v>
          </cell>
          <cell r="J223">
            <v>835920.09600000002</v>
          </cell>
          <cell r="K223">
            <v>2500</v>
          </cell>
          <cell r="L223">
            <v>2.3993256000000001</v>
          </cell>
          <cell r="M223" t="str">
            <v>Gramos</v>
          </cell>
        </row>
        <row r="224">
          <cell r="A224" t="str">
            <v>1210397</v>
          </cell>
          <cell r="B224">
            <v>14692</v>
          </cell>
          <cell r="C224" t="str">
            <v>TROZOS CHOCOLATE BLANCO (CAJA:1 K)</v>
          </cell>
          <cell r="D224" t="str">
            <v>1210397</v>
          </cell>
          <cell r="E224" t="str">
            <v>MATERIAS PRIMAS PLANTA</v>
          </cell>
          <cell r="F224" t="str">
            <v xml:space="preserve">1 CAJA </v>
          </cell>
          <cell r="G224">
            <v>500</v>
          </cell>
          <cell r="H224" t="str">
            <v>21/12/2019</v>
          </cell>
          <cell r="I224">
            <v>10858</v>
          </cell>
          <cell r="J224">
            <v>65148</v>
          </cell>
          <cell r="K224">
            <v>1000</v>
          </cell>
          <cell r="L224">
            <v>10.858000000000001</v>
          </cell>
          <cell r="M224" t="str">
            <v>Gramos</v>
          </cell>
        </row>
        <row r="225">
          <cell r="A225" t="str">
            <v>1210399</v>
          </cell>
          <cell r="B225">
            <v>14694</v>
          </cell>
          <cell r="C225" t="str">
            <v>TROZOS CHOCOLATE ROJO (CAJA:1K)</v>
          </cell>
          <cell r="D225" t="str">
            <v>1210399</v>
          </cell>
          <cell r="E225" t="str">
            <v>MATERIAS PRIMAS PLANTA</v>
          </cell>
          <cell r="F225" t="str">
            <v xml:space="preserve">1 CAJA </v>
          </cell>
          <cell r="G225">
            <v>500</v>
          </cell>
          <cell r="H225" t="str">
            <v>21/12/2019</v>
          </cell>
          <cell r="I225">
            <v>10858</v>
          </cell>
          <cell r="J225">
            <v>21716</v>
          </cell>
          <cell r="K225">
            <v>1000</v>
          </cell>
          <cell r="L225">
            <v>10.858000000000001</v>
          </cell>
          <cell r="M225" t="str">
            <v>Gramos</v>
          </cell>
        </row>
        <row r="226">
          <cell r="A226" t="str">
            <v>1210401</v>
          </cell>
          <cell r="B226">
            <v>5527</v>
          </cell>
          <cell r="C226" t="str">
            <v>MANTECA MAX PAN (CAJA:25 k)</v>
          </cell>
          <cell r="D226" t="str">
            <v>1210401</v>
          </cell>
          <cell r="E226" t="str">
            <v>MATERIAS PRIMAS PLANTA</v>
          </cell>
          <cell r="F226" t="str">
            <v>1 CAJA</v>
          </cell>
          <cell r="G226">
            <v>500</v>
          </cell>
          <cell r="H226" t="str">
            <v>15/06/2020</v>
          </cell>
          <cell r="I226">
            <v>20117</v>
          </cell>
          <cell r="J226">
            <v>7135379</v>
          </cell>
          <cell r="K226">
            <v>25000</v>
          </cell>
          <cell r="L226">
            <v>0.80467999999999995</v>
          </cell>
          <cell r="M226" t="str">
            <v>Gramos</v>
          </cell>
        </row>
        <row r="227">
          <cell r="A227" t="str">
            <v>1210402</v>
          </cell>
          <cell r="B227">
            <v>1981</v>
          </cell>
          <cell r="C227" t="str">
            <v>MARGARINA BLOQUE 12.5 KILOS</v>
          </cell>
          <cell r="D227" t="str">
            <v>1210402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16/01/2020</v>
          </cell>
          <cell r="I227">
            <v>15.411759999999999</v>
          </cell>
          <cell r="J227">
            <v>161664</v>
          </cell>
          <cell r="K227">
            <v>12500</v>
          </cell>
          <cell r="L227">
            <v>1.2329407999999999E-3</v>
          </cell>
          <cell r="M227" t="str">
            <v>Und</v>
          </cell>
        </row>
        <row r="228">
          <cell r="A228" t="str">
            <v>1210405</v>
          </cell>
          <cell r="B228">
            <v>5565</v>
          </cell>
          <cell r="C228" t="str">
            <v>PASTA P/LASAG/(PAQ:1 KG)</v>
          </cell>
          <cell r="D228" t="str">
            <v>1210405</v>
          </cell>
          <cell r="E228" t="str">
            <v>MATERIAS PRIMAS PLANTA</v>
          </cell>
          <cell r="F228" t="str">
            <v>1 PAQUETE</v>
          </cell>
          <cell r="G228">
            <v>500</v>
          </cell>
          <cell r="H228" t="str">
            <v>15/06/2020</v>
          </cell>
          <cell r="I228">
            <v>2411</v>
          </cell>
          <cell r="J228">
            <v>18779279</v>
          </cell>
          <cell r="K228">
            <v>1000</v>
          </cell>
          <cell r="L228">
            <v>2.411</v>
          </cell>
          <cell r="M228" t="str">
            <v>Gramos</v>
          </cell>
        </row>
        <row r="229">
          <cell r="A229" t="str">
            <v>1210413</v>
          </cell>
          <cell r="B229">
            <v>5551</v>
          </cell>
          <cell r="C229" t="str">
            <v>PASTA WANTAN (PAQ:465g)</v>
          </cell>
          <cell r="D229" t="str">
            <v>1210413</v>
          </cell>
          <cell r="E229" t="str">
            <v>MATERIAS PRIMAS PLANTA</v>
          </cell>
          <cell r="F229" t="str">
            <v>1 PAQUETE</v>
          </cell>
          <cell r="G229">
            <v>500</v>
          </cell>
          <cell r="H229" t="str">
            <v>09/06/2020</v>
          </cell>
          <cell r="I229">
            <v>1415</v>
          </cell>
          <cell r="J229">
            <v>1710735</v>
          </cell>
          <cell r="K229">
            <v>465</v>
          </cell>
          <cell r="L229">
            <v>3.043010752688172</v>
          </cell>
          <cell r="M229" t="str">
            <v>Gramos</v>
          </cell>
        </row>
        <row r="230">
          <cell r="A230" t="str">
            <v>1210420</v>
          </cell>
          <cell r="B230">
            <v>5539</v>
          </cell>
          <cell r="C230" t="str">
            <v>ESPAGUETTI (PAQ: 1K)</v>
          </cell>
          <cell r="D230" t="str">
            <v>1210420</v>
          </cell>
          <cell r="E230" t="str">
            <v>MATERIAS PRIMAS PLANTA</v>
          </cell>
          <cell r="F230" t="str">
            <v>1 PAQUETE</v>
          </cell>
          <cell r="G230">
            <v>500</v>
          </cell>
          <cell r="H230" t="str">
            <v>21/03/2020</v>
          </cell>
          <cell r="I230">
            <v>1465</v>
          </cell>
          <cell r="J230">
            <v>115735</v>
          </cell>
          <cell r="K230">
            <v>1000</v>
          </cell>
          <cell r="L230">
            <v>1.4650000000000001</v>
          </cell>
          <cell r="M230" t="str">
            <v>Und</v>
          </cell>
        </row>
        <row r="231">
          <cell r="A231" t="str">
            <v>1210428</v>
          </cell>
          <cell r="B231">
            <v>11213</v>
          </cell>
          <cell r="C231" t="str">
            <v>PRUEBA CODIGO</v>
          </cell>
          <cell r="D231" t="str">
            <v>1210428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06/06/2020</v>
          </cell>
          <cell r="I231">
            <v>3791.82</v>
          </cell>
          <cell r="J231">
            <v>142937.921</v>
          </cell>
          <cell r="K231">
            <v>10000</v>
          </cell>
          <cell r="L231" t="e">
            <v>#DIV/0!</v>
          </cell>
          <cell r="M231" t="str">
            <v>Gramos</v>
          </cell>
        </row>
        <row r="232">
          <cell r="A232" t="str">
            <v>1210437</v>
          </cell>
          <cell r="B232">
            <v>5540</v>
          </cell>
          <cell r="C232" t="str">
            <v>PASTA CARACOLITOS (PAQ: 1  K)</v>
          </cell>
          <cell r="D232" t="str">
            <v>1210437</v>
          </cell>
          <cell r="E232" t="str">
            <v>MATERIAS PRIMAS PLANTA</v>
          </cell>
          <cell r="F232" t="str">
            <v>1 PAQUETE</v>
          </cell>
          <cell r="G232">
            <v>500</v>
          </cell>
          <cell r="H232" t="str">
            <v>12/12/2019</v>
          </cell>
          <cell r="I232">
            <v>1685</v>
          </cell>
          <cell r="J232">
            <v>6740</v>
          </cell>
          <cell r="K232">
            <v>1000</v>
          </cell>
          <cell r="L232">
            <v>1.6850000000000001</v>
          </cell>
          <cell r="M232" t="str">
            <v>Gramos</v>
          </cell>
        </row>
        <row r="233">
          <cell r="A233" t="str">
            <v>1210441</v>
          </cell>
          <cell r="B233">
            <v>5577</v>
          </cell>
          <cell r="C233" t="str">
            <v>HUEVO LIQUIDO REFRIG (UND:13.6 K)</v>
          </cell>
          <cell r="D233" t="str">
            <v>1210441</v>
          </cell>
          <cell r="E233" t="str">
            <v>MATERIAS PRIMAS PLANTA</v>
          </cell>
          <cell r="F233" t="str">
            <v>1 UND</v>
          </cell>
          <cell r="G233">
            <v>500</v>
          </cell>
          <cell r="H233" t="str">
            <v>01/06/2020</v>
          </cell>
          <cell r="I233">
            <v>16059</v>
          </cell>
          <cell r="J233">
            <v>77796598</v>
          </cell>
          <cell r="K233">
            <v>13600</v>
          </cell>
          <cell r="L233">
            <v>1.1808088235294119</v>
          </cell>
          <cell r="M233" t="str">
            <v>Gramos</v>
          </cell>
        </row>
        <row r="234">
          <cell r="A234" t="str">
            <v>1210443</v>
          </cell>
          <cell r="B234">
            <v>5581</v>
          </cell>
          <cell r="C234" t="str">
            <v>YEMA DE HUEVO PASTEURIZADA (CAJA:2 Kg)</v>
          </cell>
          <cell r="D234" t="str">
            <v>1210443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11/06/2020</v>
          </cell>
          <cell r="I234">
            <v>4400</v>
          </cell>
          <cell r="J234">
            <v>8690000</v>
          </cell>
          <cell r="K234">
            <v>2000</v>
          </cell>
          <cell r="L234">
            <v>2.2000000000000002</v>
          </cell>
          <cell r="M234" t="str">
            <v>Gramos</v>
          </cell>
        </row>
        <row r="235">
          <cell r="A235" t="str">
            <v>1210445</v>
          </cell>
          <cell r="B235">
            <v>5582</v>
          </cell>
          <cell r="C235" t="str">
            <v>CLARAS HUEVO DESHIDRATADA (CAJA:22.68 K)</v>
          </cell>
          <cell r="D235" t="str">
            <v>1210445</v>
          </cell>
          <cell r="E235" t="str">
            <v>MATERIAS PRIMAS PLANTA</v>
          </cell>
          <cell r="F235" t="str">
            <v>1 CAJA</v>
          </cell>
          <cell r="G235">
            <v>500</v>
          </cell>
          <cell r="H235" t="str">
            <v>08/06/2020</v>
          </cell>
          <cell r="I235">
            <v>422718.91200000001</v>
          </cell>
          <cell r="J235">
            <v>3324053.3755999999</v>
          </cell>
          <cell r="K235">
            <v>22680</v>
          </cell>
          <cell r="L235">
            <v>18.638400000000001</v>
          </cell>
          <cell r="M235" t="str">
            <v>Gramos</v>
          </cell>
        </row>
        <row r="236">
          <cell r="A236" t="str">
            <v>1210451</v>
          </cell>
          <cell r="B236">
            <v>11275</v>
          </cell>
          <cell r="C236" t="str">
            <v>CAPUCCINO  LATAM NESCAFE (PAQ:750 g)</v>
          </cell>
          <cell r="D236" t="str">
            <v>1210451</v>
          </cell>
          <cell r="E236" t="str">
            <v>MATERIAS PRIMAS PLANTA</v>
          </cell>
          <cell r="F236" t="str">
            <v>1 PAQUETE</v>
          </cell>
          <cell r="G236">
            <v>500</v>
          </cell>
          <cell r="H236" t="str">
            <v>05/06/2020</v>
          </cell>
          <cell r="I236">
            <v>11682</v>
          </cell>
          <cell r="J236">
            <v>169812</v>
          </cell>
          <cell r="K236">
            <v>750</v>
          </cell>
          <cell r="L236">
            <v>15.576000000000001</v>
          </cell>
          <cell r="M236" t="str">
            <v>Gramos</v>
          </cell>
        </row>
        <row r="237">
          <cell r="A237" t="str">
            <v>1210453</v>
          </cell>
          <cell r="B237">
            <v>5328</v>
          </cell>
          <cell r="C237" t="str">
            <v>CAPUCCINO VAINILLA LATAM (PAQ:750 g)</v>
          </cell>
          <cell r="D237" t="str">
            <v>1210453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20/02/2020</v>
          </cell>
          <cell r="I237">
            <v>8940</v>
          </cell>
          <cell r="J237">
            <v>71672</v>
          </cell>
          <cell r="K237">
            <v>750</v>
          </cell>
          <cell r="L237">
            <v>11.92</v>
          </cell>
          <cell r="M237" t="str">
            <v>Gramos</v>
          </cell>
        </row>
        <row r="238">
          <cell r="A238" t="str">
            <v>1210461</v>
          </cell>
          <cell r="B238">
            <v>5269</v>
          </cell>
          <cell r="C238" t="str">
            <v>CHOCOLATE TULIPAN MARMOL (CAJA:150 UND)</v>
          </cell>
          <cell r="D238" t="str">
            <v>1210461</v>
          </cell>
          <cell r="E238" t="str">
            <v>MATERIAS PRIMAS PLANTA</v>
          </cell>
          <cell r="F238" t="str">
            <v xml:space="preserve">1 CAJA </v>
          </cell>
          <cell r="G238">
            <v>500</v>
          </cell>
          <cell r="H238" t="str">
            <v>12/06/2020</v>
          </cell>
          <cell r="I238">
            <v>18000</v>
          </cell>
          <cell r="J238">
            <v>3321360</v>
          </cell>
          <cell r="K238">
            <v>150</v>
          </cell>
          <cell r="L238">
            <v>120</v>
          </cell>
          <cell r="M238" t="str">
            <v>Und</v>
          </cell>
        </row>
        <row r="239">
          <cell r="A239" t="str">
            <v>1210462</v>
          </cell>
          <cell r="B239">
            <v>5270</v>
          </cell>
          <cell r="C239" t="str">
            <v>MONEDAS MARMOLEADAS (CAJA:240 UND)</v>
          </cell>
          <cell r="D239" t="str">
            <v>1210462</v>
          </cell>
          <cell r="E239" t="str">
            <v>MATERIAS PRIMAS PLANTA</v>
          </cell>
          <cell r="F239" t="str">
            <v>1 CAJA</v>
          </cell>
          <cell r="G239">
            <v>500</v>
          </cell>
          <cell r="H239" t="str">
            <v>12/06/2020</v>
          </cell>
          <cell r="I239">
            <v>10080</v>
          </cell>
          <cell r="J239">
            <v>7205999.9800000004</v>
          </cell>
          <cell r="K239">
            <v>240</v>
          </cell>
          <cell r="L239">
            <v>42</v>
          </cell>
          <cell r="M239" t="str">
            <v>Und</v>
          </cell>
        </row>
        <row r="240">
          <cell r="A240" t="str">
            <v>1210464</v>
          </cell>
          <cell r="B240">
            <v>7086</v>
          </cell>
          <cell r="C240" t="str">
            <v>CHOCOLATE TRIAN OLEAJE GRD (CAJA:200 UN)</v>
          </cell>
          <cell r="D240" t="str">
            <v>1210464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12/06/2020</v>
          </cell>
          <cell r="I240">
            <v>23000</v>
          </cell>
          <cell r="J240">
            <v>5152000</v>
          </cell>
          <cell r="K240">
            <v>200</v>
          </cell>
          <cell r="L240">
            <v>115</v>
          </cell>
          <cell r="M240" t="str">
            <v>Und</v>
          </cell>
        </row>
        <row r="241">
          <cell r="A241" t="str">
            <v>1210473</v>
          </cell>
          <cell r="B241">
            <v>5274</v>
          </cell>
          <cell r="C241" t="str">
            <v>CHOCOLATE HOJA OTOÑO (CAJA:150 UND)</v>
          </cell>
          <cell r="D241" t="str">
            <v>1210473</v>
          </cell>
          <cell r="E241" t="str">
            <v>MATERIAS PRIMAS PLANTA</v>
          </cell>
          <cell r="F241" t="str">
            <v xml:space="preserve">1 CAJA </v>
          </cell>
          <cell r="G241">
            <v>500</v>
          </cell>
          <cell r="H241" t="str">
            <v>26/05/2020</v>
          </cell>
          <cell r="I241">
            <v>10500</v>
          </cell>
          <cell r="J241">
            <v>1806000</v>
          </cell>
          <cell r="K241">
            <v>150</v>
          </cell>
          <cell r="L241">
            <v>70</v>
          </cell>
          <cell r="M241" t="str">
            <v>Und</v>
          </cell>
        </row>
        <row r="242">
          <cell r="A242" t="str">
            <v>1210482</v>
          </cell>
          <cell r="B242">
            <v>5580</v>
          </cell>
          <cell r="C242" t="str">
            <v>HUEVO ENTERO PASTERI INNOVO (CAJA:10 K)</v>
          </cell>
          <cell r="D242" t="str">
            <v>1210482</v>
          </cell>
          <cell r="E242" t="str">
            <v>MATERIAS PRIMAS PLANTA</v>
          </cell>
          <cell r="F242" t="str">
            <v>1 CAJA</v>
          </cell>
          <cell r="G242">
            <v>500</v>
          </cell>
          <cell r="H242" t="str">
            <v>12/06/2020</v>
          </cell>
          <cell r="I242">
            <v>15000</v>
          </cell>
          <cell r="J242">
            <v>7440000</v>
          </cell>
          <cell r="K242">
            <v>10000</v>
          </cell>
          <cell r="L242">
            <v>1.5</v>
          </cell>
          <cell r="M242" t="str">
            <v>Gramos</v>
          </cell>
        </row>
        <row r="243">
          <cell r="A243" t="str">
            <v>1210492</v>
          </cell>
          <cell r="B243">
            <v>5613</v>
          </cell>
          <cell r="C243" t="str">
            <v>CHANTILLY TOP CREAM CHOCOLATE (UND:2 K)</v>
          </cell>
          <cell r="D243" t="str">
            <v>1210492</v>
          </cell>
          <cell r="E243" t="str">
            <v>MATERIAS PRIMAS PLANTA</v>
          </cell>
          <cell r="F243" t="str">
            <v>1 UND</v>
          </cell>
          <cell r="G243">
            <v>500</v>
          </cell>
          <cell r="H243" t="str">
            <v>25/05/2020</v>
          </cell>
          <cell r="I243">
            <v>3992.28</v>
          </cell>
          <cell r="J243">
            <v>4499299.5599999996</v>
          </cell>
          <cell r="K243">
            <v>2000</v>
          </cell>
          <cell r="L243">
            <v>1.99614</v>
          </cell>
          <cell r="M243" t="str">
            <v>Gramos</v>
          </cell>
        </row>
        <row r="244">
          <cell r="A244" t="str">
            <v>1210494</v>
          </cell>
          <cell r="B244">
            <v>11352</v>
          </cell>
          <cell r="C244" t="str">
            <v>CUCHARA CHOCOLATE (CAJA: 25 UND)</v>
          </cell>
          <cell r="D244" t="str">
            <v>1210494</v>
          </cell>
          <cell r="E244" t="str">
            <v>MATERIAS PRIMAS PLANTA</v>
          </cell>
          <cell r="F244" t="str">
            <v>1 CAJA</v>
          </cell>
          <cell r="G244">
            <v>500</v>
          </cell>
          <cell r="H244" t="str">
            <v>08/06/2020</v>
          </cell>
          <cell r="I244">
            <v>14975</v>
          </cell>
          <cell r="J244">
            <v>3519125</v>
          </cell>
          <cell r="K244">
            <v>25</v>
          </cell>
          <cell r="L244">
            <v>599</v>
          </cell>
          <cell r="M244" t="str">
            <v>Gramos</v>
          </cell>
        </row>
        <row r="245">
          <cell r="A245" t="str">
            <v>1210495</v>
          </cell>
          <cell r="B245">
            <v>12616</v>
          </cell>
          <cell r="C245" t="str">
            <v>CHOCOLATE TRIANGULO CURVO (CAJA:150 UND)</v>
          </cell>
          <cell r="D245" t="str">
            <v>1210495</v>
          </cell>
          <cell r="E245" t="str">
            <v>MATERIAS PRIMAS PLANTA</v>
          </cell>
          <cell r="F245" t="str">
            <v>1 CAJA</v>
          </cell>
          <cell r="G245">
            <v>500</v>
          </cell>
          <cell r="H245" t="str">
            <v>12/06/2020</v>
          </cell>
          <cell r="I245">
            <v>12946</v>
          </cell>
          <cell r="J245">
            <v>8019999</v>
          </cell>
          <cell r="K245">
            <v>150</v>
          </cell>
          <cell r="L245">
            <v>86.306666666666672</v>
          </cell>
          <cell r="M245" t="str">
            <v>Und</v>
          </cell>
        </row>
        <row r="246">
          <cell r="A246" t="str">
            <v>1210496</v>
          </cell>
          <cell r="B246">
            <v>14216</v>
          </cell>
          <cell r="C246" t="str">
            <v>MONEDAS ONDEADAS COMBIN (CAJA:240 UND)</v>
          </cell>
          <cell r="D246" t="str">
            <v>1210496</v>
          </cell>
          <cell r="E246" t="str">
            <v>MATERIAS PRIMAS PLANTA</v>
          </cell>
          <cell r="F246" t="str">
            <v>1 CAJA</v>
          </cell>
          <cell r="G246">
            <v>500</v>
          </cell>
          <cell r="H246" t="str">
            <v>03/12/2019</v>
          </cell>
          <cell r="I246">
            <v>6957</v>
          </cell>
          <cell r="J246">
            <v>-13914</v>
          </cell>
          <cell r="K246">
            <v>240</v>
          </cell>
          <cell r="L246">
            <v>28.987500000000001</v>
          </cell>
          <cell r="M246" t="str">
            <v>Gramos</v>
          </cell>
        </row>
        <row r="247">
          <cell r="A247" t="str">
            <v>1210497</v>
          </cell>
          <cell r="B247">
            <v>16693</v>
          </cell>
          <cell r="C247" t="str">
            <v>COBERTURA CHOCO LECHE VENEZUEL (PAQ:1 K)</v>
          </cell>
          <cell r="D247" t="str">
            <v>1210497</v>
          </cell>
          <cell r="E247" t="str">
            <v>MATERIAS PRIMAS PLANTA</v>
          </cell>
          <cell r="F247" t="str">
            <v>1 PAQUETE</v>
          </cell>
          <cell r="G247">
            <v>500</v>
          </cell>
          <cell r="H247" t="str">
            <v>09/06/2020</v>
          </cell>
          <cell r="I247">
            <v>4625.25</v>
          </cell>
          <cell r="J247">
            <v>115631.25</v>
          </cell>
          <cell r="K247">
            <v>1000</v>
          </cell>
          <cell r="L247">
            <v>4.6252500000000003</v>
          </cell>
          <cell r="M247" t="str">
            <v>Gramos</v>
          </cell>
        </row>
        <row r="248">
          <cell r="A248" t="str">
            <v>1212410</v>
          </cell>
          <cell r="B248">
            <v>5623</v>
          </cell>
          <cell r="C248" t="str">
            <v>PRESERVANTE 1047S (PAQ=5 KILO)</v>
          </cell>
          <cell r="D248" t="str">
            <v>1212410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10/06/2020</v>
          </cell>
          <cell r="I248">
            <v>4844.88</v>
          </cell>
          <cell r="J248">
            <v>2162094.4</v>
          </cell>
          <cell r="K248">
            <v>1000</v>
          </cell>
          <cell r="L248">
            <v>4.8448799999999999</v>
          </cell>
          <cell r="M248" t="str">
            <v>Gramos</v>
          </cell>
        </row>
        <row r="249">
          <cell r="A249" t="str">
            <v>1212412</v>
          </cell>
          <cell r="B249">
            <v>5624</v>
          </cell>
          <cell r="C249" t="str">
            <v>PRESERVANTE 1017S (PAQ=5 KILO)</v>
          </cell>
          <cell r="D249" t="str">
            <v>1212412</v>
          </cell>
          <cell r="E249" t="str">
            <v>MATERIAS PRIMAS PLANTA</v>
          </cell>
          <cell r="F249" t="str">
            <v>1 PAQUETE</v>
          </cell>
          <cell r="G249">
            <v>500</v>
          </cell>
          <cell r="H249" t="str">
            <v>29/04/2020</v>
          </cell>
          <cell r="I249">
            <v>6267.25</v>
          </cell>
          <cell r="J249">
            <v>1414766.1</v>
          </cell>
          <cell r="K249">
            <v>5000</v>
          </cell>
          <cell r="L249">
            <v>1.25345</v>
          </cell>
          <cell r="M249" t="str">
            <v>Gramos</v>
          </cell>
        </row>
        <row r="250">
          <cell r="A250" t="str">
            <v>1212437</v>
          </cell>
          <cell r="B250">
            <v>5625</v>
          </cell>
          <cell r="C250" t="str">
            <v>PRESERVANTE MIXTO (UND:17 K)</v>
          </cell>
          <cell r="D250" t="str">
            <v>1212437</v>
          </cell>
          <cell r="E250" t="str">
            <v>MATERIAS PRIMAS PLANTA</v>
          </cell>
          <cell r="F250" t="str">
            <v>1 UND</v>
          </cell>
          <cell r="G250">
            <v>500</v>
          </cell>
          <cell r="H250" t="str">
            <v>13/06/2020</v>
          </cell>
          <cell r="I250">
            <v>51510</v>
          </cell>
          <cell r="J250">
            <v>1390770</v>
          </cell>
          <cell r="K250">
            <v>17000</v>
          </cell>
          <cell r="L250">
            <v>3.03</v>
          </cell>
          <cell r="M250" t="str">
            <v>Gramos</v>
          </cell>
        </row>
        <row r="251">
          <cell r="A251" t="str">
            <v>1212438</v>
          </cell>
          <cell r="B251">
            <v>16435</v>
          </cell>
          <cell r="C251" t="str">
            <v>ESTABILIZANTE FRUTAS (SACO:25 K) 97178</v>
          </cell>
          <cell r="D251" t="str">
            <v>1212438</v>
          </cell>
          <cell r="E251" t="str">
            <v>MATERIAS PRIMAS PLANTA</v>
          </cell>
          <cell r="F251" t="str">
            <v>1 SACO</v>
          </cell>
          <cell r="G251">
            <v>500</v>
          </cell>
          <cell r="H251" t="str">
            <v>22/04/2020</v>
          </cell>
          <cell r="I251">
            <v>125818</v>
          </cell>
          <cell r="J251">
            <v>125818</v>
          </cell>
          <cell r="K251">
            <v>25000</v>
          </cell>
          <cell r="L251">
            <v>5.0327200000000003</v>
          </cell>
          <cell r="M251" t="str">
            <v>Gramos</v>
          </cell>
        </row>
        <row r="252">
          <cell r="A252" t="str">
            <v>1310108</v>
          </cell>
          <cell r="B252">
            <v>16364</v>
          </cell>
          <cell r="C252" t="str">
            <v>LECHE AZUL DOS PINOS (CAJA: 12 UND)</v>
          </cell>
          <cell r="D252" t="str">
            <v>1310108</v>
          </cell>
          <cell r="E252" t="str">
            <v>MATERIAS PRIMAS PLANTA</v>
          </cell>
          <cell r="F252" t="str">
            <v>1 CAJA</v>
          </cell>
          <cell r="G252">
            <v>500</v>
          </cell>
          <cell r="H252" t="str">
            <v>06/04/2020</v>
          </cell>
          <cell r="I252">
            <v>582.51499999999999</v>
          </cell>
          <cell r="J252">
            <v>34950.9</v>
          </cell>
          <cell r="K252">
            <v>1000</v>
          </cell>
          <cell r="L252" t="e">
            <v>#DIV/0!</v>
          </cell>
          <cell r="M252" t="str">
            <v>Gramos</v>
          </cell>
        </row>
        <row r="253">
          <cell r="A253" t="str">
            <v>1700001</v>
          </cell>
          <cell r="B253">
            <v>5653</v>
          </cell>
          <cell r="C253" t="str">
            <v>SABORIZANTE LIMON ESPAÑA (KILO)</v>
          </cell>
          <cell r="D253" t="str">
            <v>1700001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26/02/2020</v>
          </cell>
          <cell r="I253">
            <v>24998.58</v>
          </cell>
          <cell r="J253">
            <v>34998.012000000002</v>
          </cell>
          <cell r="K253">
            <v>1000</v>
          </cell>
          <cell r="L253">
            <v>24.99858</v>
          </cell>
          <cell r="M253" t="str">
            <v>Gramos</v>
          </cell>
        </row>
        <row r="254">
          <cell r="A254" t="str">
            <v>1730535</v>
          </cell>
          <cell r="B254">
            <v>9814</v>
          </cell>
          <cell r="C254" t="str">
            <v>MANZANA PICADA (PAQ:1 K)</v>
          </cell>
          <cell r="D254" t="str">
            <v>1730535</v>
          </cell>
          <cell r="E254" t="str">
            <v>MATERIAS PRIMAS PLANTA</v>
          </cell>
          <cell r="F254" t="str">
            <v>1 PAQ</v>
          </cell>
          <cell r="G254">
            <v>500</v>
          </cell>
          <cell r="H254" t="str">
            <v>03/02/2020</v>
          </cell>
          <cell r="I254">
            <v>2795</v>
          </cell>
          <cell r="J254">
            <v>433225</v>
          </cell>
          <cell r="K254">
            <v>1000</v>
          </cell>
          <cell r="L254">
            <v>2.7949999999999999</v>
          </cell>
          <cell r="M254" t="str">
            <v>Gramos</v>
          </cell>
        </row>
        <row r="255">
          <cell r="A255" t="str">
            <v>1730579</v>
          </cell>
          <cell r="B255">
            <v>5389</v>
          </cell>
          <cell r="C255" t="str">
            <v>CHULETAS KILO</v>
          </cell>
          <cell r="D255" t="str">
            <v>1730579</v>
          </cell>
          <cell r="E255" t="str">
            <v>MATERIAS PRIMAS PLANTA</v>
          </cell>
          <cell r="F255" t="str">
            <v>1 KILO</v>
          </cell>
          <cell r="G255">
            <v>500</v>
          </cell>
          <cell r="H255" t="str">
            <v>30/05/2020</v>
          </cell>
          <cell r="I255">
            <v>3695</v>
          </cell>
          <cell r="J255">
            <v>453722.5</v>
          </cell>
          <cell r="K255">
            <v>1000</v>
          </cell>
          <cell r="L255">
            <v>3.6949999999999998</v>
          </cell>
          <cell r="M255" t="str">
            <v>Gramos</v>
          </cell>
        </row>
        <row r="256">
          <cell r="A256" t="str">
            <v>1730580</v>
          </cell>
          <cell r="B256">
            <v>5373</v>
          </cell>
          <cell r="C256" t="str">
            <v>COSTILLA DE CERDO (PAQ:1 KILO)</v>
          </cell>
          <cell r="D256" t="str">
            <v>1730580</v>
          </cell>
          <cell r="E256" t="str">
            <v>MATERIAS PRIMAS PLANTA</v>
          </cell>
          <cell r="F256" t="str">
            <v>1 PAQUETE</v>
          </cell>
          <cell r="G256">
            <v>500</v>
          </cell>
          <cell r="H256" t="str">
            <v>06/06/2020</v>
          </cell>
          <cell r="I256">
            <v>3895</v>
          </cell>
          <cell r="J256">
            <v>2467482.5</v>
          </cell>
          <cell r="K256">
            <v>1000</v>
          </cell>
          <cell r="L256">
            <v>3.895</v>
          </cell>
          <cell r="M256" t="str">
            <v>Gramos</v>
          </cell>
        </row>
        <row r="257">
          <cell r="A257" t="str">
            <v>1730588</v>
          </cell>
          <cell r="B257">
            <v>5372</v>
          </cell>
          <cell r="C257" t="str">
            <v>LOMO DE AGUJA KILO</v>
          </cell>
          <cell r="D257" t="str">
            <v>1730588</v>
          </cell>
          <cell r="E257" t="str">
            <v>MATERIAS PRIMAS PLANTA</v>
          </cell>
          <cell r="F257" t="str">
            <v>1 KILO</v>
          </cell>
          <cell r="G257">
            <v>500</v>
          </cell>
          <cell r="H257" t="str">
            <v>07/03/2020</v>
          </cell>
          <cell r="I257">
            <v>5690</v>
          </cell>
          <cell r="J257">
            <v>281086</v>
          </cell>
          <cell r="K257">
            <v>1000</v>
          </cell>
          <cell r="L257">
            <v>5.69</v>
          </cell>
          <cell r="M257" t="str">
            <v>Gramos</v>
          </cell>
        </row>
        <row r="258">
          <cell r="A258" t="str">
            <v>1730589</v>
          </cell>
          <cell r="B258">
            <v>7045</v>
          </cell>
          <cell r="C258" t="str">
            <v>SALCHICHAS KILO</v>
          </cell>
          <cell r="D258" t="str">
            <v>1730589</v>
          </cell>
          <cell r="E258" t="str">
            <v>MATERIAS PRIMAS PLANTA</v>
          </cell>
          <cell r="F258" t="str">
            <v>1 KILO</v>
          </cell>
          <cell r="G258">
            <v>500</v>
          </cell>
          <cell r="H258" t="str">
            <v>18/05/2020</v>
          </cell>
          <cell r="I258">
            <v>1909.5</v>
          </cell>
          <cell r="J258">
            <v>415245</v>
          </cell>
          <cell r="K258">
            <v>1000</v>
          </cell>
          <cell r="L258">
            <v>1.9095</v>
          </cell>
          <cell r="M258" t="str">
            <v>Gramos</v>
          </cell>
        </row>
        <row r="259">
          <cell r="A259" t="str">
            <v>1730592</v>
          </cell>
          <cell r="B259">
            <v>5391</v>
          </cell>
          <cell r="C259" t="str">
            <v>PECHO LIMPIO KILO</v>
          </cell>
          <cell r="D259" t="str">
            <v>1730592</v>
          </cell>
          <cell r="E259" t="str">
            <v>MATERIAS PRIMAS PLANTA</v>
          </cell>
          <cell r="F259" t="str">
            <v>1 KILO</v>
          </cell>
          <cell r="G259">
            <v>500</v>
          </cell>
          <cell r="H259" t="str">
            <v>06/06/2020</v>
          </cell>
          <cell r="I259">
            <v>3990</v>
          </cell>
          <cell r="J259">
            <v>427728</v>
          </cell>
          <cell r="K259">
            <v>1000</v>
          </cell>
          <cell r="L259">
            <v>3.99</v>
          </cell>
          <cell r="M259" t="str">
            <v>Gramos</v>
          </cell>
        </row>
        <row r="260">
          <cell r="A260" t="str">
            <v>1730594</v>
          </cell>
          <cell r="B260">
            <v>11359</v>
          </cell>
          <cell r="C260" t="str">
            <v>COSTILLA DE RES</v>
          </cell>
          <cell r="D260" t="str">
            <v>1730594</v>
          </cell>
          <cell r="E260" t="str">
            <v>MATERIAS PRIMAS PLANTA</v>
          </cell>
          <cell r="F260" t="str">
            <v>1 KILO</v>
          </cell>
          <cell r="G260">
            <v>500</v>
          </cell>
          <cell r="H260" t="str">
            <v>04/02/2020</v>
          </cell>
          <cell r="I260">
            <v>2195</v>
          </cell>
          <cell r="J260">
            <v>43900</v>
          </cell>
          <cell r="K260">
            <v>1000</v>
          </cell>
          <cell r="L260">
            <v>2.1949999999999998</v>
          </cell>
          <cell r="M260" t="str">
            <v>Gramos</v>
          </cell>
        </row>
        <row r="261">
          <cell r="A261" t="str">
            <v>1730610</v>
          </cell>
          <cell r="B261">
            <v>5592</v>
          </cell>
          <cell r="C261" t="str">
            <v>NATILLA GALON (UND:3.785 K)</v>
          </cell>
          <cell r="D261" t="str">
            <v>1730610</v>
          </cell>
          <cell r="E261" t="str">
            <v>MATERIAS PRIMAS PLANTA</v>
          </cell>
          <cell r="F261" t="str">
            <v>1 UND</v>
          </cell>
          <cell r="G261">
            <v>500</v>
          </cell>
          <cell r="H261" t="str">
            <v>30/05/2020</v>
          </cell>
          <cell r="I261">
            <v>5670</v>
          </cell>
          <cell r="J261">
            <v>340200</v>
          </cell>
          <cell r="K261">
            <v>3785</v>
          </cell>
          <cell r="L261">
            <v>1.4980184940554822</v>
          </cell>
          <cell r="M261" t="str">
            <v>Und</v>
          </cell>
        </row>
        <row r="262">
          <cell r="A262" t="str">
            <v>1730616</v>
          </cell>
          <cell r="B262">
            <v>5434</v>
          </cell>
          <cell r="C262" t="str">
            <v>REMOLACHA KILO</v>
          </cell>
          <cell r="D262" t="str">
            <v>1730616</v>
          </cell>
          <cell r="E262" t="str">
            <v>MATERIAS PRIMAS PLANTA</v>
          </cell>
          <cell r="F262" t="str">
            <v>1 KILO</v>
          </cell>
          <cell r="G262">
            <v>500</v>
          </cell>
          <cell r="H262" t="str">
            <v>13/06/2020</v>
          </cell>
          <cell r="I262">
            <v>923</v>
          </cell>
          <cell r="J262">
            <v>109150</v>
          </cell>
          <cell r="K262">
            <v>1000</v>
          </cell>
          <cell r="L262">
            <v>0.92300000000000004</v>
          </cell>
          <cell r="M262" t="str">
            <v>Gramos</v>
          </cell>
        </row>
        <row r="263">
          <cell r="A263" t="str">
            <v>1730617</v>
          </cell>
          <cell r="B263">
            <v>5436</v>
          </cell>
          <cell r="C263" t="str">
            <v>REPOLLO VERDE RAYADO KILO</v>
          </cell>
          <cell r="D263" t="str">
            <v>1730617</v>
          </cell>
          <cell r="E263" t="str">
            <v>MATERIAS PRIMAS PLANTA</v>
          </cell>
          <cell r="F263" t="str">
            <v>1 KILO</v>
          </cell>
          <cell r="G263">
            <v>500</v>
          </cell>
          <cell r="H263" t="str">
            <v>02/06/2020</v>
          </cell>
          <cell r="I263">
            <v>1384</v>
          </cell>
          <cell r="J263">
            <v>140784</v>
          </cell>
          <cell r="K263">
            <v>1000</v>
          </cell>
          <cell r="L263">
            <v>1.3839999999999999</v>
          </cell>
          <cell r="M263" t="str">
            <v>Gramos</v>
          </cell>
        </row>
        <row r="264">
          <cell r="A264" t="str">
            <v>1730640</v>
          </cell>
          <cell r="B264">
            <v>5364</v>
          </cell>
          <cell r="C264" t="str">
            <v xml:space="preserve">ALITAS DE POLLO KILO </v>
          </cell>
          <cell r="D264" t="str">
            <v>1730640</v>
          </cell>
          <cell r="E264" t="str">
            <v>MATERIAS PRIMAS PLANTA</v>
          </cell>
          <cell r="F264" t="str">
            <v>1 KILO</v>
          </cell>
          <cell r="G264">
            <v>500</v>
          </cell>
          <cell r="H264" t="str">
            <v>05/05/2020</v>
          </cell>
          <cell r="I264">
            <v>2080</v>
          </cell>
          <cell r="J264">
            <v>477672</v>
          </cell>
          <cell r="K264">
            <v>1000</v>
          </cell>
          <cell r="L264">
            <v>2.08</v>
          </cell>
          <cell r="M264" t="str">
            <v>Gramos</v>
          </cell>
        </row>
        <row r="265">
          <cell r="A265" t="str">
            <v>1730642</v>
          </cell>
          <cell r="B265">
            <v>11344</v>
          </cell>
          <cell r="C265" t="str">
            <v>PLATANO VERDE (UND)</v>
          </cell>
          <cell r="D265" t="str">
            <v>1730642</v>
          </cell>
          <cell r="E265" t="str">
            <v>MATERIAS PRIMAS PLANTA</v>
          </cell>
          <cell r="F265" t="str">
            <v>1 KILO</v>
          </cell>
          <cell r="G265">
            <v>500</v>
          </cell>
          <cell r="H265" t="str">
            <v>06/06/2020</v>
          </cell>
          <cell r="I265">
            <v>195</v>
          </cell>
          <cell r="J265">
            <v>7800</v>
          </cell>
          <cell r="K265">
            <v>1000</v>
          </cell>
          <cell r="L265">
            <v>0.19500000000000001</v>
          </cell>
          <cell r="M265" t="str">
            <v>Gramos</v>
          </cell>
        </row>
        <row r="266">
          <cell r="A266" t="str">
            <v>1730647</v>
          </cell>
          <cell r="B266">
            <v>5361</v>
          </cell>
          <cell r="C266" t="str">
            <v>PECHUGA DES FILET LOMITO KILO</v>
          </cell>
          <cell r="D266" t="str">
            <v>1730647</v>
          </cell>
          <cell r="E266" t="str">
            <v>MATERIAS PRIMAS PLANTA</v>
          </cell>
          <cell r="F266" t="str">
            <v>1 KILO</v>
          </cell>
          <cell r="G266">
            <v>500</v>
          </cell>
          <cell r="H266" t="str">
            <v>06/06/2020</v>
          </cell>
          <cell r="I266">
            <v>2620</v>
          </cell>
          <cell r="J266">
            <v>604591.19999999995</v>
          </cell>
          <cell r="K266">
            <v>1000</v>
          </cell>
          <cell r="L266">
            <v>2.62</v>
          </cell>
          <cell r="M266" t="str">
            <v>Gramos</v>
          </cell>
        </row>
        <row r="267">
          <cell r="A267" t="str">
            <v>1730660</v>
          </cell>
          <cell r="B267">
            <v>5588</v>
          </cell>
          <cell r="C267" t="str">
            <v>QUESO CREMA PANADERO (CAJA: 5 K)</v>
          </cell>
          <cell r="D267" t="str">
            <v>1730660</v>
          </cell>
          <cell r="E267" t="str">
            <v>MATERIAS PRIMAS PLANTA</v>
          </cell>
          <cell r="F267" t="str">
            <v>1 CAJA</v>
          </cell>
          <cell r="G267">
            <v>500</v>
          </cell>
          <cell r="H267" t="str">
            <v>15/06/2020</v>
          </cell>
          <cell r="I267">
            <v>13214.31</v>
          </cell>
          <cell r="J267">
            <v>14730778.949999999</v>
          </cell>
          <cell r="K267">
            <v>5000</v>
          </cell>
          <cell r="L267">
            <v>2.642862</v>
          </cell>
          <cell r="M267" t="str">
            <v>Gramos</v>
          </cell>
        </row>
        <row r="268">
          <cell r="A268" t="str">
            <v>1730663</v>
          </cell>
          <cell r="B268">
            <v>5281</v>
          </cell>
          <cell r="C268" t="str">
            <v>SALSA AJI AMARILLO DOYPACK  (UND:460g)</v>
          </cell>
          <cell r="D268" t="str">
            <v>1730663</v>
          </cell>
          <cell r="E268" t="str">
            <v>MATERIAS PRIMAS PLANTA</v>
          </cell>
          <cell r="F268" t="str">
            <v>1 UND</v>
          </cell>
          <cell r="G268">
            <v>500</v>
          </cell>
          <cell r="H268" t="str">
            <v>12/06/2020</v>
          </cell>
          <cell r="I268">
            <v>1</v>
          </cell>
          <cell r="J268">
            <v>319822.88</v>
          </cell>
          <cell r="K268">
            <v>460</v>
          </cell>
          <cell r="L268">
            <v>2.1739130434782609E-3</v>
          </cell>
          <cell r="M268" t="str">
            <v>Und</v>
          </cell>
        </row>
        <row r="269">
          <cell r="A269" t="str">
            <v>1730670</v>
          </cell>
          <cell r="B269">
            <v>12491</v>
          </cell>
          <cell r="C269" t="str">
            <v>BOLITA FALAFEL CRUDA (PAQ:100 UND)</v>
          </cell>
          <cell r="D269" t="str">
            <v>1730670</v>
          </cell>
          <cell r="E269" t="str">
            <v>MATERIAS PRIMAS PLANTA</v>
          </cell>
          <cell r="F269" t="str">
            <v>1 PAQUETE</v>
          </cell>
          <cell r="G269">
            <v>500</v>
          </cell>
          <cell r="H269" t="str">
            <v>19/05/2020</v>
          </cell>
          <cell r="I269">
            <v>1</v>
          </cell>
          <cell r="J269">
            <v>7000000</v>
          </cell>
          <cell r="K269">
            <v>100</v>
          </cell>
          <cell r="L269">
            <v>0.01</v>
          </cell>
          <cell r="M269" t="str">
            <v>Gramos</v>
          </cell>
        </row>
        <row r="270">
          <cell r="A270" t="str">
            <v>1840640</v>
          </cell>
          <cell r="B270">
            <v>5678</v>
          </cell>
          <cell r="C270" t="str">
            <v>BOLSAS TRANSP EXTRAGRANDE 37x55 KILO</v>
          </cell>
          <cell r="D270" t="str">
            <v>1840640</v>
          </cell>
          <cell r="E270" t="str">
            <v>EMPAQUES PLANTA</v>
          </cell>
          <cell r="F270" t="str">
            <v>1 KILO</v>
          </cell>
          <cell r="G270">
            <v>500</v>
          </cell>
          <cell r="H270" t="str">
            <v>09/06/2020</v>
          </cell>
          <cell r="I270">
            <v>1350</v>
          </cell>
          <cell r="J270">
            <v>10113901.710000001</v>
          </cell>
          <cell r="K270">
            <v>500</v>
          </cell>
          <cell r="L270" t="e">
            <v>#DIV/0!</v>
          </cell>
          <cell r="M270" t="str">
            <v>Gramos</v>
          </cell>
        </row>
        <row r="271">
          <cell r="A271" t="str">
            <v>1900001</v>
          </cell>
          <cell r="B271">
            <v>7041</v>
          </cell>
          <cell r="C271" t="str">
            <v>QUINUA BLANCA (SACO:25 Kg)</v>
          </cell>
          <cell r="D271" t="str">
            <v>1900001</v>
          </cell>
          <cell r="E271" t="str">
            <v>MATERIAS PRIMAS PLANTA</v>
          </cell>
          <cell r="F271" t="str">
            <v>1 SACO</v>
          </cell>
          <cell r="G271">
            <v>500</v>
          </cell>
          <cell r="H271" t="str">
            <v>17/02/2020</v>
          </cell>
          <cell r="I271">
            <v>64162.125</v>
          </cell>
          <cell r="J271">
            <v>128841.75</v>
          </cell>
          <cell r="K271">
            <v>25000</v>
          </cell>
          <cell r="L271">
            <v>2.5664850000000001</v>
          </cell>
          <cell r="M271" t="str">
            <v>Gramos</v>
          </cell>
        </row>
        <row r="272">
          <cell r="A272" t="str">
            <v>1942315</v>
          </cell>
          <cell r="B272">
            <v>11425</v>
          </cell>
          <cell r="C272" t="str">
            <v>QUEQUERA 10" MEDIA (CAJA:66 UND)</v>
          </cell>
          <cell r="D272" t="str">
            <v>1942315</v>
          </cell>
          <cell r="E272" t="str">
            <v>EMPAQUES PLANTA</v>
          </cell>
          <cell r="F272" t="str">
            <v>1 CAJA</v>
          </cell>
          <cell r="G272">
            <v>500</v>
          </cell>
          <cell r="H272" t="str">
            <v>25/05/2020</v>
          </cell>
          <cell r="I272">
            <v>20685.060000000001</v>
          </cell>
          <cell r="J272">
            <v>9515127.5999999996</v>
          </cell>
          <cell r="K272">
            <v>66</v>
          </cell>
          <cell r="L272">
            <v>313.41000000000003</v>
          </cell>
          <cell r="M272" t="str">
            <v>Und</v>
          </cell>
        </row>
        <row r="273">
          <cell r="A273" t="str">
            <v>1950387</v>
          </cell>
          <cell r="B273">
            <v>5863</v>
          </cell>
          <cell r="C273" t="str">
            <v>CONO P/AGUA (CAJA:25 PAQ)</v>
          </cell>
          <cell r="D273" t="str">
            <v>1950387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10/06/2020</v>
          </cell>
          <cell r="I273">
            <v>26980</v>
          </cell>
          <cell r="J273">
            <v>269800</v>
          </cell>
          <cell r="K273">
            <v>500</v>
          </cell>
          <cell r="L273" t="e">
            <v>#DIV/0!</v>
          </cell>
          <cell r="M273" t="str">
            <v>Und</v>
          </cell>
        </row>
        <row r="274">
          <cell r="A274" t="str">
            <v>1950409</v>
          </cell>
          <cell r="B274">
            <v>5779</v>
          </cell>
          <cell r="C274" t="str">
            <v>TAPA P/FONDO CAJA BLANCA (PAQ:100 UND)</v>
          </cell>
          <cell r="D274" t="str">
            <v>1950409</v>
          </cell>
          <cell r="E274" t="str">
            <v>EMPAQUES PLANTA</v>
          </cell>
          <cell r="F274" t="str">
            <v>1 PAQUETE</v>
          </cell>
          <cell r="G274">
            <v>500</v>
          </cell>
          <cell r="H274" t="str">
            <v>29/05/2020</v>
          </cell>
          <cell r="I274">
            <v>5300</v>
          </cell>
          <cell r="J274">
            <v>280900</v>
          </cell>
          <cell r="K274">
            <v>100</v>
          </cell>
          <cell r="L274">
            <v>53</v>
          </cell>
          <cell r="M274" t="str">
            <v>Und</v>
          </cell>
        </row>
        <row r="275">
          <cell r="A275" t="str">
            <v>1950672</v>
          </cell>
          <cell r="B275">
            <v>5809</v>
          </cell>
          <cell r="C275" t="str">
            <v>CONT.48 ON TRAN.TAPA PLANA (CAJA:200UND)</v>
          </cell>
          <cell r="D275" t="str">
            <v>1950672</v>
          </cell>
          <cell r="E275" t="str">
            <v>EMPAQUES PLANTA</v>
          </cell>
          <cell r="F275" t="str">
            <v>1 CAJA</v>
          </cell>
          <cell r="G275">
            <v>500</v>
          </cell>
          <cell r="H275" t="str">
            <v>16/06/2020</v>
          </cell>
          <cell r="I275">
            <v>43840.2</v>
          </cell>
          <cell r="J275">
            <v>3594896.4</v>
          </cell>
          <cell r="K275">
            <v>200</v>
          </cell>
          <cell r="L275">
            <v>219.20099999999999</v>
          </cell>
          <cell r="M275" t="str">
            <v>Und</v>
          </cell>
        </row>
        <row r="276">
          <cell r="A276" t="str">
            <v>1950682</v>
          </cell>
          <cell r="B276">
            <v>5815</v>
          </cell>
          <cell r="C276" t="str">
            <v>CONTEN LBH 692 PRALINE (CAJA:200 UND)</v>
          </cell>
          <cell r="D276" t="str">
            <v>1950682</v>
          </cell>
          <cell r="E276" t="str">
            <v>EMPAQUES PLANTA</v>
          </cell>
          <cell r="F276" t="str">
            <v xml:space="preserve">1 CAJA </v>
          </cell>
          <cell r="G276">
            <v>500</v>
          </cell>
          <cell r="H276" t="str">
            <v>12/06/2020</v>
          </cell>
          <cell r="I276">
            <v>41166</v>
          </cell>
          <cell r="J276">
            <v>10522469</v>
          </cell>
          <cell r="K276">
            <v>200</v>
          </cell>
          <cell r="L276">
            <v>205.83</v>
          </cell>
          <cell r="M276" t="str">
            <v>Und</v>
          </cell>
        </row>
        <row r="277">
          <cell r="A277" t="str">
            <v>1950692</v>
          </cell>
          <cell r="B277">
            <v>10370</v>
          </cell>
          <cell r="C277" t="str">
            <v>ORLA CARTON 10" DORADA (UND)</v>
          </cell>
          <cell r="D277" t="str">
            <v>1950692</v>
          </cell>
          <cell r="E277" t="str">
            <v>EMPAQUES PLANTA</v>
          </cell>
          <cell r="F277" t="str">
            <v>1 UND</v>
          </cell>
          <cell r="G277">
            <v>500</v>
          </cell>
          <cell r="H277" t="str">
            <v>12/06/2020</v>
          </cell>
          <cell r="I277">
            <v>111</v>
          </cell>
          <cell r="J277">
            <v>20646000</v>
          </cell>
          <cell r="K277">
            <v>1</v>
          </cell>
          <cell r="L277">
            <v>111</v>
          </cell>
          <cell r="M277" t="str">
            <v>Und</v>
          </cell>
        </row>
        <row r="278">
          <cell r="A278" t="str">
            <v>1950693</v>
          </cell>
          <cell r="B278">
            <v>11368</v>
          </cell>
          <cell r="C278" t="str">
            <v>ORLA #9  DORADA (UND)</v>
          </cell>
          <cell r="D278" t="str">
            <v>1950693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12/06/2020</v>
          </cell>
          <cell r="I278">
            <v>105</v>
          </cell>
          <cell r="J278">
            <v>1785000</v>
          </cell>
          <cell r="K278">
            <v>1</v>
          </cell>
          <cell r="L278">
            <v>105</v>
          </cell>
          <cell r="M278" t="str">
            <v>Und</v>
          </cell>
        </row>
        <row r="279">
          <cell r="A279" t="str">
            <v>1950699</v>
          </cell>
          <cell r="B279">
            <v>5734</v>
          </cell>
          <cell r="C279" t="str">
            <v>BASE PARA ROSQUETE (UND)</v>
          </cell>
          <cell r="D279" t="str">
            <v>1950699</v>
          </cell>
          <cell r="E279" t="str">
            <v>EMPAQUES PLANTA</v>
          </cell>
          <cell r="F279" t="str">
            <v>1 UND</v>
          </cell>
          <cell r="G279">
            <v>500</v>
          </cell>
          <cell r="H279" t="str">
            <v>15/06/2020</v>
          </cell>
          <cell r="I279">
            <v>125</v>
          </cell>
          <cell r="J279">
            <v>22087500</v>
          </cell>
          <cell r="K279">
            <v>1</v>
          </cell>
          <cell r="L279">
            <v>125</v>
          </cell>
          <cell r="M279" t="str">
            <v>Und</v>
          </cell>
        </row>
        <row r="280">
          <cell r="A280" t="str">
            <v>1950702</v>
          </cell>
          <cell r="B280">
            <v>12144</v>
          </cell>
          <cell r="C280" t="str">
            <v>BOLSA 12x18 TRANSP KILO</v>
          </cell>
          <cell r="D280" t="str">
            <v>1950702</v>
          </cell>
          <cell r="E280" t="str">
            <v>EMPAQUES PLANTA</v>
          </cell>
          <cell r="F280" t="str">
            <v xml:space="preserve">1 KILO </v>
          </cell>
          <cell r="G280">
            <v>500</v>
          </cell>
          <cell r="H280" t="str">
            <v>18/05/2020</v>
          </cell>
          <cell r="I280">
            <v>1400</v>
          </cell>
          <cell r="J280">
            <v>4622030</v>
          </cell>
          <cell r="K280">
            <v>125</v>
          </cell>
          <cell r="L280">
            <v>11.2</v>
          </cell>
          <cell r="M280" t="str">
            <v>Und</v>
          </cell>
        </row>
        <row r="281">
          <cell r="A281" t="str">
            <v>1950703</v>
          </cell>
          <cell r="B281">
            <v>5750</v>
          </cell>
          <cell r="C281" t="str">
            <v>BOLSA IMP. SPOON CAMI 8*16 KILO</v>
          </cell>
          <cell r="D281" t="str">
            <v>1950703</v>
          </cell>
          <cell r="E281" t="str">
            <v>EMPAQUES PLANTA</v>
          </cell>
          <cell r="F281" t="str">
            <v>1 KILO</v>
          </cell>
          <cell r="G281">
            <v>500</v>
          </cell>
          <cell r="H281" t="str">
            <v>14/02/2020</v>
          </cell>
          <cell r="I281">
            <v>1400</v>
          </cell>
          <cell r="J281">
            <v>70000</v>
          </cell>
          <cell r="K281">
            <v>1000</v>
          </cell>
          <cell r="L281" t="e">
            <v>#DIV/0!</v>
          </cell>
          <cell r="M281" t="str">
            <v>Gramos</v>
          </cell>
        </row>
        <row r="282">
          <cell r="A282" t="str">
            <v>1950704</v>
          </cell>
          <cell r="B282">
            <v>12088</v>
          </cell>
          <cell r="C282" t="str">
            <v>BOLSA 5x8 TRANSPARENTE KILO</v>
          </cell>
          <cell r="D282" t="str">
            <v>1950704</v>
          </cell>
          <cell r="E282" t="str">
            <v>EMPAQUES PLANTA</v>
          </cell>
          <cell r="F282" t="str">
            <v xml:space="preserve">1 KILO </v>
          </cell>
          <cell r="G282">
            <v>500</v>
          </cell>
          <cell r="H282" t="str">
            <v>05/06/2020</v>
          </cell>
          <cell r="I282">
            <v>1400</v>
          </cell>
          <cell r="J282">
            <v>1041600</v>
          </cell>
          <cell r="K282">
            <v>500</v>
          </cell>
          <cell r="L282">
            <v>2.8</v>
          </cell>
          <cell r="M282" t="str">
            <v>Gramos</v>
          </cell>
        </row>
        <row r="283">
          <cell r="A283" t="str">
            <v>1950705</v>
          </cell>
          <cell r="B283">
            <v>12089</v>
          </cell>
          <cell r="C283" t="str">
            <v>BOLSA 8x12 TRANSPARENTE KILO</v>
          </cell>
          <cell r="D283" t="str">
            <v>1950705</v>
          </cell>
          <cell r="E283" t="str">
            <v>EMPAQUES PLANTA</v>
          </cell>
          <cell r="F283" t="str">
            <v xml:space="preserve">1 KILO  </v>
          </cell>
          <cell r="G283">
            <v>500</v>
          </cell>
          <cell r="H283" t="str">
            <v>09/06/2020</v>
          </cell>
          <cell r="I283">
            <v>1400</v>
          </cell>
          <cell r="J283">
            <v>3941000</v>
          </cell>
          <cell r="K283">
            <v>200</v>
          </cell>
          <cell r="L283">
            <v>7</v>
          </cell>
          <cell r="M283" t="str">
            <v>Und</v>
          </cell>
        </row>
        <row r="284">
          <cell r="A284" t="str">
            <v>1950708</v>
          </cell>
          <cell r="B284">
            <v>5684</v>
          </cell>
          <cell r="C284" t="str">
            <v>BOLSA 17x25 TRANSP KILO</v>
          </cell>
          <cell r="D284" t="str">
            <v>1950708</v>
          </cell>
          <cell r="E284" t="str">
            <v>EMPAQUES PLANTA</v>
          </cell>
          <cell r="F284" t="str">
            <v>1 KILO</v>
          </cell>
          <cell r="G284">
            <v>500</v>
          </cell>
          <cell r="H284" t="str">
            <v>09/06/2020</v>
          </cell>
          <cell r="I284">
            <v>1400</v>
          </cell>
          <cell r="J284">
            <v>2252040</v>
          </cell>
          <cell r="K284">
            <v>42</v>
          </cell>
          <cell r="L284">
            <v>33.333333333333336</v>
          </cell>
          <cell r="M284" t="str">
            <v>Und</v>
          </cell>
        </row>
        <row r="285">
          <cell r="A285" t="str">
            <v>1950715</v>
          </cell>
          <cell r="B285">
            <v>5807</v>
          </cell>
          <cell r="C285" t="str">
            <v>CAPSULA # 2 BLANCA (PAQ:500 UND)</v>
          </cell>
          <cell r="D285" t="str">
            <v>1950715</v>
          </cell>
          <cell r="E285" t="str">
            <v>EMPAQUES PLANTA</v>
          </cell>
          <cell r="F285" t="str">
            <v>1 PAQUETE</v>
          </cell>
          <cell r="G285">
            <v>500</v>
          </cell>
          <cell r="H285" t="str">
            <v>31/03/2020</v>
          </cell>
          <cell r="I285">
            <v>1369.9</v>
          </cell>
          <cell r="J285">
            <v>4109.7</v>
          </cell>
          <cell r="K285">
            <v>500</v>
          </cell>
          <cell r="L285">
            <v>2.7398000000000002</v>
          </cell>
          <cell r="M285" t="str">
            <v>Und</v>
          </cell>
        </row>
        <row r="286">
          <cell r="A286" t="str">
            <v>1950716</v>
          </cell>
          <cell r="B286">
            <v>5823</v>
          </cell>
          <cell r="C286" t="str">
            <v>BANDEJA  94121 24 OZ (CAJA:200 UND)</v>
          </cell>
          <cell r="D286" t="str">
            <v>1950716</v>
          </cell>
          <cell r="E286" t="str">
            <v>EMPAQUES PLANTA</v>
          </cell>
          <cell r="F286" t="str">
            <v>1 CAJA</v>
          </cell>
          <cell r="G286">
            <v>500</v>
          </cell>
          <cell r="H286" t="str">
            <v>19/05/2020</v>
          </cell>
          <cell r="I286">
            <v>22181</v>
          </cell>
          <cell r="J286">
            <v>528978</v>
          </cell>
          <cell r="K286">
            <v>200</v>
          </cell>
          <cell r="L286">
            <v>110.905</v>
          </cell>
          <cell r="M286" t="str">
            <v>Und</v>
          </cell>
        </row>
        <row r="287">
          <cell r="A287" t="str">
            <v>1950725</v>
          </cell>
          <cell r="B287">
            <v>5792</v>
          </cell>
          <cell r="C287" t="str">
            <v>CAJA TROQUELADA # 25 (UND)</v>
          </cell>
          <cell r="D287" t="str">
            <v>1950725</v>
          </cell>
          <cell r="E287" t="str">
            <v>EMPAQUES PLANTA</v>
          </cell>
          <cell r="F287" t="str">
            <v>1 UND</v>
          </cell>
          <cell r="G287">
            <v>500</v>
          </cell>
          <cell r="H287" t="str">
            <v>27/03/2020</v>
          </cell>
          <cell r="I287">
            <v>1827.6369999999999</v>
          </cell>
          <cell r="J287">
            <v>993337.70429999998</v>
          </cell>
          <cell r="K287">
            <v>1</v>
          </cell>
          <cell r="L287">
            <v>1827.6369999999999</v>
          </cell>
          <cell r="M287" t="str">
            <v>Gramos</v>
          </cell>
        </row>
        <row r="288">
          <cell r="A288" t="str">
            <v>1950729</v>
          </cell>
          <cell r="B288">
            <v>5789</v>
          </cell>
          <cell r="C288" t="str">
            <v>CAJA BLANCA MEDIANA (PAQ:100 UND)</v>
          </cell>
          <cell r="D288" t="str">
            <v>1950729</v>
          </cell>
          <cell r="E288" t="str">
            <v>EMPAQUES PLANTA</v>
          </cell>
          <cell r="F288" t="str">
            <v>1 PAQUETE</v>
          </cell>
          <cell r="G288">
            <v>500</v>
          </cell>
          <cell r="H288" t="str">
            <v>27/03/2020</v>
          </cell>
          <cell r="I288">
            <v>4000</v>
          </cell>
          <cell r="J288">
            <v>1828000</v>
          </cell>
          <cell r="K288">
            <v>100</v>
          </cell>
          <cell r="L288">
            <v>40</v>
          </cell>
          <cell r="M288" t="str">
            <v>Und</v>
          </cell>
        </row>
        <row r="289">
          <cell r="A289" t="str">
            <v>1950730</v>
          </cell>
          <cell r="B289">
            <v>5788</v>
          </cell>
          <cell r="C289" t="str">
            <v>CAJA BLANCA PEQUEÑA (PAQ:100 UND)</v>
          </cell>
          <cell r="D289" t="str">
            <v>1950730</v>
          </cell>
          <cell r="E289" t="str">
            <v>EMPAQUES PLANTA</v>
          </cell>
          <cell r="F289" t="str">
            <v>1 PAQUETE</v>
          </cell>
          <cell r="G289">
            <v>500</v>
          </cell>
          <cell r="H289" t="str">
            <v>12/06/2020</v>
          </cell>
          <cell r="I289">
            <v>2450</v>
          </cell>
          <cell r="J289">
            <v>2000425</v>
          </cell>
          <cell r="K289">
            <v>100</v>
          </cell>
          <cell r="L289">
            <v>24.5</v>
          </cell>
          <cell r="M289" t="str">
            <v>Und</v>
          </cell>
        </row>
        <row r="290">
          <cell r="A290" t="str">
            <v>1950731</v>
          </cell>
          <cell r="B290">
            <v>5805</v>
          </cell>
          <cell r="C290" t="str">
            <v>CAPSULA # 3 LOGO (PAQ:1000 UND)</v>
          </cell>
          <cell r="D290" t="str">
            <v>1950731</v>
          </cell>
          <cell r="E290" t="str">
            <v>EMPAQUES PLANTA</v>
          </cell>
          <cell r="F290" t="str">
            <v>1 PAQUETE</v>
          </cell>
          <cell r="G290">
            <v>500</v>
          </cell>
          <cell r="H290" t="str">
            <v>15/06/2020</v>
          </cell>
          <cell r="I290">
            <v>7900</v>
          </cell>
          <cell r="J290">
            <v>3320965.1200000001</v>
          </cell>
          <cell r="K290">
            <v>1000</v>
          </cell>
          <cell r="L290">
            <v>7.9</v>
          </cell>
          <cell r="M290" t="str">
            <v>Und</v>
          </cell>
        </row>
        <row r="291">
          <cell r="A291" t="str">
            <v>1950732</v>
          </cell>
          <cell r="B291">
            <v>13561</v>
          </cell>
          <cell r="C291" t="str">
            <v>CAPSULA # 3 BLANCA (UND)</v>
          </cell>
          <cell r="D291" t="str">
            <v>1950732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16/12/2019</v>
          </cell>
          <cell r="I291">
            <v>3.3578000000000001</v>
          </cell>
          <cell r="J291">
            <v>16789</v>
          </cell>
          <cell r="K291">
            <v>1</v>
          </cell>
          <cell r="L291">
            <v>3.3578000000000001</v>
          </cell>
          <cell r="M291" t="str">
            <v>Und</v>
          </cell>
        </row>
        <row r="292">
          <cell r="A292" t="str">
            <v>1950733</v>
          </cell>
          <cell r="B292">
            <v>12624</v>
          </cell>
          <cell r="C292" t="str">
            <v>CAPSULA # 10 BLANCA (PAQ:500 UND)</v>
          </cell>
          <cell r="D292" t="str">
            <v>1950733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18/04/2020</v>
          </cell>
          <cell r="I292">
            <v>2976.7</v>
          </cell>
          <cell r="J292">
            <v>101204.3</v>
          </cell>
          <cell r="K292">
            <v>500</v>
          </cell>
          <cell r="L292">
            <v>5.9533999999999994</v>
          </cell>
          <cell r="M292" t="str">
            <v>Und</v>
          </cell>
        </row>
        <row r="293">
          <cell r="A293" t="str">
            <v>1950735</v>
          </cell>
          <cell r="B293">
            <v>5806</v>
          </cell>
          <cell r="C293" t="str">
            <v>CAPSULA # 5 LOGO (PAQ:1000 UND)</v>
          </cell>
          <cell r="D293" t="str">
            <v>1950735</v>
          </cell>
          <cell r="E293" t="str">
            <v>EMPAQUES PLANTA</v>
          </cell>
          <cell r="F293" t="str">
            <v>1 PAQUETE</v>
          </cell>
          <cell r="G293">
            <v>500</v>
          </cell>
          <cell r="H293" t="str">
            <v>12/06/2020</v>
          </cell>
          <cell r="I293">
            <v>1</v>
          </cell>
          <cell r="J293">
            <v>3459500</v>
          </cell>
          <cell r="K293">
            <v>1000</v>
          </cell>
          <cell r="L293">
            <v>1E-3</v>
          </cell>
          <cell r="M293" t="str">
            <v>Und</v>
          </cell>
        </row>
        <row r="294">
          <cell r="A294" t="str">
            <v>1950752</v>
          </cell>
          <cell r="B294">
            <v>5787</v>
          </cell>
          <cell r="C294" t="str">
            <v>CAJA BLANCA MINI (PAQ:100 UND)</v>
          </cell>
          <cell r="D294" t="str">
            <v>1959752</v>
          </cell>
          <cell r="E294" t="str">
            <v>EMPAQUES PLANTA</v>
          </cell>
          <cell r="F294" t="str">
            <v>1 PAQUETE</v>
          </cell>
          <cell r="G294">
            <v>500</v>
          </cell>
          <cell r="H294" t="str">
            <v>15/06/2020</v>
          </cell>
          <cell r="I294">
            <v>2100</v>
          </cell>
          <cell r="J294">
            <v>571200</v>
          </cell>
          <cell r="K294">
            <v>100</v>
          </cell>
          <cell r="L294">
            <v>21</v>
          </cell>
          <cell r="M294" t="str">
            <v>Und</v>
          </cell>
        </row>
        <row r="295">
          <cell r="A295" t="str">
            <v>1950756</v>
          </cell>
          <cell r="B295">
            <v>5722</v>
          </cell>
          <cell r="C295" t="str">
            <v>BANDEJA ALUMINIO# 4040 6P (CAJA:250 UND)</v>
          </cell>
          <cell r="D295" t="str">
            <v>1950756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15/06/2020</v>
          </cell>
          <cell r="I295">
            <v>50378</v>
          </cell>
          <cell r="J295">
            <v>5748232</v>
          </cell>
          <cell r="K295">
            <v>250</v>
          </cell>
          <cell r="L295">
            <v>201.512</v>
          </cell>
          <cell r="M295" t="str">
            <v>Und</v>
          </cell>
        </row>
        <row r="296">
          <cell r="A296" t="str">
            <v>1950767</v>
          </cell>
          <cell r="B296">
            <v>5842</v>
          </cell>
          <cell r="C296" t="str">
            <v>PAPEL ALUMINIO 12 * 1000 (CAJA)</v>
          </cell>
          <cell r="D296" t="str">
            <v>1950767</v>
          </cell>
          <cell r="E296" t="str">
            <v>EMPAQUES PLANTA</v>
          </cell>
          <cell r="F296" t="str">
            <v>1 CAJA</v>
          </cell>
          <cell r="G296">
            <v>500</v>
          </cell>
          <cell r="H296" t="str">
            <v>16/01/2020</v>
          </cell>
          <cell r="I296">
            <v>14758</v>
          </cell>
          <cell r="J296">
            <v>29729</v>
          </cell>
          <cell r="K296">
            <v>10000</v>
          </cell>
          <cell r="L296">
            <v>1.4758</v>
          </cell>
          <cell r="M296" t="str">
            <v>Cm</v>
          </cell>
        </row>
        <row r="297">
          <cell r="A297" t="str">
            <v>1950769</v>
          </cell>
          <cell r="B297">
            <v>5835</v>
          </cell>
          <cell r="C297" t="str">
            <v>ORLA N°3 DORADA (UND)</v>
          </cell>
          <cell r="D297" t="str">
            <v>1950769</v>
          </cell>
          <cell r="E297" t="str">
            <v>EMPAQUES PLANTA</v>
          </cell>
          <cell r="F297" t="str">
            <v>1 UND</v>
          </cell>
          <cell r="G297">
            <v>500</v>
          </cell>
          <cell r="H297" t="str">
            <v>29/04/2020</v>
          </cell>
          <cell r="I297">
            <v>29</v>
          </cell>
          <cell r="J297">
            <v>464000</v>
          </cell>
          <cell r="K297">
            <v>1</v>
          </cell>
          <cell r="L297">
            <v>29</v>
          </cell>
          <cell r="M297" t="str">
            <v>Und</v>
          </cell>
        </row>
        <row r="298">
          <cell r="A298" t="str">
            <v>1950771</v>
          </cell>
          <cell r="B298">
            <v>5843</v>
          </cell>
          <cell r="C298" t="str">
            <v>PAPEL ENCERADO 10X10 (CAJA)</v>
          </cell>
          <cell r="D298" t="str">
            <v>1950771</v>
          </cell>
          <cell r="E298" t="str">
            <v>EMPAQUES PLANTA</v>
          </cell>
          <cell r="F298" t="str">
            <v>1 CAJA</v>
          </cell>
          <cell r="G298">
            <v>500</v>
          </cell>
          <cell r="H298" t="str">
            <v>17/03/2020</v>
          </cell>
          <cell r="I298">
            <v>2791</v>
          </cell>
          <cell r="J298">
            <v>58556</v>
          </cell>
          <cell r="K298">
            <v>500</v>
          </cell>
          <cell r="L298">
            <v>5.5819999999999999</v>
          </cell>
          <cell r="M298" t="str">
            <v>Und</v>
          </cell>
        </row>
        <row r="299">
          <cell r="A299" t="str">
            <v>1950772</v>
          </cell>
          <cell r="B299">
            <v>5844</v>
          </cell>
          <cell r="C299" t="str">
            <v>PAPEL ENCERADO 12 X 10 (CAJA:500 UND)</v>
          </cell>
          <cell r="D299" t="str">
            <v>1950772</v>
          </cell>
          <cell r="E299" t="str">
            <v>EMPAQUES PLANTA</v>
          </cell>
          <cell r="F299" t="str">
            <v>1 CAJA</v>
          </cell>
          <cell r="G299">
            <v>500</v>
          </cell>
          <cell r="H299" t="str">
            <v>21/03/2020</v>
          </cell>
          <cell r="I299">
            <v>3519</v>
          </cell>
          <cell r="J299">
            <v>81123</v>
          </cell>
          <cell r="K299">
            <v>500</v>
          </cell>
          <cell r="L299">
            <v>7.0380000000000003</v>
          </cell>
          <cell r="M299" t="str">
            <v>Und</v>
          </cell>
        </row>
        <row r="300">
          <cell r="A300" t="str">
            <v>1950786</v>
          </cell>
          <cell r="B300">
            <v>5752</v>
          </cell>
          <cell r="C300" t="str">
            <v>BOLSA IMP. SPOON CAMI 12*25 KILO</v>
          </cell>
          <cell r="D300" t="str">
            <v>1950786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05/06/2020</v>
          </cell>
          <cell r="I300">
            <v>1850</v>
          </cell>
          <cell r="J300">
            <v>2997000</v>
          </cell>
          <cell r="K300">
            <v>1</v>
          </cell>
          <cell r="L300" t="e">
            <v>#DIV/0!</v>
          </cell>
          <cell r="M300" t="str">
            <v>Gramos</v>
          </cell>
        </row>
        <row r="301">
          <cell r="A301" t="str">
            <v>1950797</v>
          </cell>
          <cell r="B301">
            <v>1656</v>
          </cell>
          <cell r="C301" t="str">
            <v>VASO PLAST. TRASL 16OZ (PAQ:50 UND)</v>
          </cell>
          <cell r="D301" t="str">
            <v>1950797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29/05/2020</v>
          </cell>
          <cell r="I301">
            <v>1</v>
          </cell>
          <cell r="J301">
            <v>366184</v>
          </cell>
          <cell r="K301">
            <v>50</v>
          </cell>
          <cell r="L301">
            <v>0.02</v>
          </cell>
          <cell r="M301" t="str">
            <v>Unidades</v>
          </cell>
        </row>
        <row r="302">
          <cell r="A302" t="str">
            <v>1950808</v>
          </cell>
          <cell r="B302">
            <v>11369</v>
          </cell>
          <cell r="C302" t="str">
            <v>ORLA CARTON  8" DORADA (UND)</v>
          </cell>
          <cell r="D302" t="str">
            <v>1950808</v>
          </cell>
          <cell r="E302" t="str">
            <v>EMPAQUES PLANTA</v>
          </cell>
          <cell r="F302" t="str">
            <v>1 UND</v>
          </cell>
          <cell r="G302">
            <v>500</v>
          </cell>
          <cell r="H302" t="str">
            <v>12/06/2020</v>
          </cell>
          <cell r="I302">
            <v>77</v>
          </cell>
          <cell r="J302">
            <v>7007000</v>
          </cell>
          <cell r="K302">
            <v>1</v>
          </cell>
          <cell r="L302">
            <v>77</v>
          </cell>
          <cell r="M302" t="str">
            <v>Und</v>
          </cell>
        </row>
        <row r="303">
          <cell r="A303" t="str">
            <v>1950811</v>
          </cell>
          <cell r="B303">
            <v>5737</v>
          </cell>
          <cell r="C303" t="str">
            <v>BASE CARTON 15 PORCIONES (UND)</v>
          </cell>
          <cell r="D303" t="str">
            <v>1950811</v>
          </cell>
          <cell r="E303" t="str">
            <v>EMPAQUES PLANTA</v>
          </cell>
          <cell r="F303" t="str">
            <v>1 UND</v>
          </cell>
          <cell r="G303">
            <v>500</v>
          </cell>
          <cell r="H303" t="str">
            <v>12/06/2020</v>
          </cell>
          <cell r="I303">
            <v>165</v>
          </cell>
          <cell r="J303">
            <v>4587000</v>
          </cell>
          <cell r="K303">
            <v>1</v>
          </cell>
          <cell r="L303">
            <v>165</v>
          </cell>
          <cell r="M303" t="str">
            <v>Und</v>
          </cell>
        </row>
        <row r="304">
          <cell r="A304" t="str">
            <v>1950818</v>
          </cell>
          <cell r="B304">
            <v>5861</v>
          </cell>
          <cell r="C304" t="str">
            <v>QUEQUERA RECT. T41 (CAJA:50 UND)</v>
          </cell>
          <cell r="D304" t="str">
            <v>1950818</v>
          </cell>
          <cell r="E304" t="str">
            <v>EMPAQUES PLANTA</v>
          </cell>
          <cell r="F304" t="str">
            <v>1 CAJA</v>
          </cell>
          <cell r="G304">
            <v>500</v>
          </cell>
          <cell r="H304" t="str">
            <v>11/06/2020</v>
          </cell>
          <cell r="I304">
            <v>39819</v>
          </cell>
          <cell r="J304">
            <v>20101598</v>
          </cell>
          <cell r="K304">
            <v>50</v>
          </cell>
          <cell r="L304">
            <v>796.38</v>
          </cell>
          <cell r="M304" t="str">
            <v>Und</v>
          </cell>
        </row>
        <row r="305">
          <cell r="A305" t="str">
            <v>1950829</v>
          </cell>
          <cell r="B305">
            <v>5739</v>
          </cell>
          <cell r="C305" t="str">
            <v>BASE CARTON 30 PORCIONES UND</v>
          </cell>
          <cell r="D305" t="str">
            <v>1950829</v>
          </cell>
          <cell r="E305" t="str">
            <v>EMPAQUES PLANTA</v>
          </cell>
          <cell r="F305" t="str">
            <v>1 UND</v>
          </cell>
          <cell r="G305">
            <v>500</v>
          </cell>
          <cell r="H305" t="str">
            <v>20/03/2020</v>
          </cell>
          <cell r="I305">
            <v>212</v>
          </cell>
          <cell r="J305">
            <v>890400</v>
          </cell>
          <cell r="K305">
            <v>1</v>
          </cell>
          <cell r="L305">
            <v>212</v>
          </cell>
          <cell r="M305" t="str">
            <v>Und</v>
          </cell>
        </row>
        <row r="306">
          <cell r="A306" t="str">
            <v>1950837</v>
          </cell>
          <cell r="B306">
            <v>5778</v>
          </cell>
          <cell r="C306" t="str">
            <v>FONDO P/CAJA BLANCA (PAQ:100 UND)</v>
          </cell>
          <cell r="D306" t="str">
            <v>1950837</v>
          </cell>
          <cell r="E306" t="str">
            <v>EMPAQUES PLANTA</v>
          </cell>
          <cell r="F306" t="str">
            <v>1 PAQUETE</v>
          </cell>
          <cell r="G306">
            <v>500</v>
          </cell>
          <cell r="H306" t="str">
            <v>05/06/2020</v>
          </cell>
          <cell r="I306">
            <v>5300</v>
          </cell>
          <cell r="J306">
            <v>312700</v>
          </cell>
          <cell r="K306">
            <v>100</v>
          </cell>
          <cell r="L306">
            <v>53</v>
          </cell>
          <cell r="M306" t="str">
            <v>Und</v>
          </cell>
        </row>
        <row r="307">
          <cell r="A307" t="str">
            <v>1950853</v>
          </cell>
          <cell r="B307">
            <v>5811</v>
          </cell>
          <cell r="C307" t="str">
            <v>VASO 9oz SUNDA TS9 PAQ:50(CAJA:1000 UND)</v>
          </cell>
          <cell r="D307" t="str">
            <v>1950853</v>
          </cell>
          <cell r="E307" t="str">
            <v>EMPAQUES PLANTA</v>
          </cell>
          <cell r="F307" t="str">
            <v>1 CAJA</v>
          </cell>
          <cell r="G307">
            <v>500</v>
          </cell>
          <cell r="H307" t="str">
            <v>18/05/2020</v>
          </cell>
          <cell r="I307">
            <v>41500</v>
          </cell>
          <cell r="J307">
            <v>664000</v>
          </cell>
          <cell r="K307">
            <v>1000</v>
          </cell>
          <cell r="L307">
            <v>41.5</v>
          </cell>
          <cell r="M307" t="str">
            <v>Und</v>
          </cell>
        </row>
        <row r="308">
          <cell r="A308" t="str">
            <v>1950854</v>
          </cell>
          <cell r="B308">
            <v>5812</v>
          </cell>
          <cell r="C308" t="str">
            <v>TAPA VASO 9oz P/SUN PAQ:50 (CAJA:2000UN)</v>
          </cell>
          <cell r="D308" t="str">
            <v>1950854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18/05/2020</v>
          </cell>
          <cell r="I308">
            <v>39500</v>
          </cell>
          <cell r="J308">
            <v>276500</v>
          </cell>
          <cell r="K308">
            <v>2000</v>
          </cell>
          <cell r="L308">
            <v>19.75</v>
          </cell>
          <cell r="M308" t="str">
            <v>Und</v>
          </cell>
        </row>
        <row r="309">
          <cell r="A309" t="str">
            <v>1950865</v>
          </cell>
          <cell r="B309">
            <v>5859</v>
          </cell>
          <cell r="C309" t="str">
            <v>QUEQUERA 8 ALTA (CAJA:70 UND)</v>
          </cell>
          <cell r="D309" t="str">
            <v>1950865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24/03/2020</v>
          </cell>
          <cell r="I309">
            <v>16752.04</v>
          </cell>
          <cell r="J309">
            <v>3369214.8</v>
          </cell>
          <cell r="K309">
            <v>70</v>
          </cell>
          <cell r="L309">
            <v>239.31485714285716</v>
          </cell>
          <cell r="M309" t="str">
            <v>Und</v>
          </cell>
        </row>
        <row r="310">
          <cell r="A310" t="str">
            <v>1950873</v>
          </cell>
          <cell r="B310">
            <v>11505</v>
          </cell>
          <cell r="C310" t="str">
            <v>BOLSA CELOFAN 30X45 (KILO)</v>
          </cell>
          <cell r="D310" t="str">
            <v>1950873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10/06/2020</v>
          </cell>
          <cell r="I310">
            <v>4240.53</v>
          </cell>
          <cell r="J310">
            <v>1975979.19</v>
          </cell>
          <cell r="K310">
            <v>100</v>
          </cell>
          <cell r="L310">
            <v>42.405299999999997</v>
          </cell>
          <cell r="M310" t="str">
            <v>Gramos</v>
          </cell>
        </row>
        <row r="311">
          <cell r="A311" t="str">
            <v>1950880</v>
          </cell>
          <cell r="B311">
            <v>12754</v>
          </cell>
          <cell r="C311" t="str">
            <v>TAPA BANDEJA PLAST 3 DIV (CAJA:250 UND)</v>
          </cell>
          <cell r="D311" t="str">
            <v>1950880</v>
          </cell>
          <cell r="E311" t="str">
            <v>EMPAQUES PLANTA</v>
          </cell>
          <cell r="F311" t="str">
            <v xml:space="preserve">1 CAJA </v>
          </cell>
          <cell r="G311">
            <v>500</v>
          </cell>
          <cell r="H311" t="str">
            <v>04/06/2020</v>
          </cell>
          <cell r="I311">
            <v>23093</v>
          </cell>
          <cell r="J311">
            <v>228916</v>
          </cell>
          <cell r="K311">
            <v>250</v>
          </cell>
          <cell r="L311">
            <v>92.372</v>
          </cell>
          <cell r="M311" t="str">
            <v>Und</v>
          </cell>
        </row>
        <row r="312">
          <cell r="A312" t="str">
            <v>1950887</v>
          </cell>
          <cell r="B312">
            <v>5848</v>
          </cell>
          <cell r="C312" t="str">
            <v>PLATO 9 COMPOSTABLE CAJA:500 (UND)</v>
          </cell>
          <cell r="D312" t="str">
            <v>1950887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10/03/2020</v>
          </cell>
          <cell r="I312">
            <v>61.02</v>
          </cell>
          <cell r="J312">
            <v>346850</v>
          </cell>
          <cell r="K312">
            <v>1</v>
          </cell>
          <cell r="L312">
            <v>61.02</v>
          </cell>
          <cell r="M312" t="str">
            <v>Und</v>
          </cell>
        </row>
        <row r="313">
          <cell r="A313" t="str">
            <v>1950888</v>
          </cell>
          <cell r="B313">
            <v>5849</v>
          </cell>
          <cell r="C313" t="str">
            <v>PLATO  6 COMPOSTABLE (CAJA:1000 UND)</v>
          </cell>
          <cell r="D313" t="str">
            <v>1950888</v>
          </cell>
          <cell r="E313" t="str">
            <v>EMPAQUES PLANTA</v>
          </cell>
          <cell r="F313" t="str">
            <v>1 UND</v>
          </cell>
          <cell r="G313">
            <v>500</v>
          </cell>
          <cell r="H313" t="str">
            <v>25/02/2020</v>
          </cell>
          <cell r="I313">
            <v>29.945</v>
          </cell>
          <cell r="J313">
            <v>179670</v>
          </cell>
          <cell r="K313">
            <v>1</v>
          </cell>
          <cell r="L313">
            <v>29.945</v>
          </cell>
          <cell r="M313" t="str">
            <v>Und</v>
          </cell>
        </row>
        <row r="314">
          <cell r="A314" t="str">
            <v>1950895</v>
          </cell>
          <cell r="B314">
            <v>5755</v>
          </cell>
          <cell r="C314" t="str">
            <v>BOLSA CELOFAN 6 X 9 (KILO)</v>
          </cell>
          <cell r="D314" t="str">
            <v>1950895</v>
          </cell>
          <cell r="E314" t="str">
            <v>EMPAQUES PLANTA</v>
          </cell>
          <cell r="F314" t="str">
            <v>1 KILO</v>
          </cell>
          <cell r="G314">
            <v>500</v>
          </cell>
          <cell r="H314" t="str">
            <v>27/02/2020</v>
          </cell>
          <cell r="I314">
            <v>4227.38</v>
          </cell>
          <cell r="J314">
            <v>202491.50200000001</v>
          </cell>
          <cell r="K314">
            <v>334</v>
          </cell>
          <cell r="L314">
            <v>12.65682634730539</v>
          </cell>
          <cell r="M314" t="str">
            <v>Gramos</v>
          </cell>
        </row>
        <row r="315">
          <cell r="A315" t="str">
            <v>1950896</v>
          </cell>
          <cell r="B315">
            <v>5721</v>
          </cell>
          <cell r="C315" t="str">
            <v>BANDEJA 17-1 NEGRA (PAQ:500 UND)</v>
          </cell>
          <cell r="D315" t="str">
            <v>1950896</v>
          </cell>
          <cell r="E315" t="str">
            <v>EMPAQUES PLANTA</v>
          </cell>
          <cell r="F315" t="str">
            <v>1 PAQUETE</v>
          </cell>
          <cell r="G315">
            <v>500</v>
          </cell>
          <cell r="H315" t="str">
            <v>23/03/2020</v>
          </cell>
          <cell r="I315">
            <v>14288</v>
          </cell>
          <cell r="J315">
            <v>57152</v>
          </cell>
          <cell r="K315">
            <v>500</v>
          </cell>
          <cell r="L315">
            <v>28.576000000000001</v>
          </cell>
          <cell r="M315" t="str">
            <v>Und</v>
          </cell>
        </row>
        <row r="316">
          <cell r="A316" t="str">
            <v>1950904</v>
          </cell>
          <cell r="B316">
            <v>5685</v>
          </cell>
          <cell r="C316" t="str">
            <v>BOLSA TRANSPARENTE  6 X 10 KILO</v>
          </cell>
          <cell r="D316" t="str">
            <v>1950904</v>
          </cell>
          <cell r="E316" t="str">
            <v>EMPAQUES PLANTA</v>
          </cell>
          <cell r="F316" t="str">
            <v>1 KILO</v>
          </cell>
          <cell r="G316">
            <v>500</v>
          </cell>
          <cell r="H316" t="str">
            <v>23/03/2020</v>
          </cell>
          <cell r="I316">
            <v>1400</v>
          </cell>
          <cell r="J316">
            <v>840000</v>
          </cell>
          <cell r="K316">
            <v>334</v>
          </cell>
          <cell r="L316">
            <v>4.1916167664670656</v>
          </cell>
          <cell r="M316" t="str">
            <v>Und</v>
          </cell>
        </row>
        <row r="317">
          <cell r="A317" t="str">
            <v>1950909</v>
          </cell>
          <cell r="B317">
            <v>14061</v>
          </cell>
          <cell r="C317" t="str">
            <v>CONT.24 ONZ.TAPA PLANA (CAJA:200 UND)</v>
          </cell>
          <cell r="D317" t="str">
            <v>1950909</v>
          </cell>
          <cell r="E317" t="str">
            <v>EMPAQUES PLANTA</v>
          </cell>
          <cell r="F317" t="str">
            <v>1 CAJA</v>
          </cell>
          <cell r="G317">
            <v>500</v>
          </cell>
          <cell r="H317" t="str">
            <v>02/06/2020</v>
          </cell>
          <cell r="I317">
            <v>34399.5</v>
          </cell>
          <cell r="J317">
            <v>894387</v>
          </cell>
          <cell r="K317">
            <v>200</v>
          </cell>
          <cell r="L317">
            <v>171.9975</v>
          </cell>
          <cell r="M317" t="str">
            <v>Und</v>
          </cell>
        </row>
        <row r="318">
          <cell r="A318" t="str">
            <v>1950914</v>
          </cell>
          <cell r="B318">
            <v>5733</v>
          </cell>
          <cell r="C318" t="str">
            <v>PORTA VASO 4 CAVIDADES (UND)</v>
          </cell>
          <cell r="D318" t="str">
            <v>1950914</v>
          </cell>
          <cell r="E318" t="str">
            <v>EMPAQUES PLANTA</v>
          </cell>
          <cell r="F318" t="str">
            <v>1 UND</v>
          </cell>
          <cell r="G318">
            <v>500</v>
          </cell>
          <cell r="H318" t="str">
            <v>29/05/2020</v>
          </cell>
          <cell r="I318">
            <v>1</v>
          </cell>
          <cell r="J318">
            <v>322554</v>
          </cell>
          <cell r="K318">
            <v>1</v>
          </cell>
          <cell r="L318">
            <v>1</v>
          </cell>
          <cell r="M318" t="str">
            <v>Und</v>
          </cell>
        </row>
        <row r="319">
          <cell r="A319" t="str">
            <v>1950921</v>
          </cell>
          <cell r="B319">
            <v>12107</v>
          </cell>
          <cell r="C319" t="str">
            <v>TAPA SUFLE PLAS 5/.75/1 OZ (PAQ:100 UND)</v>
          </cell>
          <cell r="D319" t="str">
            <v>1950921</v>
          </cell>
          <cell r="E319" t="str">
            <v>EMPAQUES PLANTA</v>
          </cell>
          <cell r="F319" t="str">
            <v>1 PAQUETE</v>
          </cell>
          <cell r="G319">
            <v>500</v>
          </cell>
          <cell r="H319" t="str">
            <v>05/06/2020</v>
          </cell>
          <cell r="I319">
            <v>541.96</v>
          </cell>
          <cell r="J319">
            <v>391729</v>
          </cell>
          <cell r="K319">
            <v>100</v>
          </cell>
          <cell r="L319">
            <v>5.4196</v>
          </cell>
          <cell r="M319" t="str">
            <v>Und</v>
          </cell>
        </row>
        <row r="320">
          <cell r="A320" t="str">
            <v>1950928</v>
          </cell>
          <cell r="B320">
            <v>5686</v>
          </cell>
          <cell r="C320" t="str">
            <v>BOLSA TRANSPARENTE 56X96X1.80 KILO</v>
          </cell>
          <cell r="D320" t="str">
            <v>1950928</v>
          </cell>
          <cell r="E320" t="str">
            <v>EMPAQUES PLANTA</v>
          </cell>
          <cell r="F320" t="str">
            <v>1 KILO</v>
          </cell>
          <cell r="G320">
            <v>500</v>
          </cell>
          <cell r="H320" t="str">
            <v>05/06/2020</v>
          </cell>
          <cell r="I320">
            <v>1400</v>
          </cell>
          <cell r="J320">
            <v>1995000</v>
          </cell>
          <cell r="K320">
            <v>28</v>
          </cell>
          <cell r="L320">
            <v>50</v>
          </cell>
          <cell r="M320" t="str">
            <v>Und</v>
          </cell>
        </row>
        <row r="321">
          <cell r="A321" t="str">
            <v>1950942</v>
          </cell>
          <cell r="B321">
            <v>11370</v>
          </cell>
          <cell r="C321" t="str">
            <v>ORLA #4 AZUL REDONDA (UND)</v>
          </cell>
          <cell r="D321" t="str">
            <v>1950942</v>
          </cell>
          <cell r="E321" t="str">
            <v>EMPAQUES PLANTA</v>
          </cell>
          <cell r="F321" t="str">
            <v>1 UND</v>
          </cell>
          <cell r="G321">
            <v>500</v>
          </cell>
          <cell r="H321" t="str">
            <v>15/06/2020</v>
          </cell>
          <cell r="I321">
            <v>33</v>
          </cell>
          <cell r="J321">
            <v>1194600</v>
          </cell>
          <cell r="K321">
            <v>1</v>
          </cell>
          <cell r="L321">
            <v>33</v>
          </cell>
          <cell r="M321" t="str">
            <v>Und</v>
          </cell>
        </row>
        <row r="322">
          <cell r="A322" t="str">
            <v>1950959</v>
          </cell>
          <cell r="B322">
            <v>12110</v>
          </cell>
          <cell r="C322" t="str">
            <v>TAPA PLAST SUFLE 3.25 ONZ (CAJA:20 PAQ)</v>
          </cell>
          <cell r="D322" t="str">
            <v>1950959</v>
          </cell>
          <cell r="E322" t="str">
            <v>EMPAQUES PLANTA</v>
          </cell>
          <cell r="F322" t="str">
            <v>1 CAJA</v>
          </cell>
          <cell r="G322">
            <v>500</v>
          </cell>
          <cell r="H322" t="str">
            <v>11/06/2020</v>
          </cell>
          <cell r="I322">
            <v>1</v>
          </cell>
          <cell r="J322">
            <v>365821</v>
          </cell>
          <cell r="K322">
            <v>20</v>
          </cell>
          <cell r="L322">
            <v>0.05</v>
          </cell>
          <cell r="M322" t="str">
            <v>Und</v>
          </cell>
        </row>
        <row r="323">
          <cell r="A323" t="str">
            <v>1952378</v>
          </cell>
          <cell r="B323">
            <v>5819</v>
          </cell>
          <cell r="C323" t="str">
            <v>CONTEN. TAPA PLANA (CAJA: 480 UND)</v>
          </cell>
          <cell r="D323" t="str">
            <v>1952378</v>
          </cell>
          <cell r="E323" t="str">
            <v>EMPAQUES PLANTA</v>
          </cell>
          <cell r="F323" t="str">
            <v>1 CAJA</v>
          </cell>
          <cell r="G323">
            <v>500</v>
          </cell>
          <cell r="H323" t="str">
            <v>30/04/2020</v>
          </cell>
          <cell r="I323">
            <v>26880</v>
          </cell>
          <cell r="J323">
            <v>456960</v>
          </cell>
          <cell r="K323">
            <v>480</v>
          </cell>
          <cell r="L323">
            <v>56</v>
          </cell>
          <cell r="M323" t="str">
            <v>Und</v>
          </cell>
        </row>
        <row r="324">
          <cell r="A324" t="str">
            <v>1952400</v>
          </cell>
          <cell r="B324">
            <v>5759</v>
          </cell>
          <cell r="C324" t="str">
            <v>BOLSA BUCCA PALMERITAS (10*20CM)( KILO )</v>
          </cell>
          <cell r="D324" t="str">
            <v>1952400</v>
          </cell>
          <cell r="E324" t="str">
            <v>EMPAQUES PLANTA</v>
          </cell>
          <cell r="F324" t="str">
            <v>1 KILO</v>
          </cell>
          <cell r="G324">
            <v>500</v>
          </cell>
          <cell r="H324" t="str">
            <v>01/02/2020</v>
          </cell>
          <cell r="I324">
            <v>3916.8</v>
          </cell>
          <cell r="J324">
            <v>117504</v>
          </cell>
          <cell r="K324">
            <v>1000</v>
          </cell>
          <cell r="L324">
            <v>3.9168000000000003</v>
          </cell>
          <cell r="M324" t="str">
            <v>Und</v>
          </cell>
        </row>
        <row r="325">
          <cell r="A325" t="str">
            <v>1952409</v>
          </cell>
          <cell r="B325">
            <v>5723</v>
          </cell>
          <cell r="C325" t="str">
            <v>BANDEJA ALUMINIO A-42 (4POR)(CAJA:500 U)</v>
          </cell>
          <cell r="D325" t="str">
            <v>1952409</v>
          </cell>
          <cell r="E325" t="str">
            <v>EMPAQUES PLANTA</v>
          </cell>
          <cell r="F325" t="str">
            <v>1 UND</v>
          </cell>
          <cell r="G325">
            <v>500</v>
          </cell>
          <cell r="H325" t="str">
            <v>05/06/2020</v>
          </cell>
          <cell r="I325">
            <v>90</v>
          </cell>
          <cell r="J325">
            <v>539500</v>
          </cell>
          <cell r="K325">
            <v>1</v>
          </cell>
          <cell r="L325">
            <v>90</v>
          </cell>
          <cell r="M325" t="str">
            <v>Und</v>
          </cell>
        </row>
        <row r="326">
          <cell r="A326" t="str">
            <v>1952410</v>
          </cell>
          <cell r="B326">
            <v>5724</v>
          </cell>
          <cell r="C326" t="str">
            <v>TAPA CONTE.ALUMI A-42 (4 POR) (CAJA:500)</v>
          </cell>
          <cell r="D326" t="str">
            <v>1952410</v>
          </cell>
          <cell r="E326" t="str">
            <v>EMPAQUES PLANTA</v>
          </cell>
          <cell r="F326" t="str">
            <v>1 UND</v>
          </cell>
          <cell r="G326">
            <v>500</v>
          </cell>
          <cell r="H326" t="str">
            <v>05/06/2020</v>
          </cell>
          <cell r="I326">
            <v>64.400000000000006</v>
          </cell>
          <cell r="J326">
            <v>387400</v>
          </cell>
          <cell r="K326">
            <v>1</v>
          </cell>
          <cell r="L326">
            <v>64.400000000000006</v>
          </cell>
          <cell r="M326" t="str">
            <v>Und</v>
          </cell>
        </row>
        <row r="327">
          <cell r="A327" t="str">
            <v>1952432</v>
          </cell>
          <cell r="B327">
            <v>5725</v>
          </cell>
          <cell r="C327" t="str">
            <v>TAPA BAND ALUM 4040 (CAJA:250 UND)</v>
          </cell>
          <cell r="D327" t="str">
            <v>1952432</v>
          </cell>
          <cell r="E327" t="str">
            <v>EMPAQUES PLANTA</v>
          </cell>
          <cell r="F327" t="str">
            <v>1 CAJA</v>
          </cell>
          <cell r="G327">
            <v>500</v>
          </cell>
          <cell r="H327" t="str">
            <v>15/06/2020</v>
          </cell>
          <cell r="I327">
            <v>20533</v>
          </cell>
          <cell r="J327">
            <v>2341465</v>
          </cell>
          <cell r="K327">
            <v>250</v>
          </cell>
          <cell r="L327">
            <v>82.132000000000005</v>
          </cell>
          <cell r="M327" t="str">
            <v>Und</v>
          </cell>
        </row>
        <row r="328">
          <cell r="A328" t="str">
            <v>1952434</v>
          </cell>
          <cell r="B328">
            <v>11577</v>
          </cell>
          <cell r="C328" t="str">
            <v>CAJA SPOON #1 (20 UND) (INDUSTRIA)</v>
          </cell>
          <cell r="D328" t="str">
            <v>1952434</v>
          </cell>
          <cell r="E328" t="str">
            <v>EMPAQUES PLANTA</v>
          </cell>
          <cell r="F328" t="str">
            <v>1 UND</v>
          </cell>
          <cell r="G328">
            <v>500</v>
          </cell>
          <cell r="H328" t="str">
            <v>10/06/2020</v>
          </cell>
          <cell r="I328">
            <v>460</v>
          </cell>
          <cell r="J328">
            <v>59926500</v>
          </cell>
          <cell r="K328">
            <v>1</v>
          </cell>
          <cell r="L328">
            <v>460</v>
          </cell>
          <cell r="M328" t="str">
            <v>Und</v>
          </cell>
        </row>
        <row r="329">
          <cell r="A329" t="str">
            <v>1952445</v>
          </cell>
          <cell r="B329">
            <v>8129</v>
          </cell>
          <cell r="C329" t="str">
            <v>CAJA SIX PACK MUSMANNI (UND)</v>
          </cell>
          <cell r="D329" t="str">
            <v>1952445</v>
          </cell>
          <cell r="E329" t="str">
            <v>EMPAQUES PLANTA</v>
          </cell>
          <cell r="F329" t="str">
            <v>1 UND</v>
          </cell>
          <cell r="G329">
            <v>500</v>
          </cell>
          <cell r="H329" t="str">
            <v>20/05/2020</v>
          </cell>
          <cell r="I329">
            <v>185</v>
          </cell>
          <cell r="J329">
            <v>897250</v>
          </cell>
          <cell r="K329">
            <v>1</v>
          </cell>
          <cell r="L329">
            <v>185</v>
          </cell>
          <cell r="M329" t="str">
            <v>Und</v>
          </cell>
        </row>
        <row r="330">
          <cell r="A330" t="str">
            <v>1952826</v>
          </cell>
          <cell r="B330">
            <v>12114</v>
          </cell>
          <cell r="C330" t="str">
            <v>TAPA DOMO P/VASO TRASL 16onz ( PAQ*100)</v>
          </cell>
          <cell r="D330" t="str">
            <v>1952826</v>
          </cell>
          <cell r="E330" t="str">
            <v>EMPAQUES PLANTA</v>
          </cell>
          <cell r="F330" t="str">
            <v>1 PAQUETE</v>
          </cell>
          <cell r="G330">
            <v>500</v>
          </cell>
          <cell r="H330" t="str">
            <v>22/05/2020</v>
          </cell>
          <cell r="I330">
            <v>3270.75</v>
          </cell>
          <cell r="J330">
            <v>364143.5</v>
          </cell>
          <cell r="K330">
            <v>100</v>
          </cell>
          <cell r="L330">
            <v>32.707500000000003</v>
          </cell>
          <cell r="M330" t="str">
            <v>Gramos</v>
          </cell>
        </row>
        <row r="331">
          <cell r="A331" t="str">
            <v>1952831</v>
          </cell>
          <cell r="B331">
            <v>13333</v>
          </cell>
          <cell r="C331" t="str">
            <v>TAPA NESCAFE 12/14/16  ONZ (PAQ:100 UND)</v>
          </cell>
          <cell r="D331" t="str">
            <v>1952831</v>
          </cell>
          <cell r="E331" t="str">
            <v>EMPAQUES PLANTA</v>
          </cell>
          <cell r="F331" t="str">
            <v>1 PAQUETE</v>
          </cell>
          <cell r="G331">
            <v>500</v>
          </cell>
          <cell r="H331" t="str">
            <v>27/12/2019</v>
          </cell>
          <cell r="I331">
            <v>2490</v>
          </cell>
          <cell r="J331">
            <v>2490</v>
          </cell>
          <cell r="K331">
            <v>100</v>
          </cell>
          <cell r="L331">
            <v>24.9</v>
          </cell>
          <cell r="M331" t="str">
            <v>Gramos</v>
          </cell>
        </row>
        <row r="332">
          <cell r="A332" t="str">
            <v>1952851</v>
          </cell>
          <cell r="B332">
            <v>5855</v>
          </cell>
          <cell r="C332" t="str">
            <v>CONTENEDOR CUADRADO 9X9X5 (CAJA:600 UND)</v>
          </cell>
          <cell r="D332" t="str">
            <v>1952851</v>
          </cell>
          <cell r="E332" t="str">
            <v>EMPAQUES PLANTA</v>
          </cell>
          <cell r="F332" t="str">
            <v>1 CAJA</v>
          </cell>
          <cell r="G332">
            <v>500</v>
          </cell>
          <cell r="H332" t="str">
            <v>09/03/2020</v>
          </cell>
          <cell r="I332">
            <v>30816</v>
          </cell>
          <cell r="J332">
            <v>400608</v>
          </cell>
          <cell r="K332">
            <v>600</v>
          </cell>
          <cell r="L332">
            <v>51.36</v>
          </cell>
          <cell r="M332" t="str">
            <v>Und</v>
          </cell>
        </row>
        <row r="333">
          <cell r="A333" t="str">
            <v>1952856</v>
          </cell>
          <cell r="B333">
            <v>11225</v>
          </cell>
          <cell r="C333" t="str">
            <v>BOLSA TRANSPARENTE 76X24X210 (KILO)</v>
          </cell>
          <cell r="D333" t="str">
            <v>1952856</v>
          </cell>
          <cell r="E333" t="str">
            <v>EMPAQUES PLANTA</v>
          </cell>
          <cell r="F333" t="str">
            <v>1 KILO</v>
          </cell>
          <cell r="G333">
            <v>500</v>
          </cell>
          <cell r="H333" t="str">
            <v>25/05/2020</v>
          </cell>
          <cell r="I333">
            <v>3923.6</v>
          </cell>
          <cell r="J333">
            <v>316854.15999999997</v>
          </cell>
          <cell r="K333">
            <v>378</v>
          </cell>
          <cell r="L333">
            <v>10.37989417989418</v>
          </cell>
          <cell r="M333" t="str">
            <v>Und</v>
          </cell>
        </row>
        <row r="334">
          <cell r="A334" t="str">
            <v>1952871</v>
          </cell>
          <cell r="B334">
            <v>11376</v>
          </cell>
          <cell r="C334" t="str">
            <v>CAJA PRALINE (UND)</v>
          </cell>
          <cell r="D334" t="str">
            <v>1952871</v>
          </cell>
          <cell r="E334" t="str">
            <v>EMPAQUES PLANTA</v>
          </cell>
          <cell r="F334" t="str">
            <v>1 UND</v>
          </cell>
          <cell r="G334">
            <v>500</v>
          </cell>
          <cell r="H334" t="str">
            <v>22/04/2020</v>
          </cell>
          <cell r="I334">
            <v>450</v>
          </cell>
          <cell r="J334">
            <v>303450</v>
          </cell>
          <cell r="K334">
            <v>1</v>
          </cell>
          <cell r="L334">
            <v>450</v>
          </cell>
          <cell r="M334" t="str">
            <v>Gramos</v>
          </cell>
        </row>
        <row r="335">
          <cell r="A335" t="str">
            <v>1952873</v>
          </cell>
          <cell r="B335">
            <v>14163</v>
          </cell>
          <cell r="C335" t="str">
            <v>CONTENEDOR CUADRADO POTE (CAJA:600 UND)</v>
          </cell>
          <cell r="D335" t="str">
            <v>1952873</v>
          </cell>
          <cell r="E335" t="str">
            <v>EMPAQUES PLANTA</v>
          </cell>
          <cell r="F335" t="str">
            <v xml:space="preserve">1 CAJA </v>
          </cell>
          <cell r="G335">
            <v>500</v>
          </cell>
          <cell r="H335" t="str">
            <v>13/03/2020</v>
          </cell>
          <cell r="I335">
            <v>31800</v>
          </cell>
          <cell r="J335">
            <v>190800</v>
          </cell>
          <cell r="K335">
            <v>600</v>
          </cell>
          <cell r="L335">
            <v>53</v>
          </cell>
          <cell r="M335" t="str">
            <v>Und</v>
          </cell>
        </row>
        <row r="336">
          <cell r="A336" t="str">
            <v>1952874</v>
          </cell>
          <cell r="B336">
            <v>5834</v>
          </cell>
          <cell r="C336" t="str">
            <v>ORLA #8 BUCCA (UND)</v>
          </cell>
          <cell r="D336" t="str">
            <v>1952874</v>
          </cell>
          <cell r="E336" t="str">
            <v>EMPAQUES PLANTA</v>
          </cell>
          <cell r="F336" t="str">
            <v>1 UND</v>
          </cell>
          <cell r="G336">
            <v>500</v>
          </cell>
          <cell r="H336" t="str">
            <v>15/05/2020</v>
          </cell>
          <cell r="I336">
            <v>77</v>
          </cell>
          <cell r="J336">
            <v>2772000</v>
          </cell>
          <cell r="K336">
            <v>1</v>
          </cell>
          <cell r="L336">
            <v>77</v>
          </cell>
          <cell r="M336" t="str">
            <v>Und</v>
          </cell>
        </row>
        <row r="337">
          <cell r="A337" t="str">
            <v>1952875</v>
          </cell>
          <cell r="B337">
            <v>5833</v>
          </cell>
          <cell r="C337" t="str">
            <v>ORLA # 10 BUCCA (UND)</v>
          </cell>
          <cell r="D337" t="str">
            <v>1952875</v>
          </cell>
          <cell r="E337" t="str">
            <v>EMPAQUES PLANTA</v>
          </cell>
          <cell r="F337" t="str">
            <v>1 UND</v>
          </cell>
          <cell r="G337">
            <v>500</v>
          </cell>
          <cell r="H337" t="str">
            <v>12/06/2020</v>
          </cell>
          <cell r="I337">
            <v>111</v>
          </cell>
          <cell r="J337">
            <v>10744800</v>
          </cell>
          <cell r="K337">
            <v>1</v>
          </cell>
          <cell r="L337">
            <v>111</v>
          </cell>
          <cell r="M337" t="str">
            <v>Gramos</v>
          </cell>
        </row>
        <row r="338">
          <cell r="A338" t="str">
            <v>1952910</v>
          </cell>
          <cell r="B338">
            <v>11377</v>
          </cell>
          <cell r="C338" t="str">
            <v>CAJA CARTON GRANDE (UND)</v>
          </cell>
          <cell r="D338" t="str">
            <v>1952910</v>
          </cell>
          <cell r="E338" t="str">
            <v>EMPAQUES PLANTA</v>
          </cell>
          <cell r="F338" t="str">
            <v>1 UND</v>
          </cell>
          <cell r="G338">
            <v>500</v>
          </cell>
          <cell r="H338" t="str">
            <v>10/06/2020</v>
          </cell>
          <cell r="I338">
            <v>550</v>
          </cell>
          <cell r="J338">
            <v>1309000</v>
          </cell>
          <cell r="K338">
            <v>1</v>
          </cell>
          <cell r="L338">
            <v>550</v>
          </cell>
          <cell r="M338" t="str">
            <v>Mililitros</v>
          </cell>
        </row>
        <row r="339">
          <cell r="A339" t="str">
            <v>1952912</v>
          </cell>
          <cell r="B339">
            <v>9465</v>
          </cell>
          <cell r="C339" t="str">
            <v>CONTENEDOR TRIANGU ALTO (CAJA:200 UND)</v>
          </cell>
          <cell r="D339" t="str">
            <v>1952912</v>
          </cell>
          <cell r="E339" t="str">
            <v>EMPAQUES PLANTA</v>
          </cell>
          <cell r="F339" t="str">
            <v>1 CAJA</v>
          </cell>
          <cell r="G339">
            <v>500</v>
          </cell>
          <cell r="H339" t="str">
            <v>16/06/2020</v>
          </cell>
          <cell r="I339">
            <v>10278</v>
          </cell>
          <cell r="J339">
            <v>9782532</v>
          </cell>
          <cell r="K339">
            <v>200</v>
          </cell>
          <cell r="L339">
            <v>51.39</v>
          </cell>
          <cell r="M339" t="str">
            <v>Mililitros</v>
          </cell>
        </row>
        <row r="340">
          <cell r="A340" t="str">
            <v>1952915</v>
          </cell>
          <cell r="B340">
            <v>11475</v>
          </cell>
          <cell r="C340" t="str">
            <v>BANDEJA CONCHA TRANSPAR 4X4 (CJ:500 UND)</v>
          </cell>
          <cell r="D340" t="str">
            <v>1952915</v>
          </cell>
          <cell r="E340" t="str">
            <v>EMPAQUES PLANTA</v>
          </cell>
          <cell r="F340" t="str">
            <v>1 CAJA</v>
          </cell>
          <cell r="G340">
            <v>500</v>
          </cell>
          <cell r="H340" t="str">
            <v>29/05/2020</v>
          </cell>
          <cell r="I340">
            <v>25500</v>
          </cell>
          <cell r="J340">
            <v>505000</v>
          </cell>
          <cell r="K340">
            <v>1500</v>
          </cell>
          <cell r="L340">
            <v>17</v>
          </cell>
          <cell r="M340" t="str">
            <v>Gramos</v>
          </cell>
        </row>
        <row r="341">
          <cell r="A341" t="str">
            <v>1952919</v>
          </cell>
          <cell r="B341">
            <v>14418</v>
          </cell>
          <cell r="C341" t="str">
            <v>CAJA PRALINE 2 (UND)</v>
          </cell>
          <cell r="D341" t="str">
            <v>1952919</v>
          </cell>
          <cell r="E341" t="str">
            <v>EMPAQUES PLANTA</v>
          </cell>
          <cell r="F341" t="str">
            <v>1 UND</v>
          </cell>
          <cell r="G341">
            <v>500</v>
          </cell>
          <cell r="H341" t="str">
            <v>12/06/2020</v>
          </cell>
          <cell r="I341">
            <v>325</v>
          </cell>
          <cell r="J341">
            <v>1694580</v>
          </cell>
          <cell r="K341">
            <v>1</v>
          </cell>
          <cell r="L341">
            <v>325</v>
          </cell>
          <cell r="M341" t="str">
            <v>Und</v>
          </cell>
        </row>
        <row r="342">
          <cell r="A342" t="str">
            <v>2000001</v>
          </cell>
          <cell r="B342">
            <v>11436</v>
          </cell>
          <cell r="C342" t="str">
            <v>SALMON AHUMADO  (PAQ:900g)</v>
          </cell>
          <cell r="D342" t="str">
            <v>2000001</v>
          </cell>
          <cell r="E342" t="str">
            <v>MATERIAS PRIMAS PLANTA</v>
          </cell>
          <cell r="F342" t="str">
            <v>1 PAQUETE</v>
          </cell>
          <cell r="G342">
            <v>500</v>
          </cell>
          <cell r="H342" t="str">
            <v>12/06/2020</v>
          </cell>
          <cell r="I342">
            <v>17518.7</v>
          </cell>
          <cell r="J342">
            <v>17001749</v>
          </cell>
          <cell r="K342">
            <v>900</v>
          </cell>
          <cell r="L342">
            <v>19.465222222222224</v>
          </cell>
          <cell r="M342" t="str">
            <v>Gramos</v>
          </cell>
        </row>
        <row r="343">
          <cell r="A343" t="str">
            <v>2000002</v>
          </cell>
          <cell r="B343">
            <v>11484</v>
          </cell>
          <cell r="C343" t="str">
            <v>CARNE ANALOGA POLLO (CAJA:13.6 Kg)</v>
          </cell>
          <cell r="D343" t="str">
            <v>2000002</v>
          </cell>
          <cell r="E343" t="str">
            <v>MATERIAS PRIMAS PLANTA</v>
          </cell>
          <cell r="F343" t="str">
            <v>1 CAJA</v>
          </cell>
          <cell r="G343">
            <v>500</v>
          </cell>
          <cell r="H343" t="str">
            <v>15/04/2020</v>
          </cell>
          <cell r="I343">
            <v>103365.9</v>
          </cell>
          <cell r="J343">
            <v>623693.4</v>
          </cell>
          <cell r="K343">
            <v>13600</v>
          </cell>
          <cell r="L343">
            <v>7.6004338235294115</v>
          </cell>
          <cell r="M343" t="str">
            <v>Gramos</v>
          </cell>
        </row>
        <row r="344">
          <cell r="A344" t="str">
            <v>2001001</v>
          </cell>
          <cell r="B344">
            <v>11337</v>
          </cell>
          <cell r="C344" t="str">
            <v>PEPINO ENTERO KILO</v>
          </cell>
          <cell r="D344" t="str">
            <v>2001001</v>
          </cell>
          <cell r="E344" t="str">
            <v>MATERIAS PRIMAS PLANTA</v>
          </cell>
          <cell r="F344" t="str">
            <v>1 KILO</v>
          </cell>
          <cell r="G344">
            <v>500</v>
          </cell>
          <cell r="H344" t="str">
            <v>16/06/2020</v>
          </cell>
          <cell r="I344">
            <v>600</v>
          </cell>
          <cell r="J344">
            <v>1907748</v>
          </cell>
          <cell r="K344">
            <v>1000</v>
          </cell>
          <cell r="L344">
            <v>0.6</v>
          </cell>
          <cell r="M344" t="str">
            <v>Gramos</v>
          </cell>
        </row>
        <row r="345">
          <cell r="A345" t="str">
            <v>2006223</v>
          </cell>
          <cell r="B345">
            <v>13315</v>
          </cell>
          <cell r="C345" t="str">
            <v>TORTILLA REDONDITA RUMBA (PAQ:1 KG)</v>
          </cell>
          <cell r="D345" t="str">
            <v>2006223</v>
          </cell>
          <cell r="E345" t="str">
            <v>MATERIAS PRIMAS PLANTA</v>
          </cell>
          <cell r="F345" t="str">
            <v>1 PAQUETE</v>
          </cell>
          <cell r="G345">
            <v>500</v>
          </cell>
          <cell r="H345" t="str">
            <v>15/06/2020</v>
          </cell>
          <cell r="I345">
            <v>1560</v>
          </cell>
          <cell r="J345">
            <v>25324</v>
          </cell>
          <cell r="K345">
            <v>1000</v>
          </cell>
          <cell r="L345">
            <v>1.56</v>
          </cell>
          <cell r="M345" t="str">
            <v>Mililitros</v>
          </cell>
        </row>
        <row r="346">
          <cell r="A346" t="str">
            <v>2172411</v>
          </cell>
          <cell r="B346">
            <v>5910</v>
          </cell>
          <cell r="C346" t="str">
            <v>ET. TORTA BUCCA GENERICA PEQUEÑA (UND)</v>
          </cell>
          <cell r="D346" t="str">
            <v>2172411</v>
          </cell>
          <cell r="E346" t="str">
            <v>ETIQUETAS PLANTA</v>
          </cell>
          <cell r="F346" t="str">
            <v>1 UND</v>
          </cell>
          <cell r="G346">
            <v>500</v>
          </cell>
          <cell r="H346" t="str">
            <v>12/06/2020</v>
          </cell>
          <cell r="I346">
            <v>25.8</v>
          </cell>
          <cell r="J346">
            <v>2591660</v>
          </cell>
          <cell r="K346">
            <v>1</v>
          </cell>
          <cell r="L346">
            <v>25.8</v>
          </cell>
          <cell r="M346" t="str">
            <v>Und</v>
          </cell>
        </row>
        <row r="347">
          <cell r="A347" t="str">
            <v>3110271</v>
          </cell>
          <cell r="B347">
            <v>15979</v>
          </cell>
          <cell r="C347" t="str">
            <v>FILET TILAPIA (5-7 ONZ P/KILO)</v>
          </cell>
          <cell r="D347" t="str">
            <v>3110271</v>
          </cell>
          <cell r="E347" t="str">
            <v>MATERIAS PRIMAS PLANTA</v>
          </cell>
          <cell r="F347" t="str">
            <v>1 KILO</v>
          </cell>
          <cell r="G347">
            <v>500</v>
          </cell>
          <cell r="H347" t="str">
            <v>19/03/2020</v>
          </cell>
          <cell r="I347">
            <v>2933</v>
          </cell>
          <cell r="J347">
            <v>434084</v>
          </cell>
          <cell r="K347">
            <v>1000</v>
          </cell>
          <cell r="L347">
            <v>2.9329999999999998</v>
          </cell>
          <cell r="M347" t="str">
            <v>Gramos</v>
          </cell>
        </row>
        <row r="348">
          <cell r="A348" t="str">
            <v>5000001</v>
          </cell>
          <cell r="B348">
            <v>7101</v>
          </cell>
          <cell r="C348" t="str">
            <v>SAL INDUSTRIA (SACO:25 Kg)</v>
          </cell>
          <cell r="D348" t="str">
            <v>5000001</v>
          </cell>
          <cell r="E348" t="str">
            <v>MATERIAS PRIMAS PLANTA</v>
          </cell>
          <cell r="F348" t="str">
            <v>1 SACO</v>
          </cell>
          <cell r="G348">
            <v>500</v>
          </cell>
          <cell r="H348" t="str">
            <v>05/06/2020</v>
          </cell>
          <cell r="I348">
            <v>4700</v>
          </cell>
          <cell r="J348">
            <v>1203200</v>
          </cell>
          <cell r="K348">
            <v>25000</v>
          </cell>
          <cell r="L348">
            <v>0.188</v>
          </cell>
          <cell r="M348" t="str">
            <v>Gramos</v>
          </cell>
        </row>
        <row r="349">
          <cell r="A349" t="str">
            <v>5062011</v>
          </cell>
          <cell r="B349">
            <v>14425</v>
          </cell>
          <cell r="C349" t="str">
            <v>BURBUJA # 5 (CAJA:3/125UND)</v>
          </cell>
          <cell r="D349" t="str">
            <v>5062011</v>
          </cell>
          <cell r="E349" t="str">
            <v>EMPAQUES PLANTA</v>
          </cell>
          <cell r="F349" t="str">
            <v>1 CAJA</v>
          </cell>
          <cell r="G349">
            <v>500</v>
          </cell>
          <cell r="H349" t="str">
            <v>15/06/2020</v>
          </cell>
          <cell r="I349">
            <v>18356</v>
          </cell>
          <cell r="J349">
            <v>1827059</v>
          </cell>
          <cell r="K349">
            <v>350</v>
          </cell>
          <cell r="L349">
            <v>52.445714285714288</v>
          </cell>
          <cell r="M349" t="str">
            <v>Und</v>
          </cell>
        </row>
        <row r="350">
          <cell r="A350" t="str">
            <v>10100003</v>
          </cell>
          <cell r="B350">
            <v>7078</v>
          </cell>
          <cell r="C350" t="str">
            <v>AZUCAR POLVO P.REAL (PAQ:2.5 Kg)</v>
          </cell>
          <cell r="D350" t="str">
            <v>10100003</v>
          </cell>
          <cell r="E350" t="str">
            <v>MATERIAS PRIMAS PLANTA</v>
          </cell>
          <cell r="F350" t="str">
            <v>1 PAQUETE</v>
          </cell>
          <cell r="G350">
            <v>500</v>
          </cell>
          <cell r="H350" t="str">
            <v>13/06/2020</v>
          </cell>
          <cell r="I350">
            <v>2773.5839999999998</v>
          </cell>
          <cell r="J350">
            <v>8126601.1200000001</v>
          </cell>
          <cell r="K350">
            <v>2500</v>
          </cell>
          <cell r="L350">
            <v>1.1094336</v>
          </cell>
          <cell r="M350" t="str">
            <v>Gramos</v>
          </cell>
        </row>
        <row r="351">
          <cell r="A351" t="str">
            <v>10100009</v>
          </cell>
          <cell r="B351">
            <v>9363</v>
          </cell>
          <cell r="C351" t="str">
            <v>SALSA BLANCA MAGGI (UND:1K)</v>
          </cell>
          <cell r="D351" t="str">
            <v>10100009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17/03/2020</v>
          </cell>
          <cell r="I351">
            <v>5746</v>
          </cell>
          <cell r="J351">
            <v>206856</v>
          </cell>
          <cell r="K351">
            <v>1000</v>
          </cell>
          <cell r="L351">
            <v>4.8841000000000001</v>
          </cell>
          <cell r="M351" t="str">
            <v>Gramos</v>
          </cell>
        </row>
        <row r="352">
          <cell r="A352" t="str">
            <v>10100033</v>
          </cell>
          <cell r="B352">
            <v>11351</v>
          </cell>
          <cell r="C352" t="str">
            <v>MOSTAZA DE DIJON (UND:850ML)</v>
          </cell>
          <cell r="D352" t="str">
            <v>10100033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21/03/2020</v>
          </cell>
          <cell r="I352">
            <v>4068.3719999999998</v>
          </cell>
          <cell r="J352">
            <v>48820.464</v>
          </cell>
          <cell r="K352">
            <v>850</v>
          </cell>
          <cell r="L352">
            <v>4.7863199999999999</v>
          </cell>
          <cell r="M352" t="str">
            <v>Mililitros</v>
          </cell>
        </row>
        <row r="353">
          <cell r="A353" t="str">
            <v>10100039</v>
          </cell>
          <cell r="B353">
            <v>8030</v>
          </cell>
          <cell r="C353" t="str">
            <v>CHIPS CHOCOLATE AMARGO (PAQ: 2,5 k)</v>
          </cell>
          <cell r="D353" t="str">
            <v>10100039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12/05/2020</v>
          </cell>
          <cell r="I353">
            <v>14786</v>
          </cell>
          <cell r="J353">
            <v>29572</v>
          </cell>
          <cell r="K353">
            <v>2500</v>
          </cell>
          <cell r="L353">
            <v>5.9143999999999997</v>
          </cell>
          <cell r="M353" t="str">
            <v>Gramos</v>
          </cell>
        </row>
        <row r="354">
          <cell r="A354">
            <v>10100041</v>
          </cell>
          <cell r="B354">
            <v>5299</v>
          </cell>
          <cell r="C354" t="str">
            <v>GARBANZOS (UND:3 K)</v>
          </cell>
          <cell r="D354" t="str">
            <v>10100041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12/06/2020</v>
          </cell>
          <cell r="I354">
            <v>3461</v>
          </cell>
          <cell r="J354">
            <v>2277584</v>
          </cell>
          <cell r="K354">
            <v>3000</v>
          </cell>
          <cell r="L354">
            <v>1.1536666666666666</v>
          </cell>
          <cell r="M354" t="str">
            <v>Gramos</v>
          </cell>
        </row>
        <row r="355">
          <cell r="A355" t="str">
            <v>10100045</v>
          </cell>
          <cell r="B355">
            <v>5304</v>
          </cell>
          <cell r="C355" t="str">
            <v>AZUCAR CARAMELO (PAQ:0.5 K)</v>
          </cell>
          <cell r="D355" t="str">
            <v>10100045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08/06/2020</v>
          </cell>
          <cell r="I355">
            <v>686</v>
          </cell>
          <cell r="J355">
            <v>1640912</v>
          </cell>
          <cell r="K355">
            <v>500</v>
          </cell>
          <cell r="L355">
            <v>1.3720000000000001</v>
          </cell>
          <cell r="M355" t="str">
            <v>Gramos</v>
          </cell>
        </row>
        <row r="356">
          <cell r="A356" t="str">
            <v>10100046</v>
          </cell>
          <cell r="B356">
            <v>5630</v>
          </cell>
          <cell r="C356" t="str">
            <v>POLVO HORNEAR FLEISHMAN (PAQ:2.5 K)</v>
          </cell>
          <cell r="D356" t="str">
            <v>10100046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08/06/2020</v>
          </cell>
          <cell r="I356">
            <v>2238</v>
          </cell>
          <cell r="J356">
            <v>349128</v>
          </cell>
          <cell r="K356">
            <v>2500</v>
          </cell>
          <cell r="L356">
            <v>0.8952</v>
          </cell>
          <cell r="M356" t="str">
            <v>Gramos</v>
          </cell>
        </row>
        <row r="357">
          <cell r="A357" t="str">
            <v>10100047</v>
          </cell>
          <cell r="B357">
            <v>12770</v>
          </cell>
          <cell r="C357" t="str">
            <v>SIROPE CHOCO. LIQUIDO (UND: 680 g)</v>
          </cell>
          <cell r="D357" t="str">
            <v>10100047</v>
          </cell>
          <cell r="E357" t="str">
            <v>MATERIAS PRIMAS PLANTA</v>
          </cell>
          <cell r="F357" t="str">
            <v>1 UND</v>
          </cell>
          <cell r="G357">
            <v>500</v>
          </cell>
          <cell r="H357" t="str">
            <v>04/01/2020</v>
          </cell>
          <cell r="I357">
            <v>1691</v>
          </cell>
          <cell r="J357">
            <v>18601</v>
          </cell>
          <cell r="K357">
            <v>680</v>
          </cell>
          <cell r="L357">
            <v>2.486764705882353</v>
          </cell>
          <cell r="M357" t="str">
            <v>UND</v>
          </cell>
        </row>
        <row r="358">
          <cell r="A358" t="str">
            <v>10100048</v>
          </cell>
          <cell r="B358">
            <v>5312</v>
          </cell>
          <cell r="C358" t="str">
            <v>SIROPE KARO DARK (UND: 3.78 K)</v>
          </cell>
          <cell r="D358" t="str">
            <v>10100048</v>
          </cell>
          <cell r="E358" t="str">
            <v>MATERIAS PRIMAS PLANTA</v>
          </cell>
          <cell r="F358" t="str">
            <v>1 UND</v>
          </cell>
          <cell r="G358">
            <v>500</v>
          </cell>
          <cell r="H358" t="str">
            <v>15/06/2020</v>
          </cell>
          <cell r="I358">
            <v>9612</v>
          </cell>
          <cell r="J358">
            <v>572472</v>
          </cell>
          <cell r="K358">
            <v>3780</v>
          </cell>
          <cell r="L358">
            <v>2.5428571428571427</v>
          </cell>
          <cell r="M358" t="str">
            <v>Mililitros</v>
          </cell>
        </row>
        <row r="359">
          <cell r="A359" t="str">
            <v>10100049</v>
          </cell>
          <cell r="B359">
            <v>12773</v>
          </cell>
          <cell r="C359" t="str">
            <v>ACEITE LIBRE TRANS INOLAS (UND:15.88 L)</v>
          </cell>
          <cell r="D359" t="str">
            <v>10100049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08/06/2020</v>
          </cell>
          <cell r="I359">
            <v>12748</v>
          </cell>
          <cell r="J359">
            <v>977498</v>
          </cell>
          <cell r="K359">
            <v>15880</v>
          </cell>
          <cell r="L359">
            <v>0.80277078085642317</v>
          </cell>
          <cell r="M359" t="str">
            <v>Mililitros</v>
          </cell>
        </row>
        <row r="360">
          <cell r="A360" t="str">
            <v>10100050</v>
          </cell>
          <cell r="B360">
            <v>5524</v>
          </cell>
          <cell r="C360" t="str">
            <v>ACEITE CAPULLO RBD (UND:17  L)</v>
          </cell>
          <cell r="D360" t="str">
            <v>10100050</v>
          </cell>
          <cell r="E360" t="str">
            <v>MATERIAS PRIMAS PLANTA</v>
          </cell>
          <cell r="F360" t="str">
            <v>1 UND</v>
          </cell>
          <cell r="G360">
            <v>500</v>
          </cell>
          <cell r="H360" t="str">
            <v>15/06/2020</v>
          </cell>
          <cell r="I360">
            <v>14545</v>
          </cell>
          <cell r="J360">
            <v>39057825</v>
          </cell>
          <cell r="K360">
            <v>17000</v>
          </cell>
          <cell r="L360">
            <v>0.85558823529411765</v>
          </cell>
          <cell r="M360" t="str">
            <v>Mililitros</v>
          </cell>
        </row>
        <row r="361">
          <cell r="A361" t="str">
            <v>10100051</v>
          </cell>
          <cell r="B361">
            <v>5313</v>
          </cell>
          <cell r="C361" t="str">
            <v>SALSA CHINA GALON</v>
          </cell>
          <cell r="D361" t="str">
            <v>10100051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19/03/2020</v>
          </cell>
          <cell r="I361">
            <v>3305</v>
          </cell>
          <cell r="J361">
            <v>142115</v>
          </cell>
          <cell r="K361">
            <v>3785</v>
          </cell>
          <cell r="L361">
            <v>0.87318361955085866</v>
          </cell>
          <cell r="M361" t="str">
            <v>Mililitros</v>
          </cell>
        </row>
        <row r="362">
          <cell r="A362" t="str">
            <v>10100053</v>
          </cell>
          <cell r="B362">
            <v>5315</v>
          </cell>
          <cell r="C362" t="str">
            <v>SALSA TOMATE BANQUETE (PAQ:2 Kg)</v>
          </cell>
          <cell r="D362" t="str">
            <v>10100053</v>
          </cell>
          <cell r="E362" t="str">
            <v>MATERIAS PRIMAS PLANTA</v>
          </cell>
          <cell r="F362" t="str">
            <v>1 PAQUETE</v>
          </cell>
          <cell r="G362">
            <v>500</v>
          </cell>
          <cell r="H362" t="str">
            <v>01/06/2020</v>
          </cell>
          <cell r="I362">
            <v>1510</v>
          </cell>
          <cell r="J362">
            <v>1642880</v>
          </cell>
          <cell r="K362">
            <v>2000</v>
          </cell>
          <cell r="L362">
            <v>0.755</v>
          </cell>
          <cell r="M362" t="str">
            <v>Gramos</v>
          </cell>
        </row>
        <row r="363">
          <cell r="A363" t="str">
            <v>10100067</v>
          </cell>
          <cell r="B363">
            <v>5241</v>
          </cell>
          <cell r="C363" t="str">
            <v>MAÍZ DULCE GALON (1.800K= DRENADO)</v>
          </cell>
          <cell r="D363" t="str">
            <v>10100067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04/06/2020</v>
          </cell>
          <cell r="I363">
            <v>2729</v>
          </cell>
          <cell r="J363">
            <v>693166</v>
          </cell>
          <cell r="K363">
            <v>1800</v>
          </cell>
          <cell r="L363">
            <v>1.5161111111111112</v>
          </cell>
          <cell r="M363" t="str">
            <v>Gramos</v>
          </cell>
        </row>
        <row r="364">
          <cell r="A364" t="str">
            <v>10100068</v>
          </cell>
          <cell r="B364">
            <v>5285</v>
          </cell>
          <cell r="C364" t="str">
            <v>PAPITA RAYADA (PAQ:1.5 KILOS)</v>
          </cell>
          <cell r="D364" t="str">
            <v>10100068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05/06/2020</v>
          </cell>
          <cell r="I364">
            <v>15600</v>
          </cell>
          <cell r="J364">
            <v>10280400</v>
          </cell>
          <cell r="K364">
            <v>1500</v>
          </cell>
          <cell r="L364">
            <v>10.4</v>
          </cell>
          <cell r="M364" t="str">
            <v>Gramos</v>
          </cell>
        </row>
        <row r="365">
          <cell r="A365" t="str">
            <v>10100082</v>
          </cell>
          <cell r="B365">
            <v>11295</v>
          </cell>
          <cell r="C365" t="str">
            <v>MAIZ DULCE ENTERO (UND:425g)</v>
          </cell>
          <cell r="D365" t="str">
            <v>10100082</v>
          </cell>
          <cell r="E365" t="str">
            <v>MATERIAS PRIMAS PLANTA</v>
          </cell>
          <cell r="F365" t="str">
            <v>1 UND</v>
          </cell>
          <cell r="G365">
            <v>500</v>
          </cell>
          <cell r="H365" t="str">
            <v>10/02/2020</v>
          </cell>
          <cell r="I365">
            <v>374</v>
          </cell>
          <cell r="J365">
            <v>6014</v>
          </cell>
          <cell r="K365">
            <v>425</v>
          </cell>
          <cell r="L365">
            <v>0.88</v>
          </cell>
          <cell r="M365" t="str">
            <v>Gramos</v>
          </cell>
        </row>
        <row r="366">
          <cell r="A366" t="str">
            <v>10100088</v>
          </cell>
          <cell r="B366">
            <v>5234</v>
          </cell>
          <cell r="C366" t="str">
            <v>VINAGRE BALSAMICO TINTO (UND:250 ML)**</v>
          </cell>
          <cell r="D366" t="str">
            <v>10100088</v>
          </cell>
          <cell r="E366" t="str">
            <v>MATERIAS PRIMAS PLANTA</v>
          </cell>
          <cell r="F366" t="str">
            <v>1 UND</v>
          </cell>
          <cell r="G366">
            <v>500</v>
          </cell>
          <cell r="H366" t="str">
            <v>28/01/2020</v>
          </cell>
          <cell r="I366">
            <v>1932</v>
          </cell>
          <cell r="J366">
            <v>873264</v>
          </cell>
          <cell r="K366">
            <v>250</v>
          </cell>
          <cell r="L366">
            <v>7.7279999999999998</v>
          </cell>
          <cell r="M366" t="str">
            <v>Mililitros</v>
          </cell>
        </row>
        <row r="367">
          <cell r="A367" t="str">
            <v>10100089</v>
          </cell>
          <cell r="B367">
            <v>5239</v>
          </cell>
          <cell r="C367" t="str">
            <v>CHILE MORRON LATA (UND:390g) *</v>
          </cell>
          <cell r="D367" t="str">
            <v>10100089</v>
          </cell>
          <cell r="E367" t="str">
            <v>MATERIAS PRIMAS PLANTA</v>
          </cell>
          <cell r="F367" t="str">
            <v>1 UND</v>
          </cell>
          <cell r="G367">
            <v>500</v>
          </cell>
          <cell r="H367" t="str">
            <v>13/06/2020</v>
          </cell>
          <cell r="I367">
            <v>1200</v>
          </cell>
          <cell r="J367">
            <v>2302800</v>
          </cell>
          <cell r="K367">
            <v>390</v>
          </cell>
          <cell r="L367">
            <v>3.0769230769230771</v>
          </cell>
          <cell r="M367"/>
        </row>
        <row r="368">
          <cell r="A368" t="str">
            <v>10100098</v>
          </cell>
          <cell r="B368">
            <v>12654</v>
          </cell>
          <cell r="C368" t="str">
            <v>SAL REFINADA (PAQ:500g)</v>
          </cell>
          <cell r="D368" t="str">
            <v>10100098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08/06/2020</v>
          </cell>
          <cell r="I368">
            <v>173.833333333333</v>
          </cell>
          <cell r="J368">
            <v>95955.999999999796</v>
          </cell>
          <cell r="K368">
            <v>500</v>
          </cell>
          <cell r="L368">
            <v>0.34766666666666601</v>
          </cell>
          <cell r="M368" t="str">
            <v>Gramos</v>
          </cell>
        </row>
        <row r="369">
          <cell r="A369" t="str">
            <v>10100103</v>
          </cell>
          <cell r="B369">
            <v>5528</v>
          </cell>
          <cell r="C369" t="str">
            <v>ACEITE EXTRA VIRGEN FILIPPO (UND:250 ML)</v>
          </cell>
          <cell r="D369" t="str">
            <v>10100103</v>
          </cell>
          <cell r="E369" t="str">
            <v>MATERIAS PRIMAS PLANTA</v>
          </cell>
          <cell r="F369" t="str">
            <v>1 UND</v>
          </cell>
          <cell r="G369">
            <v>500</v>
          </cell>
          <cell r="H369" t="str">
            <v>13/06/2020</v>
          </cell>
          <cell r="I369">
            <v>1583.6647499999999</v>
          </cell>
          <cell r="J369">
            <v>188155.69403399999</v>
          </cell>
          <cell r="K369">
            <v>250</v>
          </cell>
          <cell r="L369">
            <v>6.3346589999999994</v>
          </cell>
          <cell r="M369" t="str">
            <v>und</v>
          </cell>
        </row>
        <row r="370">
          <cell r="A370" t="str">
            <v>10100104</v>
          </cell>
          <cell r="B370">
            <v>7104</v>
          </cell>
          <cell r="C370" t="str">
            <v>TORTILLA MISION CONG 10.5 (PA:12 UND)</v>
          </cell>
          <cell r="D370" t="str">
            <v>10100104</v>
          </cell>
          <cell r="E370" t="str">
            <v>MATERIAS PRIMAS PLANTA</v>
          </cell>
          <cell r="F370" t="str">
            <v>1 PAQUETE</v>
          </cell>
          <cell r="G370">
            <v>500</v>
          </cell>
          <cell r="H370" t="str">
            <v>30/03/2020</v>
          </cell>
          <cell r="I370">
            <v>98.75</v>
          </cell>
          <cell r="J370">
            <v>7110</v>
          </cell>
          <cell r="K370">
            <v>48</v>
          </cell>
          <cell r="L370" t="e">
            <v>#DIV/0!</v>
          </cell>
          <cell r="M370" t="str">
            <v>und</v>
          </cell>
        </row>
        <row r="371">
          <cell r="A371" t="str">
            <v>10100107</v>
          </cell>
          <cell r="B371">
            <v>11492</v>
          </cell>
          <cell r="C371" t="str">
            <v>TORTILLA (PAQ:50 UND)</v>
          </cell>
          <cell r="D371" t="str">
            <v>10100107</v>
          </cell>
          <cell r="E371" t="str">
            <v>MATERIAS PRIMAS PLANTA</v>
          </cell>
          <cell r="F371" t="str">
            <v>1 PAQUETE</v>
          </cell>
          <cell r="G371">
            <v>500</v>
          </cell>
          <cell r="H371" t="str">
            <v>16/06/2020</v>
          </cell>
          <cell r="I371">
            <v>1050</v>
          </cell>
          <cell r="J371">
            <v>2802900</v>
          </cell>
          <cell r="K371">
            <v>50</v>
          </cell>
          <cell r="L371">
            <v>21</v>
          </cell>
          <cell r="M371" t="str">
            <v>Gramos</v>
          </cell>
        </row>
        <row r="372">
          <cell r="A372" t="str">
            <v>10100108</v>
          </cell>
          <cell r="B372">
            <v>11495</v>
          </cell>
          <cell r="C372" t="str">
            <v>EQUAL SUCRALOSA (CAJA=2000/UND)</v>
          </cell>
          <cell r="D372" t="str">
            <v>10100108</v>
          </cell>
          <cell r="E372" t="str">
            <v>MATERIAS PRIMAS PLANTA</v>
          </cell>
          <cell r="F372" t="str">
            <v>1 CAJA</v>
          </cell>
          <cell r="G372">
            <v>500</v>
          </cell>
          <cell r="H372" t="str">
            <v>24/03/2020</v>
          </cell>
          <cell r="I372">
            <v>11945.85</v>
          </cell>
          <cell r="J372">
            <v>1983011.1</v>
          </cell>
          <cell r="K372">
            <v>2000</v>
          </cell>
          <cell r="L372">
            <v>5.972925</v>
          </cell>
          <cell r="M372" t="str">
            <v>Gramos</v>
          </cell>
        </row>
        <row r="373">
          <cell r="A373" t="str">
            <v>10100109</v>
          </cell>
          <cell r="B373">
            <v>5549</v>
          </cell>
          <cell r="C373" t="str">
            <v>PAN MOLIDO PAQ (250g)</v>
          </cell>
          <cell r="D373" t="str">
            <v>10100109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18/05/2020</v>
          </cell>
          <cell r="I373">
            <v>302.5</v>
          </cell>
          <cell r="J373">
            <v>1210</v>
          </cell>
          <cell r="K373">
            <v>250</v>
          </cell>
          <cell r="L373">
            <v>1.21</v>
          </cell>
          <cell r="M373" t="str">
            <v>Gramos</v>
          </cell>
        </row>
        <row r="374">
          <cell r="A374" t="str">
            <v>10100116</v>
          </cell>
          <cell r="B374">
            <v>12620</v>
          </cell>
          <cell r="C374" t="str">
            <v>ACEITUNA VERDE C/PIMIENTO (UND:180g)</v>
          </cell>
          <cell r="D374" t="str">
            <v>10100116</v>
          </cell>
          <cell r="E374" t="str">
            <v>MATERIAS PRIMAS PLANTA</v>
          </cell>
          <cell r="F374" t="str">
            <v>1 UND</v>
          </cell>
          <cell r="G374">
            <v>500</v>
          </cell>
          <cell r="H374" t="str">
            <v>19/05/2020</v>
          </cell>
          <cell r="I374">
            <v>1</v>
          </cell>
          <cell r="J374">
            <v>234529.16666666701</v>
          </cell>
          <cell r="K374">
            <v>180</v>
          </cell>
          <cell r="L374">
            <v>5.5555555555555558E-3</v>
          </cell>
          <cell r="M374" t="str">
            <v>Gramos</v>
          </cell>
        </row>
        <row r="375">
          <cell r="A375" t="str">
            <v>10100121</v>
          </cell>
          <cell r="B375">
            <v>9623</v>
          </cell>
          <cell r="C375" t="str">
            <v>DULCE GRANULADO (UND=900GR)</v>
          </cell>
          <cell r="D375" t="str">
            <v>10100121</v>
          </cell>
          <cell r="E375" t="str">
            <v>MATERIAS PRIMAS PLANTA</v>
          </cell>
          <cell r="F375" t="str">
            <v>1 UNIDAD</v>
          </cell>
          <cell r="G375">
            <v>500</v>
          </cell>
          <cell r="H375" t="str">
            <v>10/12/2019</v>
          </cell>
          <cell r="I375">
            <v>1190</v>
          </cell>
          <cell r="J375">
            <v>1190</v>
          </cell>
          <cell r="K375">
            <v>900</v>
          </cell>
          <cell r="L375">
            <v>1.3222222222222222</v>
          </cell>
          <cell r="M375" t="str">
            <v>Gramos</v>
          </cell>
        </row>
        <row r="376">
          <cell r="A376" t="str">
            <v>10100122</v>
          </cell>
          <cell r="B376">
            <v>11609</v>
          </cell>
          <cell r="C376" t="str">
            <v>CANELA EN POLVO BADIA (UND: 1.82 K)</v>
          </cell>
          <cell r="D376" t="str">
            <v>10100122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28/05/2020</v>
          </cell>
          <cell r="I376">
            <v>10232</v>
          </cell>
          <cell r="J376">
            <v>111636</v>
          </cell>
          <cell r="K376">
            <v>1820</v>
          </cell>
          <cell r="L376">
            <v>5.6219780219780215</v>
          </cell>
          <cell r="M376" t="str">
            <v>Gramos</v>
          </cell>
        </row>
        <row r="377">
          <cell r="A377" t="str">
            <v>10100124</v>
          </cell>
          <cell r="B377">
            <v>11610</v>
          </cell>
          <cell r="C377" t="str">
            <v>BIDON DE AGUA UND</v>
          </cell>
          <cell r="D377" t="str">
            <v>10100124</v>
          </cell>
          <cell r="E377" t="str">
            <v>MATERIAS PRIMAS PLANTA</v>
          </cell>
          <cell r="F377" t="str">
            <v>1 UND</v>
          </cell>
          <cell r="G377">
            <v>500</v>
          </cell>
          <cell r="H377" t="str">
            <v>15/06/2020</v>
          </cell>
          <cell r="I377">
            <v>2654.86</v>
          </cell>
          <cell r="J377">
            <v>748560.14</v>
          </cell>
          <cell r="K377">
            <v>5160</v>
          </cell>
          <cell r="L377" t="e">
            <v>#DIV/0!</v>
          </cell>
          <cell r="M377" t="str">
            <v>Gramos</v>
          </cell>
        </row>
        <row r="378">
          <cell r="A378" t="str">
            <v>10100125</v>
          </cell>
          <cell r="B378">
            <v>5320</v>
          </cell>
          <cell r="C378" t="str">
            <v>PASTA TOMATE OLD CALI (UND:3.14 K)</v>
          </cell>
          <cell r="D378" t="str">
            <v>10100125</v>
          </cell>
          <cell r="E378" t="str">
            <v>MATERIAS PRIMAS PLANTA</v>
          </cell>
          <cell r="F378" t="str">
            <v>1 UND</v>
          </cell>
          <cell r="G378">
            <v>500</v>
          </cell>
          <cell r="H378" t="str">
            <v>02/06/2020</v>
          </cell>
          <cell r="I378">
            <v>3172</v>
          </cell>
          <cell r="J378">
            <v>1220915</v>
          </cell>
          <cell r="K378">
            <v>3140</v>
          </cell>
          <cell r="L378">
            <v>1.0101910828025478</v>
          </cell>
          <cell r="M378" t="str">
            <v>Gramos</v>
          </cell>
        </row>
        <row r="379">
          <cell r="A379" t="str">
            <v>10100131</v>
          </cell>
          <cell r="B379">
            <v>12477</v>
          </cell>
          <cell r="C379" t="str">
            <v>PAN TOAST ARTESANAL BRUCHETAS (PAQ)</v>
          </cell>
          <cell r="D379" t="str">
            <v>10100131</v>
          </cell>
          <cell r="E379" t="str">
            <v>MATERIAS PRIMAS PLANTA</v>
          </cell>
          <cell r="F379" t="str">
            <v>1 PAQUETE</v>
          </cell>
          <cell r="G379">
            <v>500</v>
          </cell>
          <cell r="H379" t="str">
            <v>15/06/2020</v>
          </cell>
          <cell r="I379">
            <v>1</v>
          </cell>
          <cell r="J379">
            <v>3289572</v>
          </cell>
          <cell r="K379">
            <v>12000</v>
          </cell>
          <cell r="L379" t="e">
            <v>#DIV/0!</v>
          </cell>
          <cell r="M379" t="str">
            <v>Gramos</v>
          </cell>
        </row>
        <row r="380">
          <cell r="A380" t="str">
            <v>10100132</v>
          </cell>
          <cell r="B380">
            <v>12585</v>
          </cell>
          <cell r="C380" t="str">
            <v>CHIPS RAICES EXOTICAS (CAJA:40 UND)</v>
          </cell>
          <cell r="D380" t="str">
            <v>10100132</v>
          </cell>
          <cell r="E380" t="str">
            <v>MATERIAS PRIMAS PLANTA</v>
          </cell>
          <cell r="F380" t="str">
            <v>1 CAJA</v>
          </cell>
          <cell r="G380">
            <v>500</v>
          </cell>
          <cell r="H380" t="str">
            <v>25/03/2020</v>
          </cell>
          <cell r="I380">
            <v>10000</v>
          </cell>
          <cell r="J380">
            <v>1437433.64</v>
          </cell>
          <cell r="K380">
            <v>40</v>
          </cell>
          <cell r="L380">
            <v>250</v>
          </cell>
          <cell r="M380" t="str">
            <v>Gramos</v>
          </cell>
        </row>
        <row r="381">
          <cell r="A381" t="str">
            <v>10100135</v>
          </cell>
          <cell r="B381">
            <v>11762</v>
          </cell>
          <cell r="C381" t="str">
            <v>FIDEOS TORNILLITO (PAQ:1 K)</v>
          </cell>
          <cell r="D381" t="str">
            <v>10100135</v>
          </cell>
          <cell r="E381" t="str">
            <v>MATERIAS PRIMAS PLANTA</v>
          </cell>
          <cell r="F381" t="str">
            <v>1 PAQUETE</v>
          </cell>
          <cell r="G381">
            <v>500</v>
          </cell>
          <cell r="H381" t="str">
            <v>01/06/2020</v>
          </cell>
          <cell r="I381">
            <v>1655</v>
          </cell>
          <cell r="J381">
            <v>26480</v>
          </cell>
          <cell r="K381">
            <v>1000</v>
          </cell>
          <cell r="L381">
            <v>1.655</v>
          </cell>
          <cell r="M381" t="str">
            <v>Gramos</v>
          </cell>
        </row>
        <row r="382">
          <cell r="A382" t="str">
            <v>10100145</v>
          </cell>
          <cell r="B382">
            <v>12434</v>
          </cell>
          <cell r="C382" t="str">
            <v>JALEA DE GUAYABA (PAQ:200g)</v>
          </cell>
          <cell r="D382" t="str">
            <v>10100145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16/06/2020</v>
          </cell>
          <cell r="I382">
            <v>550</v>
          </cell>
          <cell r="J382">
            <v>240350</v>
          </cell>
          <cell r="K382">
            <v>200</v>
          </cell>
          <cell r="L382">
            <v>2.75</v>
          </cell>
          <cell r="M382" t="str">
            <v>Gramos</v>
          </cell>
        </row>
        <row r="383">
          <cell r="A383" t="str">
            <v>10100153</v>
          </cell>
          <cell r="B383">
            <v>12517</v>
          </cell>
          <cell r="C383" t="str">
            <v>DEDOS DE SEÑORA DIVELLA (PAQ)</v>
          </cell>
          <cell r="D383" t="str">
            <v>10100153</v>
          </cell>
          <cell r="E383" t="str">
            <v>MATERIAS PRIMAS PLANTA</v>
          </cell>
          <cell r="F383" t="str">
            <v>1 PAQUETE</v>
          </cell>
          <cell r="G383">
            <v>500</v>
          </cell>
          <cell r="H383" t="str">
            <v>18/01/2020</v>
          </cell>
          <cell r="I383">
            <v>2499</v>
          </cell>
          <cell r="J383">
            <v>1624350</v>
          </cell>
          <cell r="K383">
            <v>48</v>
          </cell>
          <cell r="L383" t="e">
            <v>#DIV/0!</v>
          </cell>
          <cell r="M383" t="str">
            <v>und</v>
          </cell>
        </row>
        <row r="384">
          <cell r="A384" t="str">
            <v>10100155</v>
          </cell>
          <cell r="B384">
            <v>12939</v>
          </cell>
          <cell r="C384" t="str">
            <v>WAFLE LUTOSA (PAQ: 70g)</v>
          </cell>
          <cell r="D384" t="str">
            <v>10100155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15/06/2020</v>
          </cell>
          <cell r="I384">
            <v>347.82</v>
          </cell>
          <cell r="J384">
            <v>1308846.6599999999</v>
          </cell>
          <cell r="K384">
            <v>70</v>
          </cell>
          <cell r="L384">
            <v>4.9688571428571429</v>
          </cell>
          <cell r="M384" t="str">
            <v>Gramos</v>
          </cell>
        </row>
        <row r="385">
          <cell r="A385" t="str">
            <v>10100157</v>
          </cell>
          <cell r="B385">
            <v>13063</v>
          </cell>
          <cell r="C385" t="str">
            <v>SALSA HOISIN (UND:2.27 K)</v>
          </cell>
          <cell r="D385" t="str">
            <v>10100157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24/03/2020</v>
          </cell>
          <cell r="I385">
            <v>4950</v>
          </cell>
          <cell r="J385">
            <v>89100</v>
          </cell>
          <cell r="K385">
            <v>2270</v>
          </cell>
          <cell r="L385">
            <v>2.1806167400881056</v>
          </cell>
          <cell r="M385" t="str">
            <v>Gramos</v>
          </cell>
        </row>
        <row r="386">
          <cell r="A386" t="str">
            <v>10100163</v>
          </cell>
          <cell r="B386">
            <v>14393</v>
          </cell>
          <cell r="C386" t="str">
            <v>ARROZ PRECOCIDO MI SABOR (SACO:50K)</v>
          </cell>
          <cell r="D386" t="str">
            <v>10100163</v>
          </cell>
          <cell r="E386" t="str">
            <v>MATERIAS PRIMAS PLANTA</v>
          </cell>
          <cell r="F386" t="str">
            <v>1 SACO</v>
          </cell>
          <cell r="G386">
            <v>500</v>
          </cell>
          <cell r="H386" t="str">
            <v>05/06/2020</v>
          </cell>
          <cell r="I386">
            <v>10515.32</v>
          </cell>
          <cell r="J386">
            <v>199789.16</v>
          </cell>
          <cell r="K386">
            <v>50000</v>
          </cell>
          <cell r="L386">
            <v>0.2103064</v>
          </cell>
        </row>
        <row r="387">
          <cell r="A387" t="str">
            <v>10100164</v>
          </cell>
          <cell r="B387">
            <v>14394</v>
          </cell>
          <cell r="C387" t="str">
            <v>MELOCOTON CUBOS MONACO (UND:3 K)</v>
          </cell>
          <cell r="D387" t="str">
            <v>10100164</v>
          </cell>
          <cell r="E387" t="str">
            <v>MATERIAS PRIMAS PLANTA</v>
          </cell>
          <cell r="F387" t="str">
            <v>1 UND</v>
          </cell>
          <cell r="G387">
            <v>500</v>
          </cell>
          <cell r="H387" t="str">
            <v>28/05/2020</v>
          </cell>
          <cell r="I387">
            <v>2689</v>
          </cell>
          <cell r="J387">
            <v>6855429</v>
          </cell>
          <cell r="K387">
            <v>1800</v>
          </cell>
          <cell r="L387">
            <v>1.4938888888888888</v>
          </cell>
          <cell r="M387" t="str">
            <v>Gramos</v>
          </cell>
        </row>
        <row r="388">
          <cell r="A388" t="str">
            <v>10100165</v>
          </cell>
          <cell r="B388">
            <v>14395</v>
          </cell>
          <cell r="C388" t="str">
            <v>FLAT BREAD REDONDO (PAQ:12 UND)</v>
          </cell>
          <cell r="D388" t="str">
            <v>10100165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08/02/2020</v>
          </cell>
          <cell r="I388">
            <v>1455</v>
          </cell>
          <cell r="J388">
            <v>3253080</v>
          </cell>
          <cell r="K388">
            <v>5000</v>
          </cell>
          <cell r="L388" t="e">
            <v>#DIV/0!</v>
          </cell>
        </row>
        <row r="389">
          <cell r="A389" t="str">
            <v>10100171</v>
          </cell>
          <cell r="B389">
            <v>14743</v>
          </cell>
          <cell r="C389" t="str">
            <v>LECHE CONDENSADA COCINADA ( PAQ:4 K)</v>
          </cell>
          <cell r="D389" t="str">
            <v>10100171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15/02/2020</v>
          </cell>
          <cell r="I389">
            <v>16180</v>
          </cell>
          <cell r="J389">
            <v>2977120</v>
          </cell>
          <cell r="K389">
            <v>4000</v>
          </cell>
          <cell r="L389">
            <v>3.43825</v>
          </cell>
          <cell r="M389" t="str">
            <v>Gramos</v>
          </cell>
        </row>
        <row r="390">
          <cell r="A390" t="str">
            <v>10100172</v>
          </cell>
          <cell r="B390">
            <v>14845</v>
          </cell>
          <cell r="C390" t="str">
            <v>CHOP SUEY VIGUI 860 G (BULTO:6 UND)</v>
          </cell>
          <cell r="D390" t="str">
            <v>10100172</v>
          </cell>
          <cell r="E390" t="str">
            <v>MATERIAS PRIMAS PLANTA</v>
          </cell>
          <cell r="F390" t="str">
            <v>1 BULTO</v>
          </cell>
          <cell r="G390">
            <v>500</v>
          </cell>
          <cell r="H390" t="str">
            <v>17/03/2020</v>
          </cell>
          <cell r="I390">
            <v>3583.5</v>
          </cell>
          <cell r="J390">
            <v>1655577</v>
          </cell>
          <cell r="K390">
            <v>5160</v>
          </cell>
          <cell r="L390">
            <v>0.69447674418604655</v>
          </cell>
          <cell r="M390" t="str">
            <v>Gramos</v>
          </cell>
        </row>
        <row r="391">
          <cell r="A391" t="str">
            <v>10100173</v>
          </cell>
          <cell r="B391">
            <v>14895</v>
          </cell>
          <cell r="C391" t="str">
            <v>MOSTAZA HELLMANNS (UND: 4 K)</v>
          </cell>
          <cell r="D391" t="str">
            <v>10100173</v>
          </cell>
          <cell r="E391" t="str">
            <v>MATERIAS PRIMAS PLANTA</v>
          </cell>
          <cell r="F391" t="str">
            <v>1 UND</v>
          </cell>
          <cell r="G391">
            <v>500</v>
          </cell>
          <cell r="H391" t="str">
            <v>12/06/2020</v>
          </cell>
          <cell r="I391">
            <v>3859</v>
          </cell>
          <cell r="J391">
            <v>118042</v>
          </cell>
          <cell r="K391">
            <v>4000</v>
          </cell>
          <cell r="L391">
            <v>0.96475</v>
          </cell>
        </row>
        <row r="392">
          <cell r="A392" t="str">
            <v>10100174</v>
          </cell>
          <cell r="B392">
            <v>14987</v>
          </cell>
          <cell r="C392" t="str">
            <v>FRIJOL NEGRO TIO PELON (BULTO:15/800 G)</v>
          </cell>
          <cell r="D392" t="str">
            <v>10100174</v>
          </cell>
          <cell r="E392" t="str">
            <v>MATERIAS PRIMAS PLANTA</v>
          </cell>
          <cell r="F392" t="str">
            <v>1 BULTO</v>
          </cell>
          <cell r="G392">
            <v>500</v>
          </cell>
          <cell r="H392" t="str">
            <v>15/06/2020</v>
          </cell>
          <cell r="I392">
            <v>13881</v>
          </cell>
          <cell r="J392">
            <v>7828884</v>
          </cell>
          <cell r="K392">
            <v>12000</v>
          </cell>
          <cell r="L392">
            <v>1.1567499999999999</v>
          </cell>
          <cell r="M392" t="str">
            <v>Gramos</v>
          </cell>
        </row>
        <row r="393">
          <cell r="A393" t="str">
            <v>10100175</v>
          </cell>
          <cell r="B393">
            <v>15008</v>
          </cell>
          <cell r="C393" t="str">
            <v>SALSITA TOMATE CON CARNE (PAQ:8 UND)</v>
          </cell>
          <cell r="D393" t="str">
            <v>10100175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21/03/2020</v>
          </cell>
          <cell r="I393">
            <v>3942</v>
          </cell>
          <cell r="J393">
            <v>440629</v>
          </cell>
          <cell r="K393">
            <v>1000</v>
          </cell>
          <cell r="L393" t="e">
            <v>#DIV/0!</v>
          </cell>
        </row>
        <row r="394">
          <cell r="A394" t="str">
            <v>10100178</v>
          </cell>
          <cell r="B394">
            <v>15112</v>
          </cell>
          <cell r="C394" t="str">
            <v>CHILE ROJO TRITURADO (UND:368G)</v>
          </cell>
          <cell r="D394" t="str">
            <v>10100178</v>
          </cell>
          <cell r="E394" t="str">
            <v>MATERIAS PRIMAS PLANTA</v>
          </cell>
          <cell r="F394" t="str">
            <v>1 UND</v>
          </cell>
          <cell r="G394">
            <v>500</v>
          </cell>
          <cell r="H394" t="str">
            <v>14/12/2019</v>
          </cell>
          <cell r="I394">
            <v>2400</v>
          </cell>
          <cell r="J394">
            <v>2400</v>
          </cell>
          <cell r="K394">
            <v>368</v>
          </cell>
          <cell r="L394">
            <v>6.5217391304347823</v>
          </cell>
          <cell r="M394" t="str">
            <v>Gramos</v>
          </cell>
        </row>
        <row r="395">
          <cell r="A395" t="str">
            <v>10100180</v>
          </cell>
          <cell r="B395">
            <v>15119</v>
          </cell>
          <cell r="C395" t="str">
            <v>BASE ADEREZO ITALIANO (SACO: 25 KG)</v>
          </cell>
          <cell r="D395" t="str">
            <v>10100180</v>
          </cell>
          <cell r="E395" t="str">
            <v>MATERIAS PRIMAS PLANTA</v>
          </cell>
          <cell r="F395" t="str">
            <v>1 SACO</v>
          </cell>
          <cell r="G395">
            <v>500</v>
          </cell>
          <cell r="H395" t="str">
            <v>17/03/2020</v>
          </cell>
          <cell r="I395">
            <v>59242</v>
          </cell>
          <cell r="J395">
            <v>473936</v>
          </cell>
          <cell r="K395">
            <v>25000</v>
          </cell>
          <cell r="L395">
            <v>2.3696799999999998</v>
          </cell>
          <cell r="M395" t="str">
            <v>Gramos</v>
          </cell>
        </row>
        <row r="396">
          <cell r="A396" t="str">
            <v>10100181</v>
          </cell>
          <cell r="B396">
            <v>15120</v>
          </cell>
          <cell r="C396" t="str">
            <v>VINAGRE SINTETICO CLARO (GALON)</v>
          </cell>
          <cell r="D396" t="str">
            <v>10100181</v>
          </cell>
          <cell r="E396" t="str">
            <v>MATERIAS PRIMAS PLANTA</v>
          </cell>
          <cell r="F396" t="str">
            <v xml:space="preserve">1 GALON </v>
          </cell>
          <cell r="G396">
            <v>500</v>
          </cell>
          <cell r="H396" t="str">
            <v>16/03/2020</v>
          </cell>
          <cell r="I396">
            <v>1215</v>
          </cell>
          <cell r="J396">
            <v>277020</v>
          </cell>
          <cell r="K396">
            <v>3785</v>
          </cell>
          <cell r="L396">
            <v>0.32100396301188905</v>
          </cell>
          <cell r="M396" t="str">
            <v>Gramos</v>
          </cell>
        </row>
        <row r="397">
          <cell r="A397" t="str">
            <v>10100182</v>
          </cell>
          <cell r="B397">
            <v>15121</v>
          </cell>
          <cell r="C397" t="str">
            <v>MEZCLA ADEREZO AJO (PAQ:25 K)</v>
          </cell>
          <cell r="D397" t="str">
            <v>10100182</v>
          </cell>
          <cell r="E397" t="str">
            <v>MATERIAS PRIMAS PLANTA</v>
          </cell>
          <cell r="F397" t="str">
            <v>1 PAQUETE</v>
          </cell>
          <cell r="G397">
            <v>500</v>
          </cell>
          <cell r="H397" t="str">
            <v>05/02/2020</v>
          </cell>
          <cell r="I397">
            <v>108166.53</v>
          </cell>
          <cell r="J397">
            <v>108166.53</v>
          </cell>
          <cell r="K397">
            <v>25000</v>
          </cell>
          <cell r="L397">
            <v>4.3266612000000002</v>
          </cell>
          <cell r="M397" t="str">
            <v>Gramos</v>
          </cell>
        </row>
        <row r="398">
          <cell r="A398" t="str">
            <v>10100183</v>
          </cell>
          <cell r="B398">
            <v>15122</v>
          </cell>
          <cell r="C398" t="str">
            <v>ADEREZO MAYONESA (UND 10 K)</v>
          </cell>
          <cell r="D398" t="str">
            <v>10100183</v>
          </cell>
          <cell r="E398" t="str">
            <v>MATERIAS PRIMAS PLANTA</v>
          </cell>
          <cell r="F398" t="str">
            <v>1 UND</v>
          </cell>
          <cell r="G398">
            <v>500</v>
          </cell>
          <cell r="H398" t="str">
            <v>19/03/2020</v>
          </cell>
          <cell r="I398">
            <v>14751</v>
          </cell>
          <cell r="J398">
            <v>1062072</v>
          </cell>
          <cell r="K398">
            <v>10000</v>
          </cell>
          <cell r="L398">
            <v>1.4751000000000001</v>
          </cell>
          <cell r="M398" t="str">
            <v>Gramos</v>
          </cell>
        </row>
        <row r="399">
          <cell r="A399" t="str">
            <v>10100184</v>
          </cell>
          <cell r="B399">
            <v>15123</v>
          </cell>
          <cell r="C399" t="str">
            <v>PLATANO VERDE PELADO (PAQ: 2 K)</v>
          </cell>
          <cell r="D399" t="str">
            <v>10100184</v>
          </cell>
          <cell r="E399" t="str">
            <v>MATERIAS PRIMAS PLANTA</v>
          </cell>
          <cell r="F399" t="str">
            <v>1 PAQUETE</v>
          </cell>
          <cell r="G399">
            <v>500</v>
          </cell>
          <cell r="H399" t="str">
            <v>21/05/2020</v>
          </cell>
          <cell r="I399">
            <v>2200</v>
          </cell>
          <cell r="J399">
            <v>11000000</v>
          </cell>
          <cell r="K399">
            <v>2000</v>
          </cell>
          <cell r="L399">
            <v>1.1000000000000001</v>
          </cell>
          <cell r="M399" t="str">
            <v>Gramos</v>
          </cell>
        </row>
        <row r="400">
          <cell r="A400" t="str">
            <v>10100185</v>
          </cell>
          <cell r="B400">
            <v>15124</v>
          </cell>
          <cell r="C400" t="str">
            <v>SALSA TOMATE ROSTIPOLLOS (UND: 4 K)</v>
          </cell>
          <cell r="D400" t="str">
            <v>10100185</v>
          </cell>
          <cell r="E400" t="str">
            <v>MATERIAS PRIMAS PLANTA</v>
          </cell>
          <cell r="F400" t="str">
            <v>1 UND</v>
          </cell>
          <cell r="G400">
            <v>500</v>
          </cell>
          <cell r="H400" t="str">
            <v>23/04/2020</v>
          </cell>
          <cell r="I400">
            <v>2353</v>
          </cell>
          <cell r="J400">
            <v>491777</v>
          </cell>
          <cell r="K400">
            <v>4000</v>
          </cell>
          <cell r="L400">
            <v>0.58825000000000005</v>
          </cell>
          <cell r="M400" t="str">
            <v>Gramos</v>
          </cell>
        </row>
        <row r="401">
          <cell r="A401" t="str">
            <v>10100186</v>
          </cell>
          <cell r="B401">
            <v>15125</v>
          </cell>
          <cell r="C401" t="str">
            <v>PRESERVANTE T (PAQ: 5 KILO)</v>
          </cell>
          <cell r="D401" t="str">
            <v>10100186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14/01/2020</v>
          </cell>
          <cell r="I401">
            <v>4558.0529999999999</v>
          </cell>
          <cell r="J401">
            <v>45580.53</v>
          </cell>
          <cell r="K401">
            <v>5000</v>
          </cell>
          <cell r="L401">
            <v>0.91161059999999994</v>
          </cell>
          <cell r="M401" t="str">
            <v>Gramos</v>
          </cell>
        </row>
        <row r="402">
          <cell r="A402" t="str">
            <v>10100187</v>
          </cell>
          <cell r="B402">
            <v>15126</v>
          </cell>
          <cell r="C402" t="str">
            <v>CMC AMTEX (PAQ: KILO)</v>
          </cell>
          <cell r="D402" t="str">
            <v>10100187</v>
          </cell>
          <cell r="E402" t="str">
            <v>MATERIAS PRIMAS PLANTA</v>
          </cell>
          <cell r="F402" t="str">
            <v>1 PAQUETE</v>
          </cell>
          <cell r="G402">
            <v>500</v>
          </cell>
          <cell r="H402" t="str">
            <v>14/01/2020</v>
          </cell>
          <cell r="I402">
            <v>3646.4423999999999</v>
          </cell>
          <cell r="J402">
            <v>7292.8847999999998</v>
          </cell>
          <cell r="K402">
            <v>1000</v>
          </cell>
          <cell r="L402">
            <v>3.6464423999999998</v>
          </cell>
          <cell r="M402" t="str">
            <v>Gramos</v>
          </cell>
        </row>
        <row r="403">
          <cell r="A403" t="str">
            <v>10100188</v>
          </cell>
          <cell r="B403">
            <v>15129</v>
          </cell>
          <cell r="C403" t="str">
            <v>YUCA EN TROZO (PAQ:3 K)</v>
          </cell>
          <cell r="D403" t="str">
            <v>10100188</v>
          </cell>
          <cell r="E403" t="str">
            <v>MATERIAS PRIMAS PLANTA</v>
          </cell>
          <cell r="F403" t="str">
            <v>1 PAQUETE</v>
          </cell>
          <cell r="G403">
            <v>500</v>
          </cell>
          <cell r="H403" t="str">
            <v>13/06/2020</v>
          </cell>
          <cell r="I403">
            <v>3450</v>
          </cell>
          <cell r="J403">
            <v>11360850</v>
          </cell>
          <cell r="K403">
            <v>3000</v>
          </cell>
          <cell r="L403">
            <v>1.1499999999999999</v>
          </cell>
          <cell r="M403" t="str">
            <v>Gramos</v>
          </cell>
        </row>
        <row r="404">
          <cell r="A404" t="str">
            <v>10100189</v>
          </cell>
          <cell r="B404">
            <v>15130</v>
          </cell>
          <cell r="C404" t="str">
            <v>CLORURO DE CALCIO (PAQ: KILO)</v>
          </cell>
          <cell r="D404" t="str">
            <v>10100189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10/06/2020</v>
          </cell>
          <cell r="I404">
            <v>2375.7399999999998</v>
          </cell>
          <cell r="J404">
            <v>65386.74</v>
          </cell>
          <cell r="K404">
            <v>1000</v>
          </cell>
          <cell r="L404">
            <v>2.37574</v>
          </cell>
          <cell r="M404" t="str">
            <v>Mililitros</v>
          </cell>
        </row>
        <row r="405">
          <cell r="A405" t="str">
            <v>10100190</v>
          </cell>
          <cell r="B405">
            <v>15131</v>
          </cell>
          <cell r="C405" t="str">
            <v>LIMON MANDARINA (GALON)</v>
          </cell>
          <cell r="D405" t="str">
            <v>10100190</v>
          </cell>
          <cell r="E405" t="str">
            <v>MATERIAS PRIMAS PLANTA</v>
          </cell>
          <cell r="F405" t="str">
            <v xml:space="preserve">1 GALON </v>
          </cell>
          <cell r="G405">
            <v>500</v>
          </cell>
          <cell r="H405" t="str">
            <v>06/06/2020</v>
          </cell>
          <cell r="I405">
            <v>4000</v>
          </cell>
          <cell r="J405">
            <v>2368000</v>
          </cell>
          <cell r="K405">
            <v>3785</v>
          </cell>
          <cell r="L405">
            <v>1.0568031704095113</v>
          </cell>
          <cell r="M405" t="str">
            <v>Mililitros</v>
          </cell>
        </row>
        <row r="406">
          <cell r="A406" t="str">
            <v>10100191</v>
          </cell>
          <cell r="B406">
            <v>15132</v>
          </cell>
          <cell r="C406" t="str">
            <v>SORBATO DE POTASIO (PAQ: KILO)</v>
          </cell>
          <cell r="D406" t="str">
            <v>10100191</v>
          </cell>
          <cell r="E406" t="str">
            <v>MATERIAS PRIMAS PLANTA</v>
          </cell>
          <cell r="F406" t="str">
            <v>1 PAQUETE</v>
          </cell>
          <cell r="G406">
            <v>500</v>
          </cell>
          <cell r="H406" t="str">
            <v>27/03/2020</v>
          </cell>
          <cell r="I406">
            <v>3766.2240000000002</v>
          </cell>
          <cell r="J406">
            <v>37748.471599999997</v>
          </cell>
          <cell r="K406">
            <v>1000</v>
          </cell>
          <cell r="L406">
            <v>3.7662240000000002</v>
          </cell>
          <cell r="M406" t="str">
            <v>Mililitros</v>
          </cell>
        </row>
        <row r="407">
          <cell r="A407" t="str">
            <v>10100193</v>
          </cell>
          <cell r="B407">
            <v>15138</v>
          </cell>
          <cell r="C407" t="str">
            <v>CONSOME POLLO MAGGI (PAQ:1K)</v>
          </cell>
          <cell r="D407" t="str">
            <v>10100193</v>
          </cell>
          <cell r="E407" t="str">
            <v>MATERIAS PRIMAS PLANTA</v>
          </cell>
          <cell r="F407" t="str">
            <v>1 PAQUETE</v>
          </cell>
          <cell r="G407">
            <v>500</v>
          </cell>
          <cell r="H407" t="str">
            <v>21/05/2020</v>
          </cell>
          <cell r="I407">
            <v>3398</v>
          </cell>
          <cell r="J407">
            <v>499506</v>
          </cell>
          <cell r="K407">
            <v>1000</v>
          </cell>
          <cell r="L407">
            <v>3.3980000000000001</v>
          </cell>
          <cell r="M407" t="str">
            <v>Gramos</v>
          </cell>
        </row>
        <row r="408">
          <cell r="A408" t="str">
            <v>10100194</v>
          </cell>
          <cell r="B408">
            <v>15139</v>
          </cell>
          <cell r="C408" t="str">
            <v>NATILLA CREMOSITA 18% CON SAL(PAQ:300 G)</v>
          </cell>
          <cell r="D408" t="str">
            <v>10100194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15/06/2020</v>
          </cell>
          <cell r="I408">
            <v>560</v>
          </cell>
          <cell r="J408">
            <v>86564.758000000002</v>
          </cell>
          <cell r="K408">
            <v>300</v>
          </cell>
          <cell r="L408">
            <v>1.8666666666666667</v>
          </cell>
          <cell r="M408" t="str">
            <v>Gramos</v>
          </cell>
        </row>
        <row r="409">
          <cell r="A409" t="str">
            <v>10100195</v>
          </cell>
          <cell r="B409">
            <v>15140</v>
          </cell>
          <cell r="C409" t="str">
            <v>QUESO MOLIDO (PAQ:1 K)</v>
          </cell>
          <cell r="D409" t="str">
            <v>10100195</v>
          </cell>
          <cell r="E409" t="str">
            <v>MATERIAS PRIMAS PLANTA</v>
          </cell>
          <cell r="F409" t="str">
            <v>1 PAQUETE</v>
          </cell>
          <cell r="G409">
            <v>500</v>
          </cell>
          <cell r="H409" t="str">
            <v>26/05/2020</v>
          </cell>
          <cell r="I409">
            <v>3819</v>
          </cell>
          <cell r="J409">
            <v>91375.902000000002</v>
          </cell>
          <cell r="K409">
            <v>1000</v>
          </cell>
          <cell r="L409">
            <v>3.819</v>
          </cell>
          <cell r="M409" t="str">
            <v>Gramos</v>
          </cell>
        </row>
        <row r="410">
          <cell r="A410" t="str">
            <v>10100197</v>
          </cell>
          <cell r="B410">
            <v>15142</v>
          </cell>
          <cell r="C410" t="str">
            <v>ARROZ PRECOC 95%TIO PELON (BULT:10/1.8K)</v>
          </cell>
          <cell r="D410" t="str">
            <v>10100197</v>
          </cell>
          <cell r="E410" t="str">
            <v>MATERIAS PRIMAS PLANTA</v>
          </cell>
          <cell r="F410" t="str">
            <v>1 BULTO</v>
          </cell>
          <cell r="G410">
            <v>500</v>
          </cell>
          <cell r="H410" t="str">
            <v>16/01/2020</v>
          </cell>
          <cell r="I410">
            <v>17137</v>
          </cell>
          <cell r="J410">
            <v>342740</v>
          </cell>
          <cell r="K410">
            <v>18000</v>
          </cell>
          <cell r="L410">
            <v>0.95205555555555554</v>
          </cell>
          <cell r="M410" t="str">
            <v>Gramos</v>
          </cell>
        </row>
        <row r="411">
          <cell r="A411" t="str">
            <v>10100198</v>
          </cell>
          <cell r="B411">
            <v>15143</v>
          </cell>
          <cell r="C411" t="str">
            <v>CURCUMA POLVO (PAQ: 1 K)</v>
          </cell>
          <cell r="D411" t="str">
            <v>10100198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17/01/2020</v>
          </cell>
          <cell r="I411">
            <v>2013.48</v>
          </cell>
          <cell r="J411">
            <v>12080.88</v>
          </cell>
          <cell r="K411">
            <v>1000</v>
          </cell>
          <cell r="L411">
            <v>2.0134799999999999</v>
          </cell>
          <cell r="M411" t="str">
            <v>Gramos</v>
          </cell>
        </row>
        <row r="412">
          <cell r="A412" t="str">
            <v>10100199</v>
          </cell>
          <cell r="B412">
            <v>15144</v>
          </cell>
          <cell r="C412" t="str">
            <v>PECHUGA VENTANITA CONCASA (KILO)</v>
          </cell>
          <cell r="D412" t="str">
            <v>10100199</v>
          </cell>
          <cell r="E412" t="str">
            <v>MATERIAS PRIMAS PLANTA</v>
          </cell>
          <cell r="F412" t="str">
            <v xml:space="preserve">1 KILO </v>
          </cell>
          <cell r="G412">
            <v>500</v>
          </cell>
          <cell r="H412" t="str">
            <v>15/06/2020</v>
          </cell>
          <cell r="I412">
            <v>4520</v>
          </cell>
          <cell r="J412">
            <v>2753865.9993500002</v>
          </cell>
          <cell r="K412">
            <v>1000</v>
          </cell>
          <cell r="L412">
            <v>4.5199999999999996</v>
          </cell>
          <cell r="M412" t="str">
            <v>Gramos</v>
          </cell>
        </row>
        <row r="413">
          <cell r="A413" t="str">
            <v>10100200</v>
          </cell>
          <cell r="B413">
            <v>15145</v>
          </cell>
          <cell r="C413" t="str">
            <v>MUSLO VENTANITA CONCASA (KILO)</v>
          </cell>
          <cell r="D413" t="str">
            <v>10100200</v>
          </cell>
          <cell r="E413" t="str">
            <v>MATERIAS PRIMAS PLANTA</v>
          </cell>
          <cell r="F413" t="str">
            <v xml:space="preserve">1 KILO  </v>
          </cell>
          <cell r="G413">
            <v>500</v>
          </cell>
          <cell r="H413" t="str">
            <v>15/06/2020</v>
          </cell>
          <cell r="I413">
            <v>4520</v>
          </cell>
          <cell r="J413">
            <v>1642244</v>
          </cell>
          <cell r="K413">
            <v>1000</v>
          </cell>
          <cell r="L413">
            <v>4.5199999999999996</v>
          </cell>
          <cell r="M413" t="str">
            <v>Gramos</v>
          </cell>
        </row>
        <row r="414">
          <cell r="A414" t="str">
            <v>10100201</v>
          </cell>
          <cell r="B414">
            <v>15146</v>
          </cell>
          <cell r="C414" t="str">
            <v>COND FRIJOL MOLIDO GRIFF RP 4K(CJ:4 UND)</v>
          </cell>
          <cell r="D414" t="str">
            <v>10100201</v>
          </cell>
          <cell r="E414" t="str">
            <v>MATERIAS PRIMAS PLANTA</v>
          </cell>
          <cell r="F414" t="str">
            <v>1 CAJA</v>
          </cell>
          <cell r="G414">
            <v>500</v>
          </cell>
          <cell r="H414" t="str">
            <v>15/06/2020</v>
          </cell>
          <cell r="I414">
            <v>18266</v>
          </cell>
          <cell r="J414">
            <v>6502696</v>
          </cell>
          <cell r="K414">
            <v>1000</v>
          </cell>
          <cell r="L414" t="e">
            <v>#DIV/0!</v>
          </cell>
          <cell r="M414" t="str">
            <v>Gramos</v>
          </cell>
        </row>
        <row r="415">
          <cell r="A415" t="str">
            <v>10100202</v>
          </cell>
          <cell r="B415">
            <v>15148</v>
          </cell>
          <cell r="C415" t="str">
            <v>HARINA PALATINA CORRIENTE (SACO:25 K)</v>
          </cell>
          <cell r="D415" t="str">
            <v>10100202</v>
          </cell>
          <cell r="E415" t="str">
            <v>MATERIAS PRIMAS PLANTA</v>
          </cell>
          <cell r="F415" t="str">
            <v>1 SACO</v>
          </cell>
          <cell r="G415">
            <v>500</v>
          </cell>
          <cell r="H415" t="str">
            <v>13/06/2020</v>
          </cell>
          <cell r="I415">
            <v>10138.75</v>
          </cell>
          <cell r="J415">
            <v>314301.25</v>
          </cell>
          <cell r="K415">
            <v>25000</v>
          </cell>
          <cell r="L415">
            <v>0.40555000000000002</v>
          </cell>
          <cell r="M415" t="str">
            <v>Gramos</v>
          </cell>
        </row>
        <row r="416">
          <cell r="A416" t="str">
            <v>10100203</v>
          </cell>
          <cell r="B416">
            <v>15149</v>
          </cell>
          <cell r="C416" t="str">
            <v>GALLETA MARIA EN POLVO (PAQ:KILO)</v>
          </cell>
          <cell r="D416" t="str">
            <v>10100203</v>
          </cell>
          <cell r="E416" t="str">
            <v>MATERIAS PRIMAS PLANTA</v>
          </cell>
          <cell r="F416" t="str">
            <v>1 PAQUETE</v>
          </cell>
          <cell r="G416">
            <v>500</v>
          </cell>
          <cell r="H416" t="str">
            <v>19/03/2020</v>
          </cell>
          <cell r="I416">
            <v>3709</v>
          </cell>
          <cell r="J416">
            <v>471043</v>
          </cell>
          <cell r="K416">
            <v>1000</v>
          </cell>
          <cell r="L416">
            <v>3.7090000000000001</v>
          </cell>
          <cell r="M416" t="str">
            <v>Gramos</v>
          </cell>
        </row>
        <row r="417">
          <cell r="A417" t="str">
            <v>10100204</v>
          </cell>
          <cell r="B417">
            <v>15151</v>
          </cell>
          <cell r="C417" t="str">
            <v>QUESO CREMA IN LINE (UND: 210 G)</v>
          </cell>
          <cell r="D417" t="str">
            <v>10100204</v>
          </cell>
          <cell r="E417" t="str">
            <v>MATERIAS PRIMAS PLANTA</v>
          </cell>
          <cell r="F417" t="str">
            <v>1 UND</v>
          </cell>
          <cell r="G417">
            <v>500</v>
          </cell>
          <cell r="H417" t="str">
            <v>18/04/2020</v>
          </cell>
          <cell r="I417">
            <v>1056</v>
          </cell>
          <cell r="J417">
            <v>1000032</v>
          </cell>
          <cell r="K417">
            <v>210</v>
          </cell>
          <cell r="L417">
            <v>5.0285714285714285</v>
          </cell>
          <cell r="M417" t="str">
            <v>Gramos</v>
          </cell>
        </row>
        <row r="418">
          <cell r="A418" t="str">
            <v>10100205</v>
          </cell>
          <cell r="B418">
            <v>15152</v>
          </cell>
          <cell r="C418" t="str">
            <v>CREMA DULCE (GALON) DPR</v>
          </cell>
          <cell r="D418" t="str">
            <v>10100205</v>
          </cell>
          <cell r="E418" t="str">
            <v>MATERIAS PRIMAS PLANTA</v>
          </cell>
          <cell r="F418" t="str">
            <v xml:space="preserve">1 GALON </v>
          </cell>
          <cell r="G418">
            <v>500</v>
          </cell>
          <cell r="H418" t="str">
            <v>11/06/2020</v>
          </cell>
          <cell r="I418">
            <v>9617</v>
          </cell>
          <cell r="J418">
            <v>10866702.539999999</v>
          </cell>
          <cell r="K418">
            <v>3785</v>
          </cell>
          <cell r="L418">
            <v>2.5408190224570673</v>
          </cell>
          <cell r="M418" t="str">
            <v>Mililitros</v>
          </cell>
        </row>
        <row r="419">
          <cell r="A419" t="str">
            <v>10100206</v>
          </cell>
          <cell r="B419">
            <v>15153</v>
          </cell>
          <cell r="C419" t="str">
            <v>SUSTITUTO SUCRALOSA (PAQ: 5 KILOS)</v>
          </cell>
          <cell r="D419" t="str">
            <v>10100206</v>
          </cell>
          <cell r="E419" t="str">
            <v>MATERIAS PRIMAS PLANTA</v>
          </cell>
          <cell r="F419" t="str">
            <v>1 PAQUETE</v>
          </cell>
          <cell r="G419">
            <v>500</v>
          </cell>
          <cell r="H419" t="str">
            <v>27/03/2020</v>
          </cell>
          <cell r="I419">
            <v>14922.236000000001</v>
          </cell>
          <cell r="J419">
            <v>122648.158</v>
          </cell>
          <cell r="K419">
            <v>5000</v>
          </cell>
          <cell r="L419">
            <v>2.9844472</v>
          </cell>
          <cell r="M419" t="str">
            <v>Gramos</v>
          </cell>
        </row>
        <row r="420">
          <cell r="A420" t="str">
            <v>10100207</v>
          </cell>
          <cell r="B420">
            <v>15154</v>
          </cell>
          <cell r="C420" t="str">
            <v>LECHE DESCREMADA TB DOS PINOS(CAJA:12 L)</v>
          </cell>
          <cell r="D420" t="str">
            <v>10100207</v>
          </cell>
          <cell r="E420" t="str">
            <v>MATERIAS PRIMAS PLANTA</v>
          </cell>
          <cell r="F420" t="str">
            <v>1 CAJA</v>
          </cell>
          <cell r="G420">
            <v>500</v>
          </cell>
          <cell r="H420" t="str">
            <v>18/04/2020</v>
          </cell>
          <cell r="I420">
            <v>9320.5400000000009</v>
          </cell>
          <cell r="J420">
            <v>203491.24</v>
          </cell>
          <cell r="K420">
            <v>3780</v>
          </cell>
          <cell r="L420" t="e">
            <v>#DIV/0!</v>
          </cell>
          <cell r="M420" t="str">
            <v>Gramos</v>
          </cell>
        </row>
        <row r="421">
          <cell r="A421" t="str">
            <v>10100208</v>
          </cell>
          <cell r="B421">
            <v>15155</v>
          </cell>
          <cell r="C421" t="str">
            <v>MARACUYA (KILO)</v>
          </cell>
          <cell r="D421" t="str">
            <v>10100208</v>
          </cell>
          <cell r="E421" t="str">
            <v>MATERIAS PRIMAS PLANTA</v>
          </cell>
          <cell r="F421" t="str">
            <v xml:space="preserve">1 KILO </v>
          </cell>
          <cell r="G421">
            <v>500</v>
          </cell>
          <cell r="H421" t="str">
            <v>06/04/2020</v>
          </cell>
          <cell r="I421">
            <v>2465</v>
          </cell>
          <cell r="J421">
            <v>105995</v>
          </cell>
          <cell r="K421">
            <v>1000</v>
          </cell>
          <cell r="L421">
            <v>2.4649999999999999</v>
          </cell>
          <cell r="M421" t="str">
            <v>Gramos</v>
          </cell>
        </row>
        <row r="422">
          <cell r="A422" t="str">
            <v>10100211</v>
          </cell>
          <cell r="B422">
            <v>15177</v>
          </cell>
          <cell r="C422" t="str">
            <v>MANTECA CLOVER GRUESA 460G (CJ:40 UND)</v>
          </cell>
          <cell r="D422" t="str">
            <v>10100211</v>
          </cell>
          <cell r="E422" t="str">
            <v>MATERIAS PRIMAS PLANTA</v>
          </cell>
          <cell r="F422" t="str">
            <v>1 CAJA</v>
          </cell>
          <cell r="G422">
            <v>500</v>
          </cell>
          <cell r="H422" t="str">
            <v>28/05/2020</v>
          </cell>
          <cell r="I422">
            <v>16965</v>
          </cell>
          <cell r="J422">
            <v>243405</v>
          </cell>
          <cell r="K422">
            <v>40</v>
          </cell>
          <cell r="L422">
            <v>424.125</v>
          </cell>
          <cell r="M422" t="str">
            <v>Gramos</v>
          </cell>
        </row>
        <row r="423">
          <cell r="A423" t="str">
            <v>10100212</v>
          </cell>
          <cell r="B423">
            <v>15188</v>
          </cell>
          <cell r="C423" t="str">
            <v>CEBOLLA ROSTI (PAQ: 2.5K)</v>
          </cell>
          <cell r="D423" t="str">
            <v>10100212</v>
          </cell>
          <cell r="E423" t="str">
            <v>MATERIAS PRIMAS PLANTA</v>
          </cell>
          <cell r="F423" t="str">
            <v>1 PAQUETE</v>
          </cell>
          <cell r="G423">
            <v>500</v>
          </cell>
          <cell r="H423" t="str">
            <v>16/06/2020</v>
          </cell>
          <cell r="I423">
            <v>4125</v>
          </cell>
          <cell r="J423">
            <v>1093125</v>
          </cell>
          <cell r="K423">
            <v>2500</v>
          </cell>
          <cell r="L423">
            <v>1.65</v>
          </cell>
          <cell r="M423" t="str">
            <v>Gramos</v>
          </cell>
        </row>
        <row r="424">
          <cell r="A424" t="str">
            <v>10100213</v>
          </cell>
          <cell r="B424">
            <v>15189</v>
          </cell>
          <cell r="C424" t="str">
            <v>VINAGRE DULCE GRIFF RP 4 K (CAJA:4 UND)</v>
          </cell>
          <cell r="D424" t="str">
            <v>10100213</v>
          </cell>
          <cell r="E424" t="str">
            <v>MATERIAS PRIMAS PLANTA</v>
          </cell>
          <cell r="F424" t="str">
            <v>1 CAJA</v>
          </cell>
          <cell r="G424">
            <v>500</v>
          </cell>
          <cell r="H424" t="str">
            <v>15/06/2020</v>
          </cell>
          <cell r="I424">
            <v>11616</v>
          </cell>
          <cell r="J424">
            <v>418176</v>
          </cell>
          <cell r="K424">
            <v>1000</v>
          </cell>
          <cell r="L424" t="e">
            <v>#DIV/0!</v>
          </cell>
          <cell r="M424" t="str">
            <v>Gramos</v>
          </cell>
        </row>
        <row r="425">
          <cell r="A425" t="str">
            <v>10100214</v>
          </cell>
          <cell r="B425">
            <v>15234</v>
          </cell>
          <cell r="C425" t="str">
            <v>VINAGRE PICANTE GRIFF RP 4K(CAJA:4 UND )</v>
          </cell>
          <cell r="D425" t="str">
            <v>10100214</v>
          </cell>
          <cell r="E425" t="str">
            <v>MATERIAS PRIMAS PLANTA</v>
          </cell>
          <cell r="F425" t="str">
            <v>1 CAJA</v>
          </cell>
          <cell r="G425">
            <v>500</v>
          </cell>
          <cell r="H425" t="str">
            <v>15/06/2020</v>
          </cell>
          <cell r="I425">
            <v>14065</v>
          </cell>
          <cell r="J425">
            <v>154715</v>
          </cell>
          <cell r="K425">
            <v>1000</v>
          </cell>
          <cell r="L425" t="e">
            <v>#DIV/0!</v>
          </cell>
          <cell r="M425" t="str">
            <v>Gramos</v>
          </cell>
        </row>
        <row r="426">
          <cell r="A426" t="str">
            <v>10100215</v>
          </cell>
          <cell r="B426">
            <v>15244</v>
          </cell>
          <cell r="C426" t="str">
            <v>COCO DESHIDRATADO MEDIO (PAQ: KILO)</v>
          </cell>
          <cell r="D426" t="str">
            <v>10100215</v>
          </cell>
          <cell r="E426" t="str">
            <v>MATERIAS PRIMAS PLANTA</v>
          </cell>
          <cell r="F426" t="str">
            <v>1 PAQUETE</v>
          </cell>
          <cell r="G426">
            <v>500</v>
          </cell>
          <cell r="H426" t="str">
            <v>22/02/2020</v>
          </cell>
          <cell r="I426">
            <v>2078</v>
          </cell>
          <cell r="J426">
            <v>228580</v>
          </cell>
          <cell r="K426">
            <v>1000</v>
          </cell>
          <cell r="L426">
            <v>2.0779999999999998</v>
          </cell>
          <cell r="M426" t="str">
            <v>Gramos</v>
          </cell>
        </row>
        <row r="427">
          <cell r="A427" t="str">
            <v>10100217</v>
          </cell>
          <cell r="B427">
            <v>15248</v>
          </cell>
          <cell r="C427" t="str">
            <v>CONDIMENTO CAJUN (PAQ:1 K)</v>
          </cell>
          <cell r="D427" t="str">
            <v>10100217</v>
          </cell>
          <cell r="E427" t="str">
            <v>MATERIAS PRIMAS PLANTA</v>
          </cell>
          <cell r="F427" t="str">
            <v>1 PAQUETE</v>
          </cell>
          <cell r="G427">
            <v>500</v>
          </cell>
          <cell r="H427" t="str">
            <v>17/01/2020</v>
          </cell>
          <cell r="I427">
            <v>5039.41</v>
          </cell>
          <cell r="J427">
            <v>30236.46</v>
          </cell>
          <cell r="K427">
            <v>1000</v>
          </cell>
          <cell r="L427">
            <v>5.0394100000000002</v>
          </cell>
          <cell r="M427" t="str">
            <v>Gramos</v>
          </cell>
        </row>
        <row r="428">
          <cell r="A428" t="str">
            <v>10100218</v>
          </cell>
          <cell r="B428">
            <v>15252</v>
          </cell>
          <cell r="C428" t="str">
            <v>QUESO SEMIDURO DADOS RD (KILO)</v>
          </cell>
          <cell r="D428" t="str">
            <v>10100218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15/06/2020</v>
          </cell>
          <cell r="I428">
            <v>3667</v>
          </cell>
          <cell r="J428">
            <v>4881824.2538999999</v>
          </cell>
          <cell r="K428">
            <v>1000</v>
          </cell>
          <cell r="L428">
            <v>3.6669999999999998</v>
          </cell>
          <cell r="M428" t="str">
            <v>Gramos</v>
          </cell>
        </row>
        <row r="429">
          <cell r="A429" t="str">
            <v>10100219</v>
          </cell>
          <cell r="B429">
            <v>15281</v>
          </cell>
          <cell r="C429" t="str">
            <v>POLLO LOMITO S/R FCO (30 KG)</v>
          </cell>
          <cell r="D429" t="str">
            <v>10100219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04/06/2020</v>
          </cell>
          <cell r="I429">
            <v>4000</v>
          </cell>
          <cell r="J429">
            <v>11799520</v>
          </cell>
          <cell r="K429">
            <v>1000</v>
          </cell>
          <cell r="L429">
            <v>4</v>
          </cell>
          <cell r="M429" t="str">
            <v>Gramos</v>
          </cell>
        </row>
        <row r="430">
          <cell r="A430" t="str">
            <v>10100220</v>
          </cell>
          <cell r="B430">
            <v>15282</v>
          </cell>
          <cell r="C430" t="str">
            <v>SALSA POLLO ROSTI GRIFF RP 6K (CJ:2 UND)</v>
          </cell>
          <cell r="D430" t="str">
            <v>10100220</v>
          </cell>
          <cell r="E430" t="str">
            <v>MATERIAS PRIMAS PLANTA</v>
          </cell>
          <cell r="F430" t="str">
            <v>1 CAJA</v>
          </cell>
          <cell r="G430">
            <v>500</v>
          </cell>
          <cell r="H430" t="str">
            <v>25/05/2020</v>
          </cell>
          <cell r="I430">
            <v>31051</v>
          </cell>
          <cell r="J430">
            <v>1086785</v>
          </cell>
          <cell r="K430">
            <v>1000</v>
          </cell>
          <cell r="L430" t="e">
            <v>#DIV/0!</v>
          </cell>
          <cell r="M430" t="str">
            <v>Gramos</v>
          </cell>
        </row>
        <row r="431">
          <cell r="A431" t="str">
            <v>10100221</v>
          </cell>
          <cell r="B431">
            <v>15283</v>
          </cell>
          <cell r="C431" t="str">
            <v>SALSA SOYA KIKOMAN (GALON)</v>
          </cell>
          <cell r="D431" t="str">
            <v>10100221</v>
          </cell>
          <cell r="E431" t="str">
            <v>MATERIAS PRIMAS PLANTA</v>
          </cell>
          <cell r="F431" t="str">
            <v xml:space="preserve">1 GALON </v>
          </cell>
          <cell r="G431">
            <v>500</v>
          </cell>
          <cell r="H431" t="str">
            <v>23/01/2020</v>
          </cell>
          <cell r="I431">
            <v>10050</v>
          </cell>
          <cell r="J431">
            <v>180900</v>
          </cell>
          <cell r="K431">
            <v>3785</v>
          </cell>
          <cell r="L431">
            <v>2.6552179656538968</v>
          </cell>
          <cell r="M431" t="str">
            <v>Gramos</v>
          </cell>
        </row>
        <row r="432">
          <cell r="A432" t="str">
            <v>10100222</v>
          </cell>
          <cell r="B432">
            <v>15284</v>
          </cell>
          <cell r="C432" t="str">
            <v>MAICENA DURYEA (PAQ: 2.3 K)</v>
          </cell>
          <cell r="D432" t="str">
            <v>10100222</v>
          </cell>
          <cell r="E432" t="str">
            <v>MATERIAS PRIMAS PLANTA</v>
          </cell>
          <cell r="F432" t="str">
            <v>1 PAQUETE</v>
          </cell>
          <cell r="G432">
            <v>500</v>
          </cell>
          <cell r="H432" t="str">
            <v>27/03/2020</v>
          </cell>
          <cell r="I432">
            <v>4995</v>
          </cell>
          <cell r="J432">
            <v>384291</v>
          </cell>
          <cell r="K432">
            <v>2300</v>
          </cell>
          <cell r="L432">
            <v>2.1717391304347826</v>
          </cell>
          <cell r="M432" t="str">
            <v>Mililitros</v>
          </cell>
        </row>
        <row r="433">
          <cell r="A433" t="str">
            <v>10100223</v>
          </cell>
          <cell r="B433">
            <v>15285</v>
          </cell>
          <cell r="C433" t="str">
            <v>ADEREZO JENGIBRE C/AJONJOLI (UND:3.78 K)</v>
          </cell>
          <cell r="D433" t="str">
            <v>10100223</v>
          </cell>
          <cell r="E433" t="str">
            <v>MATERIAS PRIMAS PLANTA</v>
          </cell>
          <cell r="F433" t="str">
            <v>1 UND</v>
          </cell>
          <cell r="G433">
            <v>500</v>
          </cell>
          <cell r="H433" t="str">
            <v>30/05/2020</v>
          </cell>
          <cell r="I433">
            <v>6162</v>
          </cell>
          <cell r="J433">
            <v>103751</v>
          </cell>
          <cell r="K433">
            <v>3780</v>
          </cell>
          <cell r="L433">
            <v>1.6301587301587301</v>
          </cell>
          <cell r="M433" t="str">
            <v>Mililitros</v>
          </cell>
        </row>
        <row r="434">
          <cell r="A434" t="str">
            <v>10100224</v>
          </cell>
          <cell r="B434">
            <v>15305</v>
          </cell>
          <cell r="C434" t="str">
            <v>REPOLLO VERDE GRANEL (KILO)</v>
          </cell>
          <cell r="D434" t="str">
            <v>10100224</v>
          </cell>
          <cell r="E434" t="str">
            <v>MATERIAS PRIMAS PLANTA</v>
          </cell>
          <cell r="F434" t="str">
            <v xml:space="preserve">1 KILO </v>
          </cell>
          <cell r="G434">
            <v>500</v>
          </cell>
          <cell r="H434" t="str">
            <v>16/06/2020</v>
          </cell>
          <cell r="I434">
            <v>380</v>
          </cell>
          <cell r="J434">
            <v>445826</v>
          </cell>
          <cell r="K434">
            <v>1000</v>
          </cell>
          <cell r="L434">
            <v>0.38</v>
          </cell>
          <cell r="M434" t="str">
            <v>Gramos</v>
          </cell>
        </row>
        <row r="435">
          <cell r="A435" t="str">
            <v>10100225</v>
          </cell>
          <cell r="B435">
            <v>15309</v>
          </cell>
          <cell r="C435" t="str">
            <v>ACEITE POMACE 90% CANOLA OLIVA (GALON)</v>
          </cell>
          <cell r="D435" t="str">
            <v>10100225</v>
          </cell>
          <cell r="E435" t="str">
            <v>MATERIAS PRIMAS PLANTA</v>
          </cell>
          <cell r="F435" t="str">
            <v xml:space="preserve">1 GALON </v>
          </cell>
          <cell r="G435">
            <v>500</v>
          </cell>
          <cell r="H435" t="str">
            <v>28/05/2020</v>
          </cell>
          <cell r="I435">
            <v>7973</v>
          </cell>
          <cell r="J435">
            <v>225246</v>
          </cell>
          <cell r="K435">
            <v>3785</v>
          </cell>
          <cell r="L435">
            <v>2.1064729194187581</v>
          </cell>
          <cell r="M435" t="str">
            <v>Gramos</v>
          </cell>
        </row>
        <row r="436">
          <cell r="A436" t="str">
            <v>10100226</v>
          </cell>
          <cell r="B436">
            <v>15322</v>
          </cell>
          <cell r="C436" t="str">
            <v>PANKO COSTRA DE PAN (PAQ:20 LB)</v>
          </cell>
          <cell r="D436" t="str">
            <v>10100226</v>
          </cell>
          <cell r="E436" t="str">
            <v>MATERIAS PRIMAS PLANTA</v>
          </cell>
          <cell r="F436" t="str">
            <v>1 PAQUETE</v>
          </cell>
          <cell r="G436">
            <v>500</v>
          </cell>
          <cell r="H436" t="str">
            <v>17/01/2020</v>
          </cell>
          <cell r="I436">
            <v>27173</v>
          </cell>
          <cell r="J436">
            <v>108692</v>
          </cell>
          <cell r="K436">
            <v>3700</v>
          </cell>
          <cell r="L436" t="e">
            <v>#DIV/0!</v>
          </cell>
          <cell r="M436" t="str">
            <v>Unidad</v>
          </cell>
        </row>
        <row r="437">
          <cell r="A437" t="str">
            <v>10100227</v>
          </cell>
          <cell r="B437">
            <v>15325</v>
          </cell>
          <cell r="C437" t="str">
            <v>ROSA JAMAICA (PAQ:KILO)</v>
          </cell>
          <cell r="D437" t="str">
            <v>10100227</v>
          </cell>
          <cell r="E437" t="str">
            <v>MATERIAS PRIMAS PLANTA</v>
          </cell>
          <cell r="F437" t="str">
            <v>1 PAQUETE</v>
          </cell>
          <cell r="G437">
            <v>500</v>
          </cell>
          <cell r="H437" t="str">
            <v>02/05/2020</v>
          </cell>
          <cell r="I437">
            <v>7500</v>
          </cell>
          <cell r="J437">
            <v>690000</v>
          </cell>
          <cell r="K437">
            <v>1000</v>
          </cell>
          <cell r="L437">
            <v>7.5</v>
          </cell>
          <cell r="M437" t="str">
            <v>Unidad</v>
          </cell>
        </row>
        <row r="438">
          <cell r="A438" t="str">
            <v>10100229</v>
          </cell>
          <cell r="B438">
            <v>15328</v>
          </cell>
          <cell r="C438" t="str">
            <v>NEGRO B100 ESPECIAL (BULTO:36 PAQ)</v>
          </cell>
          <cell r="D438" t="str">
            <v>10100229</v>
          </cell>
          <cell r="E438" t="str">
            <v>MATERIAS PRIMAS PLANTA</v>
          </cell>
          <cell r="F438" t="str">
            <v>1 BULTO</v>
          </cell>
          <cell r="G438">
            <v>500</v>
          </cell>
          <cell r="H438" t="str">
            <v>13/05/2020</v>
          </cell>
          <cell r="I438">
            <v>41400</v>
          </cell>
          <cell r="J438">
            <v>703800</v>
          </cell>
          <cell r="K438">
            <v>60</v>
          </cell>
          <cell r="L438" t="e">
            <v>#DIV/0!</v>
          </cell>
          <cell r="M438" t="str">
            <v>Unidad</v>
          </cell>
        </row>
        <row r="439">
          <cell r="A439" t="str">
            <v>10100230</v>
          </cell>
          <cell r="B439">
            <v>15334</v>
          </cell>
          <cell r="C439" t="str">
            <v>FRESA CONGELADA BEGRO (PAQ:1 K)</v>
          </cell>
          <cell r="D439" t="str">
            <v>10100230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08/06/2020</v>
          </cell>
          <cell r="I439">
            <v>1890</v>
          </cell>
          <cell r="J439">
            <v>3021599</v>
          </cell>
          <cell r="K439">
            <v>1000</v>
          </cell>
          <cell r="L439">
            <v>1.89</v>
          </cell>
          <cell r="M439" t="str">
            <v>Gramos</v>
          </cell>
        </row>
        <row r="440">
          <cell r="A440" t="str">
            <v>10100235</v>
          </cell>
          <cell r="B440">
            <v>15344</v>
          </cell>
          <cell r="C440" t="str">
            <v>QUESO MOZA RALLADO CONGEL PIZZA (PAQ:2K)</v>
          </cell>
          <cell r="D440" t="str">
            <v>10100235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01/06/2020</v>
          </cell>
          <cell r="I440">
            <v>9356.44</v>
          </cell>
          <cell r="J440">
            <v>1944798.98</v>
          </cell>
          <cell r="K440">
            <v>2000</v>
          </cell>
          <cell r="L440">
            <v>4.6782200000000005</v>
          </cell>
          <cell r="M440" t="str">
            <v>Gramos</v>
          </cell>
        </row>
        <row r="441">
          <cell r="A441" t="str">
            <v>10100237</v>
          </cell>
          <cell r="B441">
            <v>15361</v>
          </cell>
          <cell r="C441" t="str">
            <v>PREMEZCLA CHOCOLATE RICHS (SACO:30 LB)</v>
          </cell>
          <cell r="D441" t="str">
            <v>10100237</v>
          </cell>
          <cell r="E441" t="str">
            <v>MATERIAS PRIMAS PLANTA</v>
          </cell>
          <cell r="F441" t="str">
            <v>1 SACO</v>
          </cell>
          <cell r="G441">
            <v>500</v>
          </cell>
          <cell r="H441" t="str">
            <v>08/06/2020</v>
          </cell>
          <cell r="I441">
            <v>26348</v>
          </cell>
          <cell r="J441">
            <v>1766787</v>
          </cell>
          <cell r="K441">
            <v>4000</v>
          </cell>
          <cell r="L441" t="e">
            <v>#DIV/0!</v>
          </cell>
          <cell r="M441" t="str">
            <v>Unidad</v>
          </cell>
        </row>
        <row r="442">
          <cell r="A442" t="str">
            <v>10100238</v>
          </cell>
          <cell r="B442">
            <v>15366</v>
          </cell>
          <cell r="C442" t="str">
            <v>COBERTURA DONA CHOCOLAT RICH (UND:23 LB)</v>
          </cell>
          <cell r="D442" t="str">
            <v>10100238</v>
          </cell>
          <cell r="E442" t="str">
            <v>MATERIAS PRIMAS PLANTA</v>
          </cell>
          <cell r="F442" t="str">
            <v>1 UND</v>
          </cell>
          <cell r="G442">
            <v>500</v>
          </cell>
          <cell r="H442" t="str">
            <v>10/06/2020</v>
          </cell>
          <cell r="I442">
            <v>27965</v>
          </cell>
          <cell r="J442">
            <v>779169</v>
          </cell>
          <cell r="K442">
            <v>10432</v>
          </cell>
          <cell r="L442">
            <v>2.6806940184049082</v>
          </cell>
          <cell r="M442" t="str">
            <v>Gramos</v>
          </cell>
        </row>
        <row r="443">
          <cell r="A443" t="str">
            <v>10100239</v>
          </cell>
          <cell r="B443">
            <v>15370</v>
          </cell>
          <cell r="C443" t="str">
            <v>TOMATE SALSA (KILO)</v>
          </cell>
          <cell r="D443" t="str">
            <v>10100239</v>
          </cell>
          <cell r="E443" t="str">
            <v>MATERIAS PRIMAS PLANTA</v>
          </cell>
          <cell r="F443" t="str">
            <v xml:space="preserve">1 KILO </v>
          </cell>
          <cell r="G443">
            <v>500</v>
          </cell>
          <cell r="H443" t="str">
            <v>26/03/2020</v>
          </cell>
          <cell r="I443">
            <v>1100</v>
          </cell>
          <cell r="J443">
            <v>4104000</v>
          </cell>
          <cell r="K443">
            <v>1000</v>
          </cell>
          <cell r="L443">
            <v>1.1000000000000001</v>
          </cell>
          <cell r="M443" t="str">
            <v>Gramos</v>
          </cell>
        </row>
        <row r="444">
          <cell r="A444" t="str">
            <v>10100241</v>
          </cell>
          <cell r="B444">
            <v>15372</v>
          </cell>
          <cell r="C444" t="str">
            <v>APIO GRANEL (KILO)</v>
          </cell>
          <cell r="D444" t="str">
            <v>10100241</v>
          </cell>
          <cell r="E444" t="str">
            <v>MATERIAS PRIMAS PLANTA</v>
          </cell>
          <cell r="F444" t="str">
            <v xml:space="preserve">1 KILO </v>
          </cell>
          <cell r="G444">
            <v>500</v>
          </cell>
          <cell r="H444" t="str">
            <v>13/06/2020</v>
          </cell>
          <cell r="I444">
            <v>1000</v>
          </cell>
          <cell r="J444">
            <v>103500</v>
          </cell>
          <cell r="K444">
            <v>1000</v>
          </cell>
          <cell r="L444">
            <v>1</v>
          </cell>
          <cell r="M444" t="str">
            <v>Gramos</v>
          </cell>
        </row>
        <row r="445">
          <cell r="A445" t="str">
            <v>10100242</v>
          </cell>
          <cell r="B445">
            <v>15377</v>
          </cell>
          <cell r="C445" t="str">
            <v>SALSA INGLESA DEL LLANO (GALON)</v>
          </cell>
          <cell r="D445" t="str">
            <v>10100242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16/04/2020</v>
          </cell>
          <cell r="I445">
            <v>4189</v>
          </cell>
          <cell r="J445">
            <v>247151</v>
          </cell>
          <cell r="K445">
            <v>3785</v>
          </cell>
          <cell r="L445">
            <v>1.1067371202113607</v>
          </cell>
          <cell r="M445" t="str">
            <v>Mililitros</v>
          </cell>
        </row>
        <row r="446">
          <cell r="A446" t="str">
            <v>10100243</v>
          </cell>
          <cell r="B446">
            <v>15379</v>
          </cell>
          <cell r="C446" t="str">
            <v>BATTER ZFC (PAQ: 1 K)</v>
          </cell>
          <cell r="D446" t="str">
            <v>10100243</v>
          </cell>
          <cell r="E446" t="str">
            <v>MATERIAS PRIMAS PLANTA</v>
          </cell>
          <cell r="F446" t="str">
            <v>1 PAQUETE</v>
          </cell>
          <cell r="G446">
            <v>500</v>
          </cell>
          <cell r="H446" t="str">
            <v>21/01/2020</v>
          </cell>
          <cell r="I446">
            <v>1514</v>
          </cell>
          <cell r="J446">
            <v>37850</v>
          </cell>
          <cell r="K446">
            <v>1000</v>
          </cell>
          <cell r="L446">
            <v>1.514</v>
          </cell>
          <cell r="M446" t="str">
            <v>Mililitros</v>
          </cell>
        </row>
        <row r="447">
          <cell r="A447" t="str">
            <v>10100244</v>
          </cell>
          <cell r="B447">
            <v>15380</v>
          </cell>
          <cell r="C447" t="str">
            <v>EMPANIZADOR ROSTIPOLLOS (UND: 25 K)</v>
          </cell>
          <cell r="D447" t="str">
            <v>10100244</v>
          </cell>
          <cell r="E447" t="str">
            <v>MATERIAS PRIMAS PLANTA</v>
          </cell>
          <cell r="F447" t="str">
            <v>1 UND</v>
          </cell>
          <cell r="G447">
            <v>500</v>
          </cell>
          <cell r="H447" t="str">
            <v>25/05/2020</v>
          </cell>
          <cell r="I447">
            <v>33495</v>
          </cell>
          <cell r="J447">
            <v>637794</v>
          </cell>
          <cell r="K447">
            <v>25000</v>
          </cell>
          <cell r="L447">
            <v>1.3398000000000001</v>
          </cell>
          <cell r="M447" t="str">
            <v>Mililitros</v>
          </cell>
        </row>
        <row r="448">
          <cell r="A448" t="str">
            <v>10100245</v>
          </cell>
          <cell r="B448">
            <v>15387</v>
          </cell>
          <cell r="C448" t="str">
            <v>PREMEZCLA VAINILLA RICHS (SACO:30 LBS)</v>
          </cell>
          <cell r="D448" t="str">
            <v>10100245</v>
          </cell>
          <cell r="E448" t="str">
            <v>MATERIAS PRIMAS PLANTA</v>
          </cell>
          <cell r="F448" t="str">
            <v>1 SACO</v>
          </cell>
          <cell r="G448">
            <v>500</v>
          </cell>
          <cell r="H448" t="str">
            <v>18/05/2020</v>
          </cell>
          <cell r="I448">
            <v>22599</v>
          </cell>
          <cell r="J448">
            <v>425191</v>
          </cell>
          <cell r="K448">
            <v>1000</v>
          </cell>
          <cell r="L448" t="e">
            <v>#DIV/0!</v>
          </cell>
          <cell r="M448" t="str">
            <v>Mililitros</v>
          </cell>
        </row>
        <row r="449">
          <cell r="A449" t="str">
            <v>10100249</v>
          </cell>
          <cell r="B449">
            <v>15402</v>
          </cell>
          <cell r="C449" t="str">
            <v>SALSA BARBACOA CHIPOTLE MIEL (UND:3.7 K)</v>
          </cell>
          <cell r="D449" t="str">
            <v>10100249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28/01/2020</v>
          </cell>
          <cell r="I449">
            <v>8740</v>
          </cell>
          <cell r="J449">
            <v>43700</v>
          </cell>
          <cell r="K449">
            <v>3700</v>
          </cell>
          <cell r="L449">
            <v>2.362162162162162</v>
          </cell>
          <cell r="M449"/>
        </row>
        <row r="450">
          <cell r="A450" t="str">
            <v>10100250</v>
          </cell>
          <cell r="B450">
            <v>15436</v>
          </cell>
          <cell r="C450" t="str">
            <v>PAPA TOSTADA KITTY (PAQ: 1 K)</v>
          </cell>
          <cell r="D450" t="str">
            <v>10100250</v>
          </cell>
          <cell r="E450" t="str">
            <v>MATERIAS PRIMAS PLANTA</v>
          </cell>
          <cell r="F450" t="str">
            <v>1 PAQUETE</v>
          </cell>
          <cell r="G450">
            <v>500</v>
          </cell>
          <cell r="H450" t="str">
            <v>30/12/2019</v>
          </cell>
          <cell r="I450">
            <v>5777.3329999999996</v>
          </cell>
          <cell r="J450">
            <v>86659.994999999995</v>
          </cell>
          <cell r="K450">
            <v>1000</v>
          </cell>
          <cell r="L450">
            <v>5.7773329999999996</v>
          </cell>
          <cell r="M450" t="str">
            <v>Mililitros</v>
          </cell>
        </row>
        <row r="451">
          <cell r="A451" t="str">
            <v>10100252</v>
          </cell>
          <cell r="B451">
            <v>15479</v>
          </cell>
          <cell r="C451" t="str">
            <v>TORTILLA TRIGO MISION 12" CON (CJ:6 PAQ)</v>
          </cell>
          <cell r="D451" t="str">
            <v>10100252</v>
          </cell>
          <cell r="E451" t="str">
            <v>MATERIAS PRIMAS PLANTA</v>
          </cell>
          <cell r="F451" t="str">
            <v>1 CAJA</v>
          </cell>
          <cell r="G451">
            <v>500</v>
          </cell>
          <cell r="H451" t="str">
            <v>26/02/2020</v>
          </cell>
          <cell r="I451">
            <v>1008.33333333333</v>
          </cell>
          <cell r="J451">
            <v>18338.999999999902</v>
          </cell>
          <cell r="K451">
            <v>60</v>
          </cell>
          <cell r="L451" t="e">
            <v>#DIV/0!</v>
          </cell>
          <cell r="M451" t="str">
            <v>Unidad</v>
          </cell>
        </row>
        <row r="452">
          <cell r="A452" t="str">
            <v>10100253</v>
          </cell>
          <cell r="B452">
            <v>15538</v>
          </cell>
          <cell r="C452" t="str">
            <v>LENTEJAS ( PAQ:1 K)</v>
          </cell>
          <cell r="D452" t="str">
            <v>10100253</v>
          </cell>
          <cell r="E452" t="str">
            <v>MATERIAS PRIMAS PLANTA</v>
          </cell>
          <cell r="F452" t="str">
            <v xml:space="preserve">1 PAQUETE </v>
          </cell>
          <cell r="G452">
            <v>500</v>
          </cell>
          <cell r="H452" t="str">
            <v>29/04/2020</v>
          </cell>
          <cell r="I452">
            <v>1250</v>
          </cell>
          <cell r="J452">
            <v>5000</v>
          </cell>
          <cell r="K452">
            <v>1000</v>
          </cell>
          <cell r="L452">
            <v>1.25</v>
          </cell>
        </row>
        <row r="453">
          <cell r="A453" t="str">
            <v>10100255</v>
          </cell>
          <cell r="B453">
            <v>15609</v>
          </cell>
          <cell r="C453" t="str">
            <v>PAPA GAJO CASCARA HIERBA (CAJA:4/2.5k)</v>
          </cell>
          <cell r="D453" t="str">
            <v>10100255</v>
          </cell>
          <cell r="E453" t="str">
            <v>MATERIAS PRIMAS PLANTA</v>
          </cell>
          <cell r="F453" t="str">
            <v>1 CAJA</v>
          </cell>
          <cell r="G453">
            <v>500</v>
          </cell>
          <cell r="H453" t="str">
            <v>19/12/2019</v>
          </cell>
          <cell r="I453">
            <v>19540</v>
          </cell>
          <cell r="J453">
            <v>19540</v>
          </cell>
          <cell r="K453">
            <v>10000</v>
          </cell>
          <cell r="L453">
            <v>1.954</v>
          </cell>
          <cell r="M453" t="str">
            <v>Gramos</v>
          </cell>
        </row>
        <row r="454">
          <cell r="A454" t="str">
            <v>10100256</v>
          </cell>
          <cell r="B454">
            <v>15823</v>
          </cell>
          <cell r="C454" t="str">
            <v>FRIJOLES MOLIDOS SADE (PAQ: 4 K)</v>
          </cell>
          <cell r="D454" t="str">
            <v>10100256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09/06/2020</v>
          </cell>
          <cell r="I454">
            <v>2403.52</v>
          </cell>
          <cell r="J454">
            <v>22844268.359999999</v>
          </cell>
          <cell r="K454">
            <v>4000</v>
          </cell>
          <cell r="L454">
            <v>0.60087999999999997</v>
          </cell>
          <cell r="M454" t="str">
            <v>Gramos</v>
          </cell>
        </row>
        <row r="455">
          <cell r="A455" t="str">
            <v>10100259</v>
          </cell>
          <cell r="B455">
            <v>15846</v>
          </cell>
          <cell r="C455" t="str">
            <v>CHAYOTE TIERNO CUBO (PAQ:2K)</v>
          </cell>
          <cell r="D455" t="str">
            <v>10100259</v>
          </cell>
          <cell r="E455" t="str">
            <v>MATERIAS PRIMAS PLANTA</v>
          </cell>
          <cell r="F455" t="str">
            <v>1 PAQUETE</v>
          </cell>
          <cell r="G455">
            <v>500</v>
          </cell>
          <cell r="H455" t="str">
            <v>16/06/2020</v>
          </cell>
          <cell r="I455">
            <v>1900</v>
          </cell>
          <cell r="J455">
            <v>1875300</v>
          </cell>
          <cell r="K455">
            <v>2000</v>
          </cell>
          <cell r="L455">
            <v>0.95</v>
          </cell>
          <cell r="M455" t="str">
            <v>Gramos</v>
          </cell>
        </row>
        <row r="456">
          <cell r="A456" t="str">
            <v>10100260</v>
          </cell>
          <cell r="B456">
            <v>15847</v>
          </cell>
          <cell r="C456" t="str">
            <v>HIERBA BUENA GRANEL (KILO)</v>
          </cell>
          <cell r="D456" t="str">
            <v>10100260</v>
          </cell>
          <cell r="E456" t="str">
            <v>MATERIAS PRIMAS PLANTA</v>
          </cell>
          <cell r="F456" t="str">
            <v>1 KILO</v>
          </cell>
          <cell r="G456">
            <v>500</v>
          </cell>
          <cell r="H456" t="str">
            <v>09/05/2020</v>
          </cell>
          <cell r="I456">
            <v>6000</v>
          </cell>
          <cell r="J456">
            <v>610000</v>
          </cell>
          <cell r="K456">
            <v>1000</v>
          </cell>
          <cell r="L456">
            <v>6</v>
          </cell>
          <cell r="M456" t="str">
            <v>Gramos</v>
          </cell>
        </row>
        <row r="457">
          <cell r="A457" t="str">
            <v>10100261</v>
          </cell>
          <cell r="B457">
            <v>15848</v>
          </cell>
          <cell r="C457" t="str">
            <v>GARBANZO MFS (PAQ:KILO)</v>
          </cell>
          <cell r="D457" t="str">
            <v>10100261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15/06/2020</v>
          </cell>
          <cell r="I457">
            <v>1380</v>
          </cell>
          <cell r="J457">
            <v>75900</v>
          </cell>
          <cell r="K457">
            <v>1000</v>
          </cell>
          <cell r="L457">
            <v>1.38</v>
          </cell>
          <cell r="M457" t="str">
            <v>Gramos</v>
          </cell>
        </row>
        <row r="458">
          <cell r="A458" t="str">
            <v>10100262</v>
          </cell>
          <cell r="B458">
            <v>15849</v>
          </cell>
          <cell r="C458" t="str">
            <v>YOGURT NATURAL (UND:500 G)</v>
          </cell>
          <cell r="D458" t="str">
            <v>10100262</v>
          </cell>
          <cell r="E458" t="str">
            <v>MATERIAS PRIMAS PLANTA</v>
          </cell>
          <cell r="F458" t="str">
            <v>1 UND</v>
          </cell>
          <cell r="G458">
            <v>500</v>
          </cell>
          <cell r="H458" t="str">
            <v>15/06/2020</v>
          </cell>
          <cell r="I458">
            <v>992.65499999999997</v>
          </cell>
          <cell r="J458">
            <v>1303817.7250000001</v>
          </cell>
          <cell r="K458">
            <v>500</v>
          </cell>
          <cell r="L458">
            <v>1.9853099999999999</v>
          </cell>
          <cell r="M458" t="str">
            <v>Mililitros</v>
          </cell>
        </row>
        <row r="459">
          <cell r="A459" t="str">
            <v>10100263</v>
          </cell>
          <cell r="B459">
            <v>15850</v>
          </cell>
          <cell r="C459" t="str">
            <v>CHILE DULCE JULIANO (PAQ:KILO)</v>
          </cell>
          <cell r="D459" t="str">
            <v>10100263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17/01/2020</v>
          </cell>
          <cell r="I459">
            <v>2295</v>
          </cell>
          <cell r="J459">
            <v>34425</v>
          </cell>
          <cell r="K459">
            <v>1000</v>
          </cell>
          <cell r="L459">
            <v>2.2949999999999999</v>
          </cell>
          <cell r="M459" t="str">
            <v>Mililitros</v>
          </cell>
        </row>
        <row r="460">
          <cell r="A460" t="str">
            <v>10100264</v>
          </cell>
          <cell r="B460">
            <v>15854</v>
          </cell>
          <cell r="C460" t="str">
            <v>LIMON MESINO (GALON)</v>
          </cell>
          <cell r="D460" t="str">
            <v>10100264</v>
          </cell>
          <cell r="E460" t="str">
            <v>MATERIAS PRIMAS PLANTA</v>
          </cell>
          <cell r="F460" t="str">
            <v xml:space="preserve">1 GALON </v>
          </cell>
          <cell r="G460">
            <v>500</v>
          </cell>
          <cell r="H460" t="str">
            <v>21/04/2020</v>
          </cell>
          <cell r="I460">
            <v>4000</v>
          </cell>
          <cell r="J460">
            <v>132000</v>
          </cell>
          <cell r="K460">
            <v>3785</v>
          </cell>
          <cell r="L460">
            <v>1.0568031704095113</v>
          </cell>
          <cell r="M460" t="str">
            <v>Mililitros</v>
          </cell>
        </row>
        <row r="461">
          <cell r="A461" t="str">
            <v>10100270</v>
          </cell>
          <cell r="B461">
            <v>15919</v>
          </cell>
          <cell r="C461" t="str">
            <v>TABASCO BANQUETE (UND: 1/2 GALON)</v>
          </cell>
          <cell r="D461" t="str">
            <v>10100270</v>
          </cell>
          <cell r="E461" t="str">
            <v>MATERIAS PRIMAS PLANTA</v>
          </cell>
          <cell r="F461" t="str">
            <v>1 UND</v>
          </cell>
          <cell r="G461">
            <v>500</v>
          </cell>
          <cell r="H461" t="str">
            <v>18/05/2020</v>
          </cell>
          <cell r="I461">
            <v>3738</v>
          </cell>
          <cell r="J461">
            <v>26166</v>
          </cell>
          <cell r="K461">
            <v>3785</v>
          </cell>
          <cell r="L461" t="e">
            <v>#DIV/0!</v>
          </cell>
          <cell r="M461" t="str">
            <v>Mililitros</v>
          </cell>
        </row>
        <row r="462">
          <cell r="A462" t="str">
            <v>10100271</v>
          </cell>
          <cell r="B462">
            <v>15978</v>
          </cell>
          <cell r="C462" t="str">
            <v>FRIJOL TIERNO RP (PAQ:1 KG)</v>
          </cell>
          <cell r="D462" t="str">
            <v>10200023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05/06/2020</v>
          </cell>
          <cell r="I462">
            <v>1</v>
          </cell>
          <cell r="J462">
            <v>765653.66</v>
          </cell>
          <cell r="K462">
            <v>1000</v>
          </cell>
          <cell r="L462">
            <v>1E-3</v>
          </cell>
        </row>
        <row r="463">
          <cell r="A463" t="str">
            <v>10100272</v>
          </cell>
          <cell r="B463">
            <v>16084</v>
          </cell>
          <cell r="C463" t="str">
            <v>ADEREZO RANCH (UND)</v>
          </cell>
          <cell r="D463" t="str">
            <v>10100272</v>
          </cell>
          <cell r="E463" t="str">
            <v>MATERIAS PRIMAS PLANTA</v>
          </cell>
          <cell r="F463" t="str">
            <v>1 UND</v>
          </cell>
          <cell r="G463">
            <v>500</v>
          </cell>
          <cell r="H463" t="str">
            <v>24/03/2020</v>
          </cell>
          <cell r="I463">
            <v>5099</v>
          </cell>
          <cell r="J463">
            <v>30594</v>
          </cell>
          <cell r="K463">
            <v>1</v>
          </cell>
          <cell r="L463">
            <v>5099</v>
          </cell>
        </row>
        <row r="464">
          <cell r="A464" t="str">
            <v>10100273</v>
          </cell>
          <cell r="B464">
            <v>16085</v>
          </cell>
          <cell r="C464" t="str">
            <v>ADEREZO MOSTAZA MIEL (UND)</v>
          </cell>
          <cell r="D464" t="str">
            <v>10100273</v>
          </cell>
          <cell r="E464" t="str">
            <v>MATERIAS PRIMAS PLANTA</v>
          </cell>
          <cell r="F464" t="str">
            <v>1 UND</v>
          </cell>
          <cell r="G464">
            <v>500</v>
          </cell>
          <cell r="H464" t="str">
            <v>03/03/2020</v>
          </cell>
          <cell r="I464">
            <v>7669</v>
          </cell>
          <cell r="J464">
            <v>23007</v>
          </cell>
          <cell r="K464">
            <v>1</v>
          </cell>
          <cell r="L464">
            <v>7669</v>
          </cell>
        </row>
        <row r="465">
          <cell r="A465" t="str">
            <v>10100274</v>
          </cell>
          <cell r="B465">
            <v>16086</v>
          </cell>
          <cell r="C465" t="str">
            <v>ADEREZO MIL ISLAS (UND)</v>
          </cell>
          <cell r="D465" t="str">
            <v>10100274</v>
          </cell>
          <cell r="E465" t="str">
            <v>MATERIAS PRIMAS PLANTA</v>
          </cell>
          <cell r="F465" t="str">
            <v>1 UND</v>
          </cell>
          <cell r="G465">
            <v>500</v>
          </cell>
          <cell r="H465" t="str">
            <v>14/03/2020</v>
          </cell>
          <cell r="I465">
            <v>5099</v>
          </cell>
          <cell r="J465">
            <v>20396</v>
          </cell>
          <cell r="K465">
            <v>1</v>
          </cell>
          <cell r="L465">
            <v>5099</v>
          </cell>
        </row>
        <row r="466">
          <cell r="A466" t="str">
            <v>10100275</v>
          </cell>
          <cell r="B466">
            <v>16087</v>
          </cell>
          <cell r="C466" t="str">
            <v>ADEREZO ITALIANO CREMOSO (UND)</v>
          </cell>
          <cell r="D466" t="str">
            <v>10100275</v>
          </cell>
          <cell r="E466" t="str">
            <v>MATERIAS PRIMAS PLANTA</v>
          </cell>
          <cell r="F466" t="str">
            <v>1 UND</v>
          </cell>
          <cell r="G466">
            <v>500</v>
          </cell>
          <cell r="H466" t="str">
            <v>19/03/2020</v>
          </cell>
          <cell r="I466">
            <v>5949</v>
          </cell>
          <cell r="J466">
            <v>35583</v>
          </cell>
          <cell r="K466">
            <v>1</v>
          </cell>
          <cell r="L466">
            <v>5949</v>
          </cell>
        </row>
        <row r="467">
          <cell r="A467" t="str">
            <v>10100276</v>
          </cell>
          <cell r="B467">
            <v>16088</v>
          </cell>
          <cell r="C467" t="str">
            <v>ADEREZO CESAR (UND)</v>
          </cell>
          <cell r="D467" t="str">
            <v>10100276</v>
          </cell>
          <cell r="E467" t="str">
            <v>MATERIAS PRIMAS PLANTA</v>
          </cell>
          <cell r="F467" t="str">
            <v>1 UND</v>
          </cell>
          <cell r="G467">
            <v>500</v>
          </cell>
          <cell r="H467" t="str">
            <v>07/03/2020</v>
          </cell>
          <cell r="I467">
            <v>5099</v>
          </cell>
          <cell r="J467">
            <v>25495</v>
          </cell>
          <cell r="K467">
            <v>1</v>
          </cell>
          <cell r="L467">
            <v>5099</v>
          </cell>
        </row>
        <row r="468">
          <cell r="A468" t="str">
            <v>10100278</v>
          </cell>
          <cell r="B468">
            <v>16138</v>
          </cell>
          <cell r="C468" t="str">
            <v>ARROZ LUISINA 95% PRECOCIDO (BULTO:20 K)</v>
          </cell>
          <cell r="D468" t="str">
            <v>10100278</v>
          </cell>
          <cell r="E468" t="str">
            <v>MATERIAS PRIMAS PLANTA</v>
          </cell>
          <cell r="F468" t="str">
            <v>1 BULTO</v>
          </cell>
          <cell r="G468">
            <v>500</v>
          </cell>
          <cell r="H468" t="str">
            <v>20/02/2020</v>
          </cell>
          <cell r="I468">
            <v>16394</v>
          </cell>
          <cell r="J468">
            <v>98364</v>
          </cell>
          <cell r="K468">
            <v>20000</v>
          </cell>
          <cell r="L468">
            <v>0.81969999999999998</v>
          </cell>
          <cell r="M468" t="str">
            <v>Gramos</v>
          </cell>
        </row>
        <row r="469">
          <cell r="A469" t="str">
            <v>10100279</v>
          </cell>
          <cell r="B469">
            <v>16467</v>
          </cell>
          <cell r="C469" t="str">
            <v>ADEREZO MAYONESA DELGA-C  (PAQ:400 GR)</v>
          </cell>
          <cell r="D469" t="str">
            <v>10100279</v>
          </cell>
          <cell r="E469" t="str">
            <v>MATERIAS PRIMAS PLANTA</v>
          </cell>
          <cell r="F469" t="str">
            <v>1 PAQUETE</v>
          </cell>
          <cell r="G469">
            <v>500</v>
          </cell>
          <cell r="H469" t="str">
            <v>16/04/2020</v>
          </cell>
          <cell r="I469">
            <v>981</v>
          </cell>
          <cell r="J469">
            <v>9810</v>
          </cell>
          <cell r="K469">
            <v>400</v>
          </cell>
          <cell r="L469">
            <v>2.4525000000000001</v>
          </cell>
          <cell r="M469" t="str">
            <v>Mililitros</v>
          </cell>
        </row>
        <row r="470">
          <cell r="A470" t="str">
            <v>10100280</v>
          </cell>
          <cell r="B470">
            <v>16550</v>
          </cell>
          <cell r="C470" t="str">
            <v>SALSITA TOMATE CON CARNE (UND:106 G)</v>
          </cell>
          <cell r="D470" t="str">
            <v>10100280</v>
          </cell>
          <cell r="E470" t="str">
            <v>MATERIAS PRIMAS PLANTA</v>
          </cell>
          <cell r="F470" t="str">
            <v>1 UNIDAD</v>
          </cell>
          <cell r="G470">
            <v>500</v>
          </cell>
          <cell r="H470" t="str">
            <v>03/06/2020</v>
          </cell>
          <cell r="I470">
            <v>177</v>
          </cell>
          <cell r="J470">
            <v>28320</v>
          </cell>
          <cell r="K470">
            <v>106</v>
          </cell>
          <cell r="L470">
            <v>1.6698113207547169</v>
          </cell>
          <cell r="M470" t="str">
            <v>Gramos</v>
          </cell>
        </row>
        <row r="471">
          <cell r="A471" t="str">
            <v>10200001</v>
          </cell>
          <cell r="B471">
            <v>11477</v>
          </cell>
          <cell r="C471" t="str">
            <v>SIROPE DE KOLA (GALON)</v>
          </cell>
          <cell r="D471" t="str">
            <v>10200001</v>
          </cell>
          <cell r="E471" t="str">
            <v>MATERIAS PRIMAS PLANTA</v>
          </cell>
          <cell r="F471" t="str">
            <v>1 GALON</v>
          </cell>
          <cell r="G471">
            <v>500</v>
          </cell>
          <cell r="H471" t="str">
            <v>15/06/2020</v>
          </cell>
          <cell r="I471">
            <v>2637.9</v>
          </cell>
          <cell r="J471">
            <v>990902.7</v>
          </cell>
          <cell r="K471">
            <v>3785</v>
          </cell>
          <cell r="L471">
            <v>0.69693527080581241</v>
          </cell>
          <cell r="M471" t="str">
            <v>Mililitros</v>
          </cell>
        </row>
        <row r="472">
          <cell r="A472" t="str">
            <v>10200012</v>
          </cell>
          <cell r="B472">
            <v>5343</v>
          </cell>
          <cell r="C472" t="str">
            <v>TE CHAI ESPECIES (PAQ:800g)</v>
          </cell>
          <cell r="D472" t="str">
            <v>10200012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24/03/2020</v>
          </cell>
          <cell r="I472">
            <v>4823.91</v>
          </cell>
          <cell r="J472">
            <v>1503938.67</v>
          </cell>
          <cell r="K472">
            <v>800</v>
          </cell>
          <cell r="L472">
            <v>6.0298875000000001</v>
          </cell>
          <cell r="M472" t="str">
            <v>Gramos</v>
          </cell>
        </row>
        <row r="473">
          <cell r="A473" t="str">
            <v>10200018</v>
          </cell>
          <cell r="B473">
            <v>9991</v>
          </cell>
          <cell r="C473" t="str">
            <v>AGUA EMBOT SPOON (PAQ:20 UND)</v>
          </cell>
          <cell r="D473" t="str">
            <v>10200018</v>
          </cell>
          <cell r="E473" t="str">
            <v>MATERIAS PRIMAS PLANTA</v>
          </cell>
          <cell r="F473" t="str">
            <v>1 PAQUETE</v>
          </cell>
          <cell r="G473">
            <v>500</v>
          </cell>
          <cell r="H473" t="str">
            <v>30/04/2020</v>
          </cell>
          <cell r="I473">
            <v>4680</v>
          </cell>
          <cell r="J473">
            <v>32760</v>
          </cell>
          <cell r="K473">
            <v>3100</v>
          </cell>
          <cell r="L473" t="e">
            <v>#DIV/0!</v>
          </cell>
          <cell r="M473" t="str">
            <v>Gramos</v>
          </cell>
        </row>
        <row r="474">
          <cell r="A474" t="str">
            <v>10200022</v>
          </cell>
          <cell r="B474">
            <v>12578</v>
          </cell>
          <cell r="C474" t="str">
            <v>TE PALACIO ROYAL"ARANDANO" (PAQ:12 UND)</v>
          </cell>
          <cell r="D474" t="str">
            <v>10200022</v>
          </cell>
          <cell r="E474" t="str">
            <v>MATERIAS PRIMAS PLANTA</v>
          </cell>
          <cell r="F474" t="str">
            <v>1 PAQUETE</v>
          </cell>
          <cell r="G474">
            <v>500</v>
          </cell>
          <cell r="H474" t="str">
            <v>19/05/2020</v>
          </cell>
          <cell r="I474">
            <v>1</v>
          </cell>
          <cell r="J474">
            <v>589050</v>
          </cell>
          <cell r="K474">
            <v>500</v>
          </cell>
          <cell r="L474" t="e">
            <v>#DIV/0!</v>
          </cell>
          <cell r="M474" t="str">
            <v>Gramos</v>
          </cell>
        </row>
        <row r="475">
          <cell r="A475" t="str">
            <v>10200023</v>
          </cell>
          <cell r="B475">
            <v>12579</v>
          </cell>
          <cell r="C475" t="str">
            <v>TE ON THE BEACH "VERDE" (PAQ=12 UND)</v>
          </cell>
          <cell r="D475" t="str">
            <v>10200023</v>
          </cell>
          <cell r="E475" t="str">
            <v>MATERIAS PRIMAS PLANTA</v>
          </cell>
          <cell r="F475" t="str">
            <v>1 PAQ</v>
          </cell>
          <cell r="G475">
            <v>500</v>
          </cell>
          <cell r="H475" t="str">
            <v>24/03/2020</v>
          </cell>
          <cell r="I475">
            <v>2142</v>
          </cell>
          <cell r="J475">
            <v>32130</v>
          </cell>
          <cell r="K475">
            <v>1000</v>
          </cell>
          <cell r="L475" t="e">
            <v>#DIV/0!</v>
          </cell>
          <cell r="M475" t="str">
            <v>Gramos</v>
          </cell>
        </row>
        <row r="476">
          <cell r="A476" t="str">
            <v>10200024</v>
          </cell>
          <cell r="B476">
            <v>12580</v>
          </cell>
          <cell r="C476" t="str">
            <v>TE MENTA DEGESTIVA (PAQ:12 UND)</v>
          </cell>
          <cell r="D476" t="str">
            <v>10200024</v>
          </cell>
          <cell r="E476" t="str">
            <v>MATERIAS PRIMAS PLANTA</v>
          </cell>
          <cell r="F476" t="str">
            <v>1 PAQUETE</v>
          </cell>
          <cell r="G476">
            <v>500</v>
          </cell>
          <cell r="H476" t="str">
            <v>24/03/2020</v>
          </cell>
          <cell r="I476">
            <v>2142</v>
          </cell>
          <cell r="J476">
            <v>374850</v>
          </cell>
          <cell r="K476">
            <v>13600</v>
          </cell>
          <cell r="L476" t="e">
            <v>#DIV/0!</v>
          </cell>
          <cell r="M476" t="str">
            <v>Gramos</v>
          </cell>
        </row>
        <row r="477">
          <cell r="A477" t="str">
            <v>10200025</v>
          </cell>
          <cell r="B477">
            <v>12581</v>
          </cell>
          <cell r="C477" t="str">
            <v>TE SPICY CHAI (PAQ:12 UND)</v>
          </cell>
          <cell r="D477" t="str">
            <v>10200025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07/02/2020</v>
          </cell>
          <cell r="I477">
            <v>2142</v>
          </cell>
          <cell r="J477">
            <v>107100</v>
          </cell>
          <cell r="K477">
            <v>250</v>
          </cell>
          <cell r="L477" t="e">
            <v>#DIV/0!</v>
          </cell>
          <cell r="M477" t="str">
            <v>Gramos</v>
          </cell>
        </row>
        <row r="478">
          <cell r="A478" t="str">
            <v>10200026</v>
          </cell>
          <cell r="B478">
            <v>12582</v>
          </cell>
          <cell r="C478" t="str">
            <v>TE BED TIME "MANZANILLA" (PAQ:12 UND)</v>
          </cell>
          <cell r="D478" t="str">
            <v>10200026</v>
          </cell>
          <cell r="E478" t="str">
            <v>MATERIAS PRIMAS PLANTA</v>
          </cell>
          <cell r="F478" t="str">
            <v>1 PAQUETE</v>
          </cell>
          <cell r="G478">
            <v>500</v>
          </cell>
          <cell r="H478" t="str">
            <v>12/06/2020</v>
          </cell>
          <cell r="I478">
            <v>1</v>
          </cell>
          <cell r="J478">
            <v>569772</v>
          </cell>
          <cell r="K478">
            <v>1000</v>
          </cell>
          <cell r="L478" t="e">
            <v>#DIV/0!</v>
          </cell>
          <cell r="M478" t="str">
            <v>Gramos</v>
          </cell>
        </row>
        <row r="479">
          <cell r="A479" t="str">
            <v>10200027</v>
          </cell>
          <cell r="B479">
            <v>12583</v>
          </cell>
          <cell r="C479" t="str">
            <v>TE GINGER FRESH (PAQ:12 UND)</v>
          </cell>
          <cell r="D479" t="str">
            <v>10200027</v>
          </cell>
          <cell r="E479" t="str">
            <v>MATERIAS PRIMAS PLANTA</v>
          </cell>
          <cell r="F479" t="str">
            <v>1 PAQUETE</v>
          </cell>
          <cell r="G479">
            <v>500</v>
          </cell>
          <cell r="H479" t="str">
            <v>24/03/2020</v>
          </cell>
          <cell r="I479">
            <v>2142</v>
          </cell>
          <cell r="J479">
            <v>240210</v>
          </cell>
          <cell r="K479">
            <v>2000</v>
          </cell>
          <cell r="L479" t="e">
            <v>#DIV/0!</v>
          </cell>
          <cell r="M479" t="str">
            <v>Gramos</v>
          </cell>
        </row>
        <row r="480">
          <cell r="A480" t="str">
            <v>10200028</v>
          </cell>
          <cell r="B480">
            <v>12584</v>
          </cell>
          <cell r="C480" t="str">
            <v>TE MAGIC TEA "AZUL" (PAQ:12 UND)</v>
          </cell>
          <cell r="D480" t="str">
            <v>10200028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28/01/2020</v>
          </cell>
          <cell r="I480">
            <v>2640</v>
          </cell>
          <cell r="J480">
            <v>158400</v>
          </cell>
          <cell r="K480">
            <v>1000</v>
          </cell>
          <cell r="L480" t="e">
            <v>#DIV/0!</v>
          </cell>
          <cell r="M480" t="str">
            <v>Gramos</v>
          </cell>
        </row>
        <row r="481">
          <cell r="A481" t="str">
            <v>10200029</v>
          </cell>
          <cell r="B481">
            <v>12587</v>
          </cell>
          <cell r="C481" t="str">
            <v>LECHE SABORIZADA FRAPPE MIX (PAQ: 1 K)</v>
          </cell>
          <cell r="D481" t="str">
            <v>10200029</v>
          </cell>
          <cell r="E481" t="str">
            <v>MATERIAS PRIMAS PLANTA</v>
          </cell>
          <cell r="F481" t="str">
            <v>1 PAQUETE</v>
          </cell>
          <cell r="G481">
            <v>500</v>
          </cell>
          <cell r="H481" t="str">
            <v>24/03/2020</v>
          </cell>
          <cell r="I481">
            <v>5500</v>
          </cell>
          <cell r="J481">
            <v>2942500</v>
          </cell>
          <cell r="K481">
            <v>1000</v>
          </cell>
          <cell r="L481">
            <v>5.5</v>
          </cell>
          <cell r="M481" t="str">
            <v>Gramos</v>
          </cell>
        </row>
        <row r="482">
          <cell r="A482" t="str">
            <v>10200030</v>
          </cell>
          <cell r="B482">
            <v>12416</v>
          </cell>
          <cell r="C482" t="str">
            <v>BASE LECHE  MILK SHAKE (PAQ:1 K)</v>
          </cell>
          <cell r="D482" t="str">
            <v>10200030</v>
          </cell>
          <cell r="E482" t="str">
            <v>MATERIAS PRIMAS PLANTA</v>
          </cell>
          <cell r="F482" t="str">
            <v>1 PAQUETE</v>
          </cell>
          <cell r="G482">
            <v>500</v>
          </cell>
          <cell r="H482" t="str">
            <v>16/12/2019</v>
          </cell>
          <cell r="I482">
            <v>6500</v>
          </cell>
          <cell r="J482">
            <v>195000</v>
          </cell>
          <cell r="K482">
            <v>1000</v>
          </cell>
          <cell r="L482">
            <v>6.5</v>
          </cell>
          <cell r="M482" t="str">
            <v>Gramos</v>
          </cell>
        </row>
        <row r="483">
          <cell r="A483" t="str">
            <v>10200088</v>
          </cell>
          <cell r="B483">
            <v>5346</v>
          </cell>
          <cell r="C483" t="str">
            <v>RON ABUELO RESERVA (UND: LITRO)</v>
          </cell>
          <cell r="D483" t="str">
            <v>10200088</v>
          </cell>
          <cell r="E483" t="str">
            <v>MATERIAS PRIMAS PLANTA</v>
          </cell>
          <cell r="F483" t="str">
            <v>1 UND</v>
          </cell>
          <cell r="G483">
            <v>500</v>
          </cell>
          <cell r="H483" t="str">
            <v>20/05/2020</v>
          </cell>
          <cell r="I483">
            <v>7140</v>
          </cell>
          <cell r="J483">
            <v>656880</v>
          </cell>
          <cell r="K483">
            <v>1000</v>
          </cell>
          <cell r="L483">
            <v>7.14</v>
          </cell>
          <cell r="M483" t="str">
            <v>Mililitros</v>
          </cell>
        </row>
        <row r="484">
          <cell r="A484" t="str">
            <v>10200090</v>
          </cell>
          <cell r="B484">
            <v>14379</v>
          </cell>
          <cell r="C484" t="str">
            <v>CERVEZA AMBAR (UND: 350 ML)</v>
          </cell>
          <cell r="D484" t="str">
            <v>10200090</v>
          </cell>
          <cell r="E484" t="str">
            <v>MATERIAS PRIMAS PLANTA</v>
          </cell>
          <cell r="F484" t="str">
            <v>1 UND</v>
          </cell>
          <cell r="G484">
            <v>500</v>
          </cell>
          <cell r="H484" t="str">
            <v>02/12/2019</v>
          </cell>
          <cell r="I484">
            <v>1080</v>
          </cell>
          <cell r="J484">
            <v>207360</v>
          </cell>
          <cell r="K484">
            <v>350</v>
          </cell>
          <cell r="L484">
            <v>3.0857142857142859</v>
          </cell>
          <cell r="M484" t="str">
            <v>Gramos</v>
          </cell>
        </row>
        <row r="485">
          <cell r="A485" t="str">
            <v>10300001</v>
          </cell>
          <cell r="B485">
            <v>7048</v>
          </cell>
          <cell r="C485" t="str">
            <v>JARRETE PICADO KILO</v>
          </cell>
          <cell r="D485" t="str">
            <v>10300001</v>
          </cell>
          <cell r="E485" t="str">
            <v>MATERIAS PRIMAS PLANTA</v>
          </cell>
          <cell r="F485" t="str">
            <v>1 KILO</v>
          </cell>
          <cell r="G485">
            <v>500</v>
          </cell>
          <cell r="H485" t="str">
            <v>13/06/2020</v>
          </cell>
          <cell r="I485">
            <v>859</v>
          </cell>
          <cell r="J485">
            <v>441354.2</v>
          </cell>
          <cell r="K485">
            <v>1000</v>
          </cell>
          <cell r="L485">
            <v>0.85899999999999999</v>
          </cell>
          <cell r="M485" t="str">
            <v>Gramos</v>
          </cell>
        </row>
        <row r="486">
          <cell r="A486" t="str">
            <v>10300002</v>
          </cell>
          <cell r="B486">
            <v>11813</v>
          </cell>
          <cell r="C486" t="str">
            <v>JAMON PAVO PECHUGA (UND:3.1 K)</v>
          </cell>
          <cell r="D486" t="str">
            <v>10300002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13/06/2020</v>
          </cell>
          <cell r="I486">
            <v>8363.7999999999993</v>
          </cell>
          <cell r="J486">
            <v>5612132.9965679897</v>
          </cell>
          <cell r="K486">
            <v>3100</v>
          </cell>
          <cell r="L486">
            <v>2.698</v>
          </cell>
          <cell r="M486" t="str">
            <v>Gramos</v>
          </cell>
        </row>
        <row r="487">
          <cell r="A487" t="str">
            <v>10300003</v>
          </cell>
          <cell r="B487">
            <v>5368</v>
          </cell>
          <cell r="C487" t="str">
            <v>JAMON COCIDO EN TROZOS (PAQ:500g)</v>
          </cell>
          <cell r="D487" t="str">
            <v>10300003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19/05/2020</v>
          </cell>
          <cell r="I487">
            <v>1950</v>
          </cell>
          <cell r="J487">
            <v>1047150</v>
          </cell>
          <cell r="K487">
            <v>500</v>
          </cell>
          <cell r="L487">
            <v>3.9</v>
          </cell>
          <cell r="M487" t="str">
            <v>Gramos</v>
          </cell>
        </row>
        <row r="488">
          <cell r="A488" t="str">
            <v>10300004</v>
          </cell>
          <cell r="B488">
            <v>11803</v>
          </cell>
          <cell r="C488" t="str">
            <v>CARNE MOLIDA DE POLLO (KILO)</v>
          </cell>
          <cell r="D488" t="str">
            <v>10300004</v>
          </cell>
          <cell r="E488" t="str">
            <v>MATERIAS PRIMAS PLANTA</v>
          </cell>
          <cell r="F488" t="str">
            <v>1 KILO</v>
          </cell>
          <cell r="G488">
            <v>500</v>
          </cell>
          <cell r="H488" t="str">
            <v>24/12/2019</v>
          </cell>
          <cell r="I488">
            <v>2800</v>
          </cell>
          <cell r="J488">
            <v>504560</v>
          </cell>
          <cell r="K488">
            <v>1000</v>
          </cell>
          <cell r="L488">
            <v>2.8</v>
          </cell>
          <cell r="M488" t="str">
            <v>Gramos</v>
          </cell>
        </row>
        <row r="489">
          <cell r="A489" t="str">
            <v>10300006</v>
          </cell>
          <cell r="B489">
            <v>7044</v>
          </cell>
          <cell r="C489" t="str">
            <v>CARNE ANALOGA RES (CAJA:13.6 Kg)</v>
          </cell>
          <cell r="D489" t="str">
            <v>10300006</v>
          </cell>
          <cell r="E489" t="str">
            <v>MATERIAS PRIMAS PLANTA</v>
          </cell>
          <cell r="F489" t="str">
            <v>1 CAJA</v>
          </cell>
          <cell r="G489">
            <v>500</v>
          </cell>
          <cell r="H489" t="str">
            <v>24/03/2020</v>
          </cell>
          <cell r="I489">
            <v>105560.58</v>
          </cell>
          <cell r="J489">
            <v>12367468.800000001</v>
          </cell>
          <cell r="K489">
            <v>13600</v>
          </cell>
          <cell r="L489">
            <v>7.7618073529411769</v>
          </cell>
          <cell r="M489" t="str">
            <v>Gramos</v>
          </cell>
        </row>
        <row r="490">
          <cell r="A490" t="str">
            <v>10300007</v>
          </cell>
          <cell r="B490">
            <v>12057</v>
          </cell>
          <cell r="C490" t="str">
            <v>JAMON COCIDO (PAQ:250g)</v>
          </cell>
          <cell r="D490" t="str">
            <v>10300007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28/05/2020</v>
          </cell>
          <cell r="I490">
            <v>930</v>
          </cell>
          <cell r="J490">
            <v>1913044.8024500001</v>
          </cell>
          <cell r="K490">
            <v>250</v>
          </cell>
          <cell r="L490">
            <v>3.72</v>
          </cell>
          <cell r="M490" t="str">
            <v>Gramos</v>
          </cell>
        </row>
        <row r="491">
          <cell r="A491" t="str">
            <v>10300010</v>
          </cell>
          <cell r="B491">
            <v>11355</v>
          </cell>
          <cell r="C491" t="str">
            <v>BISTEC ESO. TP MILANESA (KILO)</v>
          </cell>
          <cell r="D491" t="str">
            <v>10300010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06/04/2020</v>
          </cell>
          <cell r="I491">
            <v>5595</v>
          </cell>
          <cell r="J491">
            <v>278906</v>
          </cell>
          <cell r="K491">
            <v>1000</v>
          </cell>
          <cell r="L491">
            <v>5.5949999999999998</v>
          </cell>
          <cell r="M491" t="str">
            <v>Gramos</v>
          </cell>
        </row>
        <row r="492">
          <cell r="A492" t="str">
            <v>10300019</v>
          </cell>
          <cell r="B492">
            <v>5367</v>
          </cell>
          <cell r="C492" t="str">
            <v>TOCINETA(PAQ:2 KILOS)</v>
          </cell>
          <cell r="D492" t="str">
            <v>10300019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>
            <v>9982</v>
          </cell>
          <cell r="J492">
            <v>4657651.1043894002</v>
          </cell>
          <cell r="K492">
            <v>2000</v>
          </cell>
          <cell r="L492">
            <v>4.9909999999999997</v>
          </cell>
          <cell r="M492" t="str">
            <v>Gramos</v>
          </cell>
        </row>
        <row r="493">
          <cell r="A493" t="str">
            <v>10300020</v>
          </cell>
          <cell r="B493">
            <v>11214</v>
          </cell>
          <cell r="C493" t="str">
            <v>CARNITAS PORK (KILO)</v>
          </cell>
          <cell r="D493" t="str">
            <v>10300020</v>
          </cell>
          <cell r="E493" t="str">
            <v>MATERIAS PRIMAS PLANTA</v>
          </cell>
          <cell r="F493" t="str">
            <v>1 KILO</v>
          </cell>
          <cell r="G493">
            <v>500</v>
          </cell>
          <cell r="H493" t="str">
            <v>03/12/2019</v>
          </cell>
          <cell r="I493">
            <v>6448.49</v>
          </cell>
          <cell r="J493">
            <v>-508012.04220000003</v>
          </cell>
          <cell r="K493">
            <v>1000</v>
          </cell>
          <cell r="L493">
            <v>6.4484899999999996</v>
          </cell>
          <cell r="M493" t="str">
            <v>Gramos</v>
          </cell>
        </row>
        <row r="494">
          <cell r="A494" t="str">
            <v>10300028</v>
          </cell>
          <cell r="B494">
            <v>12589</v>
          </cell>
          <cell r="C494" t="str">
            <v>CARNE PARA MECHAR TD KILO</v>
          </cell>
          <cell r="D494" t="str">
            <v>10300028</v>
          </cell>
          <cell r="E494" t="str">
            <v>MATERIAS PRIMAS PLANTA</v>
          </cell>
          <cell r="F494" t="str">
            <v xml:space="preserve">1 KILO </v>
          </cell>
          <cell r="G494">
            <v>500</v>
          </cell>
          <cell r="H494" t="str">
            <v>11/06/2020</v>
          </cell>
          <cell r="I494">
            <v>3500</v>
          </cell>
          <cell r="J494">
            <v>26260116.5</v>
          </cell>
          <cell r="K494">
            <v>1000</v>
          </cell>
          <cell r="L494">
            <v>3.5</v>
          </cell>
          <cell r="M494" t="str">
            <v>Gramos</v>
          </cell>
        </row>
        <row r="495">
          <cell r="A495" t="str">
            <v>10300029</v>
          </cell>
          <cell r="B495">
            <v>12766</v>
          </cell>
          <cell r="C495" t="str">
            <v>MARISCADA ECONOMICA (PAQ:1 KILO)</v>
          </cell>
          <cell r="D495" t="str">
            <v>10300029</v>
          </cell>
          <cell r="E495" t="str">
            <v>MATERIAS PRIMAS PLANTA</v>
          </cell>
          <cell r="F495" t="str">
            <v>1 PAQUETE</v>
          </cell>
          <cell r="G495">
            <v>500</v>
          </cell>
          <cell r="H495" t="str">
            <v>05/03/2020</v>
          </cell>
          <cell r="I495">
            <v>4000</v>
          </cell>
          <cell r="J495">
            <v>40000</v>
          </cell>
          <cell r="K495">
            <v>1000</v>
          </cell>
          <cell r="L495">
            <v>4</v>
          </cell>
          <cell r="M495" t="str">
            <v>Mililitros</v>
          </cell>
        </row>
        <row r="496">
          <cell r="A496" t="str">
            <v>10300030</v>
          </cell>
          <cell r="B496">
            <v>12921</v>
          </cell>
          <cell r="C496" t="str">
            <v>BISTEC BOLITA TENDER Y MARINADO KILO</v>
          </cell>
          <cell r="D496" t="str">
            <v>10300030</v>
          </cell>
          <cell r="E496" t="str">
            <v>MATERIAS PRIMAS PLANTA</v>
          </cell>
          <cell r="F496" t="str">
            <v xml:space="preserve">1 KILO  </v>
          </cell>
          <cell r="G496">
            <v>500</v>
          </cell>
          <cell r="H496" t="str">
            <v>01/04/2020</v>
          </cell>
          <cell r="I496">
            <v>1</v>
          </cell>
          <cell r="J496">
            <v>6215817.5</v>
          </cell>
          <cell r="K496">
            <v>1000</v>
          </cell>
          <cell r="L496">
            <v>1E-3</v>
          </cell>
          <cell r="M496" t="str">
            <v>Gramos</v>
          </cell>
        </row>
        <row r="497">
          <cell r="A497" t="str">
            <v>10300032</v>
          </cell>
          <cell r="B497">
            <v>14046</v>
          </cell>
          <cell r="C497" t="str">
            <v>MUSLITO DE MUSLO KILO</v>
          </cell>
          <cell r="D497" t="str">
            <v>10300032</v>
          </cell>
          <cell r="E497" t="str">
            <v>MATERIAS PRIMAS PLANTA</v>
          </cell>
          <cell r="F497" t="str">
            <v>1 KILO</v>
          </cell>
          <cell r="G497">
            <v>500</v>
          </cell>
          <cell r="H497" t="str">
            <v>20/05/2020</v>
          </cell>
          <cell r="I497">
            <v>2310</v>
          </cell>
          <cell r="J497">
            <v>523007.1</v>
          </cell>
          <cell r="K497">
            <v>1000</v>
          </cell>
          <cell r="L497">
            <v>2.31</v>
          </cell>
          <cell r="M497" t="str">
            <v>Gramos</v>
          </cell>
        </row>
        <row r="498">
          <cell r="A498" t="str">
            <v>10300033</v>
          </cell>
          <cell r="B498">
            <v>14565</v>
          </cell>
          <cell r="C498" t="str">
            <v>JAMON SERRANO (PAQ:250 G)</v>
          </cell>
          <cell r="D498" t="str">
            <v>10300033</v>
          </cell>
          <cell r="E498" t="str">
            <v>MATERIAS PRIMAS PLANTA</v>
          </cell>
          <cell r="F498" t="str">
            <v>1 PAQUETE</v>
          </cell>
          <cell r="G498">
            <v>500</v>
          </cell>
          <cell r="H498" t="str">
            <v>10/06/2020</v>
          </cell>
          <cell r="I498">
            <v>3774.8249999999998</v>
          </cell>
          <cell r="J498">
            <v>120794.4</v>
          </cell>
          <cell r="K498">
            <v>250</v>
          </cell>
          <cell r="L498">
            <v>15.099299999999999</v>
          </cell>
          <cell r="M498" t="str">
            <v>Mililitros</v>
          </cell>
        </row>
        <row r="499">
          <cell r="A499" t="str">
            <v>10300034</v>
          </cell>
          <cell r="B499">
            <v>14724</v>
          </cell>
          <cell r="C499" t="str">
            <v>CESINA TROZOS ( KILO)</v>
          </cell>
          <cell r="D499" t="str">
            <v>10300034</v>
          </cell>
          <cell r="E499" t="str">
            <v>MATERIAS PRIMAS PLANTA</v>
          </cell>
          <cell r="F499" t="str">
            <v xml:space="preserve">1 KILO </v>
          </cell>
          <cell r="G499">
            <v>500</v>
          </cell>
          <cell r="H499" t="str">
            <v>02/01/2020</v>
          </cell>
          <cell r="I499">
            <v>5395</v>
          </cell>
          <cell r="J499">
            <v>2211732.5</v>
          </cell>
          <cell r="K499">
            <v>1000</v>
          </cell>
          <cell r="L499">
            <v>5.3949999999999996</v>
          </cell>
          <cell r="M499" t="str">
            <v>Gramos</v>
          </cell>
        </row>
        <row r="500">
          <cell r="A500" t="str">
            <v>10300035</v>
          </cell>
          <cell r="B500">
            <v>14896</v>
          </cell>
          <cell r="C500" t="str">
            <v>JAMON COCIDO DELIKA GI (PAQ:250 G)</v>
          </cell>
          <cell r="D500" t="str">
            <v>10300035</v>
          </cell>
          <cell r="E500" t="str">
            <v>MATERIAS PRIMAS PLANTA</v>
          </cell>
          <cell r="F500" t="str">
            <v>1 PAQUETE</v>
          </cell>
          <cell r="G500">
            <v>500</v>
          </cell>
          <cell r="H500" t="str">
            <v>12/06/2020</v>
          </cell>
          <cell r="I500">
            <v>912.6</v>
          </cell>
          <cell r="J500">
            <v>7145980.2000000002</v>
          </cell>
          <cell r="K500">
            <v>250</v>
          </cell>
          <cell r="L500">
            <v>3.6504000000000003</v>
          </cell>
          <cell r="M500" t="str">
            <v>Mililitros</v>
          </cell>
        </row>
        <row r="501">
          <cell r="A501" t="str">
            <v>10300036</v>
          </cell>
          <cell r="B501">
            <v>15411</v>
          </cell>
          <cell r="C501" t="str">
            <v>ATUN LIGHT LOMO TROZOS AGUA(UND:170 G)</v>
          </cell>
          <cell r="D501" t="str">
            <v>10300036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04/02/2020</v>
          </cell>
          <cell r="I501">
            <v>708.84990000000005</v>
          </cell>
          <cell r="J501">
            <v>1769289.3504000001</v>
          </cell>
          <cell r="K501">
            <v>170</v>
          </cell>
          <cell r="L501">
            <v>4.1697052941176471</v>
          </cell>
          <cell r="M501" t="str">
            <v>Mililitros</v>
          </cell>
        </row>
        <row r="502">
          <cell r="A502" t="str">
            <v>10300038</v>
          </cell>
          <cell r="B502">
            <v>15543</v>
          </cell>
          <cell r="C502" t="str">
            <v>ROAF BEEF REBANADO (PAQ:1 K)</v>
          </cell>
          <cell r="D502" t="str">
            <v>10300038</v>
          </cell>
          <cell r="E502" t="str">
            <v>MATERIAS PRIMAS PLANTA</v>
          </cell>
          <cell r="F502" t="str">
            <v>1 PAQUETE</v>
          </cell>
          <cell r="G502">
            <v>500</v>
          </cell>
          <cell r="H502" t="str">
            <v>13/06/2020</v>
          </cell>
          <cell r="I502">
            <v>1</v>
          </cell>
          <cell r="J502">
            <v>5227767.1780000003</v>
          </cell>
          <cell r="K502">
            <v>1000</v>
          </cell>
          <cell r="L502">
            <v>1E-3</v>
          </cell>
          <cell r="M502" t="str">
            <v>Gramos</v>
          </cell>
        </row>
        <row r="503">
          <cell r="A503" t="str">
            <v>10300039</v>
          </cell>
          <cell r="B503">
            <v>15606</v>
          </cell>
          <cell r="C503" t="str">
            <v>FILET TRUCHA PORCIONES (KILO)</v>
          </cell>
          <cell r="D503" t="str">
            <v>10300039</v>
          </cell>
          <cell r="E503" t="str">
            <v>MATERIAS PRIMAS PLANTA</v>
          </cell>
          <cell r="F503" t="str">
            <v xml:space="preserve">1 KILO  </v>
          </cell>
          <cell r="G503">
            <v>500</v>
          </cell>
          <cell r="H503" t="str">
            <v>15/06/2020</v>
          </cell>
          <cell r="I503">
            <v>1</v>
          </cell>
          <cell r="J503">
            <v>7926295</v>
          </cell>
          <cell r="K503">
            <v>1000</v>
          </cell>
          <cell r="L503">
            <v>1E-3</v>
          </cell>
          <cell r="M503" t="str">
            <v>Gramos</v>
          </cell>
        </row>
        <row r="504">
          <cell r="A504" t="str">
            <v>10300040</v>
          </cell>
          <cell r="B504">
            <v>15607</v>
          </cell>
          <cell r="C504" t="str">
            <v>MORTADELITA CUADRADA MIXTA (PAQ:400 G)</v>
          </cell>
          <cell r="D504" t="str">
            <v>10300040</v>
          </cell>
          <cell r="E504" t="str">
            <v>MATERIAS PRIMAS PLANTA</v>
          </cell>
          <cell r="F504" t="str">
            <v>1 PAQUETE</v>
          </cell>
          <cell r="G504">
            <v>500</v>
          </cell>
          <cell r="H504" t="str">
            <v>19/12/2019</v>
          </cell>
          <cell r="I504">
            <v>1042</v>
          </cell>
          <cell r="J504">
            <v>585604</v>
          </cell>
          <cell r="K504">
            <v>400</v>
          </cell>
          <cell r="L504">
            <v>2.605</v>
          </cell>
          <cell r="M504" t="str">
            <v>Mililitros</v>
          </cell>
        </row>
        <row r="505">
          <cell r="A505" t="str">
            <v>10300041</v>
          </cell>
          <cell r="B505">
            <v>15807</v>
          </cell>
          <cell r="C505" t="str">
            <v>JAMON DE PAVO LIGHT (PAQ:250 G)</v>
          </cell>
          <cell r="D505" t="str">
            <v>10300041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18/01/2020</v>
          </cell>
          <cell r="I505">
            <v>708</v>
          </cell>
          <cell r="J505">
            <v>26710.2</v>
          </cell>
          <cell r="K505">
            <v>250</v>
          </cell>
          <cell r="L505">
            <v>2.8319999999999999</v>
          </cell>
          <cell r="M505" t="str">
            <v>Gramos</v>
          </cell>
        </row>
        <row r="506">
          <cell r="A506" t="str">
            <v>10300042</v>
          </cell>
          <cell r="B506">
            <v>15884</v>
          </cell>
          <cell r="C506" t="str">
            <v>MUSLO DE POLLO ENTERO (KILO)</v>
          </cell>
          <cell r="D506" t="str">
            <v>10300042</v>
          </cell>
          <cell r="E506" t="str">
            <v>MATERIAS PRIMAS PLANTA</v>
          </cell>
          <cell r="F506" t="str">
            <v>1 KILO</v>
          </cell>
          <cell r="G506">
            <v>500</v>
          </cell>
          <cell r="H506" t="str">
            <v>04/06/2020</v>
          </cell>
          <cell r="I506">
            <v>1450</v>
          </cell>
          <cell r="J506">
            <v>404405</v>
          </cell>
          <cell r="K506">
            <v>1000</v>
          </cell>
          <cell r="L506">
            <v>1.45</v>
          </cell>
          <cell r="M506" t="str">
            <v>Gramos</v>
          </cell>
        </row>
        <row r="507">
          <cell r="A507" t="str">
            <v>10300043</v>
          </cell>
          <cell r="B507">
            <v>15911</v>
          </cell>
          <cell r="C507" t="str">
            <v>CHORIZO COCIDO DE CERDO (PAQ: 600 G)</v>
          </cell>
          <cell r="D507" t="str">
            <v>10300043</v>
          </cell>
          <cell r="E507" t="str">
            <v>MATERIAS PRIMAS PLANTA</v>
          </cell>
          <cell r="F507" t="str">
            <v>1 PAQUETE</v>
          </cell>
          <cell r="G507">
            <v>500</v>
          </cell>
          <cell r="H507" t="str">
            <v>13/06/2020</v>
          </cell>
          <cell r="I507">
            <v>2080</v>
          </cell>
          <cell r="J507">
            <v>1064960</v>
          </cell>
          <cell r="K507">
            <v>600</v>
          </cell>
          <cell r="L507">
            <v>3.4666666666666668</v>
          </cell>
          <cell r="M507" t="str">
            <v>Gramos</v>
          </cell>
        </row>
        <row r="508">
          <cell r="A508" t="str">
            <v>10400001</v>
          </cell>
          <cell r="B508">
            <v>10292</v>
          </cell>
          <cell r="C508" t="str">
            <v>COLORANTE GEL ELECTRIC GREEN (UD=130ml)</v>
          </cell>
          <cell r="D508" t="str">
            <v>10400001</v>
          </cell>
          <cell r="E508" t="str">
            <v>MATERIAS PRIMAS PLANTA</v>
          </cell>
          <cell r="F508" t="str">
            <v>1 UND</v>
          </cell>
          <cell r="G508">
            <v>500</v>
          </cell>
          <cell r="H508" t="str">
            <v>13/05/2020</v>
          </cell>
          <cell r="I508">
            <v>2400</v>
          </cell>
          <cell r="J508">
            <v>64800</v>
          </cell>
          <cell r="K508">
            <v>130</v>
          </cell>
          <cell r="L508">
            <v>18.46153846153846</v>
          </cell>
          <cell r="M508" t="str">
            <v>Mililitros</v>
          </cell>
        </row>
        <row r="509">
          <cell r="A509" t="str">
            <v>10400002</v>
          </cell>
          <cell r="B509">
            <v>10069</v>
          </cell>
          <cell r="C509" t="str">
            <v>COLORANTE GEL ELECTRIC PURPLE (UND=4.5)</v>
          </cell>
          <cell r="D509" t="str">
            <v>10400002</v>
          </cell>
          <cell r="E509" t="str">
            <v>MATERIAS PRIMAS PLANTA</v>
          </cell>
          <cell r="F509" t="str">
            <v>1 UND</v>
          </cell>
          <cell r="G509">
            <v>500</v>
          </cell>
          <cell r="H509" t="str">
            <v>13/05/2020</v>
          </cell>
          <cell r="I509">
            <v>2400</v>
          </cell>
          <cell r="J509">
            <v>98400</v>
          </cell>
          <cell r="K509">
            <v>130</v>
          </cell>
          <cell r="L509">
            <v>18.46153846153846</v>
          </cell>
          <cell r="M509" t="str">
            <v>Mililitros</v>
          </cell>
        </row>
        <row r="510">
          <cell r="A510" t="str">
            <v>10400003</v>
          </cell>
          <cell r="B510">
            <v>9704</v>
          </cell>
          <cell r="C510" t="str">
            <v>COLORANTE GEL ELECTRIC BLUE (UND=130ml)</v>
          </cell>
          <cell r="D510" t="str">
            <v>10400003</v>
          </cell>
          <cell r="E510" t="str">
            <v>MATERIAS PRIMAS PLANTA</v>
          </cell>
          <cell r="F510" t="str">
            <v>1 UND</v>
          </cell>
          <cell r="G510">
            <v>500</v>
          </cell>
          <cell r="H510" t="str">
            <v>03/06/2020</v>
          </cell>
          <cell r="I510">
            <v>2400</v>
          </cell>
          <cell r="J510">
            <v>201600</v>
          </cell>
          <cell r="K510">
            <v>130</v>
          </cell>
          <cell r="L510">
            <v>18.46153846153846</v>
          </cell>
          <cell r="M510" t="str">
            <v>Mililitros</v>
          </cell>
        </row>
        <row r="511">
          <cell r="A511" t="str">
            <v>10400004</v>
          </cell>
          <cell r="B511">
            <v>9605</v>
          </cell>
          <cell r="C511" t="str">
            <v>COLORANTE GEL MINT GREEN (UND)</v>
          </cell>
          <cell r="D511" t="str">
            <v>10400004</v>
          </cell>
          <cell r="E511" t="str">
            <v>MATERIAS PRIMAS PLANTA</v>
          </cell>
          <cell r="F511" t="str">
            <v>1 UND</v>
          </cell>
          <cell r="G511">
            <v>500</v>
          </cell>
          <cell r="H511" t="str">
            <v>03/06/2020</v>
          </cell>
          <cell r="I511">
            <v>2400</v>
          </cell>
          <cell r="J511">
            <v>31200</v>
          </cell>
          <cell r="K511">
            <v>130</v>
          </cell>
          <cell r="L511">
            <v>18.46153846153846</v>
          </cell>
          <cell r="M511" t="str">
            <v>Mililitros</v>
          </cell>
        </row>
        <row r="512">
          <cell r="A512" t="str">
            <v>10400005</v>
          </cell>
          <cell r="B512">
            <v>10068</v>
          </cell>
          <cell r="C512" t="str">
            <v>COLORANTE GEL ELECTRIC PINK (UND=4.5 OZ)</v>
          </cell>
          <cell r="D512" t="str">
            <v>10400005</v>
          </cell>
          <cell r="E512" t="str">
            <v>MATERIAS PRIMAS PLANTA</v>
          </cell>
          <cell r="F512" t="str">
            <v>1 UND</v>
          </cell>
          <cell r="G512">
            <v>500</v>
          </cell>
          <cell r="H512" t="str">
            <v>24/03/2020</v>
          </cell>
          <cell r="I512">
            <v>2400</v>
          </cell>
          <cell r="J512">
            <v>76800</v>
          </cell>
          <cell r="K512">
            <v>130</v>
          </cell>
          <cell r="L512">
            <v>18.46153846153846</v>
          </cell>
          <cell r="M512" t="str">
            <v>Mililitros</v>
          </cell>
        </row>
        <row r="513">
          <cell r="A513" t="str">
            <v>10400006</v>
          </cell>
          <cell r="B513">
            <v>9706</v>
          </cell>
          <cell r="C513" t="str">
            <v>COLORANTE GEL LEMON YELLOW UND 130 ML</v>
          </cell>
          <cell r="D513" t="str">
            <v>10400006</v>
          </cell>
          <cell r="E513" t="str">
            <v>MATERIAS PRIMAS PLANTA</v>
          </cell>
          <cell r="F513" t="str">
            <v>1 UND</v>
          </cell>
          <cell r="G513">
            <v>500</v>
          </cell>
          <cell r="H513" t="str">
            <v>03/06/2020</v>
          </cell>
          <cell r="I513">
            <v>2400</v>
          </cell>
          <cell r="J513">
            <v>93600</v>
          </cell>
          <cell r="K513">
            <v>130</v>
          </cell>
          <cell r="L513">
            <v>18.46153846153846</v>
          </cell>
          <cell r="M513" t="str">
            <v>Mililitros</v>
          </cell>
        </row>
        <row r="514">
          <cell r="A514" t="str">
            <v>10400007</v>
          </cell>
          <cell r="B514">
            <v>9705</v>
          </cell>
          <cell r="C514" t="str">
            <v>COLORANTE GEL ELECTRIC ORANGE (UND=130m)</v>
          </cell>
          <cell r="D514" t="str">
            <v>10400007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25/05/2020</v>
          </cell>
          <cell r="I514">
            <v>2400</v>
          </cell>
          <cell r="J514">
            <v>24000</v>
          </cell>
          <cell r="K514">
            <v>130</v>
          </cell>
          <cell r="L514">
            <v>18.46153846153846</v>
          </cell>
          <cell r="M514" t="str">
            <v>Mililitros</v>
          </cell>
        </row>
        <row r="515">
          <cell r="A515" t="str">
            <v>10400008</v>
          </cell>
          <cell r="B515">
            <v>9602</v>
          </cell>
          <cell r="C515" t="str">
            <v>COLORANTE GEL EGG YELLOW  (UND= 130 ML)</v>
          </cell>
          <cell r="D515" t="str">
            <v>10400008</v>
          </cell>
          <cell r="E515" t="str">
            <v>MATERIAS PRIMAS PLANTA</v>
          </cell>
          <cell r="F515" t="str">
            <v>1 UND</v>
          </cell>
          <cell r="G515">
            <v>500</v>
          </cell>
          <cell r="H515" t="str">
            <v>03/06/2020</v>
          </cell>
          <cell r="I515">
            <v>2400</v>
          </cell>
          <cell r="J515">
            <v>93600</v>
          </cell>
          <cell r="K515">
            <v>130</v>
          </cell>
          <cell r="L515">
            <v>18.46153846153846</v>
          </cell>
          <cell r="M515" t="str">
            <v>Mililitros</v>
          </cell>
        </row>
        <row r="516">
          <cell r="A516" t="str">
            <v>10400009</v>
          </cell>
          <cell r="B516">
            <v>10301</v>
          </cell>
          <cell r="C516" t="str">
            <v>COLORANTE GEL SUPER RED</v>
          </cell>
          <cell r="D516" t="str">
            <v>10400009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13/05/2020</v>
          </cell>
          <cell r="I516">
            <v>2400</v>
          </cell>
          <cell r="J516">
            <v>40800</v>
          </cell>
          <cell r="K516">
            <v>130</v>
          </cell>
          <cell r="L516">
            <v>18.46153846153846</v>
          </cell>
          <cell r="M516" t="str">
            <v>Mililitros</v>
          </cell>
        </row>
        <row r="517">
          <cell r="A517" t="str">
            <v>10400011</v>
          </cell>
          <cell r="B517">
            <v>16479</v>
          </cell>
          <cell r="C517" t="str">
            <v>COLORANTE ARTIFICIAL ROSADO F225 (LITRO)</v>
          </cell>
          <cell r="D517" t="str">
            <v>10400011</v>
          </cell>
          <cell r="E517" t="str">
            <v>MATERIAS PRIMAS PLANTA</v>
          </cell>
          <cell r="F517" t="str">
            <v>1 LITRO</v>
          </cell>
          <cell r="G517">
            <v>500</v>
          </cell>
          <cell r="H517" t="str">
            <v>28/05/2020</v>
          </cell>
          <cell r="I517">
            <v>5511.07</v>
          </cell>
          <cell r="J517">
            <v>38501.17</v>
          </cell>
          <cell r="K517">
            <v>1000</v>
          </cell>
          <cell r="L517">
            <v>5.5110700000000001</v>
          </cell>
          <cell r="M517" t="str">
            <v>Mililitros</v>
          </cell>
        </row>
        <row r="518">
          <cell r="A518" t="str">
            <v>10500001</v>
          </cell>
          <cell r="B518">
            <v>11212</v>
          </cell>
          <cell r="C518" t="str">
            <v>CLAVO DE OLOR MOLIDO KG</v>
          </cell>
          <cell r="D518" t="str">
            <v>10500001</v>
          </cell>
          <cell r="E518" t="str">
            <v>MATERIAS PRIMAS PLANTA</v>
          </cell>
          <cell r="F518" t="str">
            <v>1 KILO</v>
          </cell>
          <cell r="G518">
            <v>500</v>
          </cell>
          <cell r="H518" t="str">
            <v>05/03/2020</v>
          </cell>
          <cell r="I518">
            <v>23152.504000000001</v>
          </cell>
          <cell r="J518">
            <v>92610.016000000003</v>
          </cell>
          <cell r="K518">
            <v>1000</v>
          </cell>
          <cell r="L518">
            <v>23.152504</v>
          </cell>
          <cell r="M518" t="str">
            <v>Gramos</v>
          </cell>
        </row>
        <row r="519">
          <cell r="A519" t="str">
            <v>10500016</v>
          </cell>
          <cell r="B519">
            <v>5398</v>
          </cell>
          <cell r="C519" t="str">
            <v>HOJA DE LAUREL (UND:43g)</v>
          </cell>
          <cell r="D519" t="str">
            <v>10500016</v>
          </cell>
          <cell r="E519" t="str">
            <v>MATERIAS PRIMAS PLANTA</v>
          </cell>
          <cell r="F519" t="str">
            <v>1 UND</v>
          </cell>
          <cell r="G519">
            <v>500</v>
          </cell>
          <cell r="H519" t="str">
            <v>25/05/2020</v>
          </cell>
          <cell r="I519">
            <v>2394</v>
          </cell>
          <cell r="J519">
            <v>107974</v>
          </cell>
          <cell r="K519">
            <v>43</v>
          </cell>
          <cell r="L519">
            <v>55.674418604651166</v>
          </cell>
          <cell r="M519" t="str">
            <v>Gramos</v>
          </cell>
        </row>
        <row r="520">
          <cell r="A520" t="str">
            <v>10700008</v>
          </cell>
          <cell r="B520">
            <v>8136</v>
          </cell>
          <cell r="C520" t="str">
            <v>CONFITE PALITO CHOCOLATE (PAQ:680 G)</v>
          </cell>
          <cell r="D520" t="str">
            <v>10700008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12/06/2020</v>
          </cell>
          <cell r="I520">
            <v>1810</v>
          </cell>
          <cell r="J520">
            <v>2296890</v>
          </cell>
          <cell r="K520">
            <v>680</v>
          </cell>
          <cell r="L520">
            <v>2.6617647058823528</v>
          </cell>
          <cell r="M520" t="str">
            <v>Gramos</v>
          </cell>
        </row>
        <row r="521">
          <cell r="A521" t="str">
            <v>10700013</v>
          </cell>
          <cell r="B521">
            <v>9472</v>
          </cell>
          <cell r="C521" t="str">
            <v>STICK DORADO (CAJA:100 UND)</v>
          </cell>
          <cell r="D521" t="str">
            <v>10700013</v>
          </cell>
          <cell r="E521" t="str">
            <v>MATERIAS PRIMAS PLANTA</v>
          </cell>
          <cell r="F521" t="str">
            <v>1 CAJA</v>
          </cell>
          <cell r="G521">
            <v>500</v>
          </cell>
          <cell r="H521" t="str">
            <v>25/05/2020</v>
          </cell>
          <cell r="I521">
            <v>5838</v>
          </cell>
          <cell r="J521">
            <v>344442</v>
          </cell>
          <cell r="K521">
            <v>100</v>
          </cell>
          <cell r="L521">
            <v>58.38</v>
          </cell>
          <cell r="M521" t="str">
            <v>Und</v>
          </cell>
        </row>
        <row r="522">
          <cell r="A522" t="str">
            <v>10700015</v>
          </cell>
          <cell r="B522">
            <v>9600</v>
          </cell>
          <cell r="C522" t="str">
            <v>CHOCOLATE ESTRELLA DORADA (CAJA:215 UN)</v>
          </cell>
          <cell r="D522" t="str">
            <v>10700015</v>
          </cell>
          <cell r="E522" t="str">
            <v>MATERIAS PRIMAS PLANTA</v>
          </cell>
          <cell r="F522" t="str">
            <v>1 CAJA</v>
          </cell>
          <cell r="G522">
            <v>500</v>
          </cell>
          <cell r="H522" t="str">
            <v>01/06/2020</v>
          </cell>
          <cell r="I522">
            <v>15265</v>
          </cell>
          <cell r="J522">
            <v>580070</v>
          </cell>
          <cell r="K522">
            <v>215</v>
          </cell>
          <cell r="L522">
            <v>71</v>
          </cell>
          <cell r="M522" t="str">
            <v>Und</v>
          </cell>
        </row>
        <row r="523">
          <cell r="A523" t="str">
            <v>10700023</v>
          </cell>
          <cell r="B523">
            <v>14214</v>
          </cell>
          <cell r="C523" t="str">
            <v>CHOCOLATE CORAZON GRANDE ORO(CJ:215 UND)</v>
          </cell>
          <cell r="D523" t="str">
            <v>10700023</v>
          </cell>
          <cell r="E523" t="str">
            <v>MATERIAS PRIMAS PLANTA</v>
          </cell>
          <cell r="F523" t="str">
            <v>1 CAJA</v>
          </cell>
          <cell r="G523">
            <v>500</v>
          </cell>
          <cell r="H523" t="str">
            <v>03/12/2019</v>
          </cell>
          <cell r="I523">
            <v>13772.9</v>
          </cell>
          <cell r="J523">
            <v>-206593.5</v>
          </cell>
          <cell r="K523">
            <v>215</v>
          </cell>
          <cell r="L523">
            <v>64.06</v>
          </cell>
          <cell r="M523" t="str">
            <v>Und</v>
          </cell>
        </row>
        <row r="524">
          <cell r="A524" t="str">
            <v>10700026</v>
          </cell>
          <cell r="B524">
            <v>12988</v>
          </cell>
          <cell r="C524" t="str">
            <v>PLACA DE FONDANT (PAQ:10 UND)</v>
          </cell>
          <cell r="D524" t="str">
            <v>10700026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15/06/2020</v>
          </cell>
          <cell r="I524">
            <v>0</v>
          </cell>
          <cell r="J524">
            <v>471100</v>
          </cell>
          <cell r="K524">
            <v>2000</v>
          </cell>
          <cell r="L524" t="e">
            <v>#DIV/0!</v>
          </cell>
          <cell r="M524" t="str">
            <v>Gramos</v>
          </cell>
        </row>
        <row r="525">
          <cell r="A525" t="str">
            <v>10700029</v>
          </cell>
          <cell r="B525">
            <v>14303</v>
          </cell>
          <cell r="C525" t="str">
            <v>CHOCOLATE CORAZON ROJO PASION (CAJA:200)</v>
          </cell>
          <cell r="D525" t="str">
            <v>10700029</v>
          </cell>
          <cell r="E525" t="str">
            <v>MATERIAS PRIMAS PLANTA</v>
          </cell>
          <cell r="F525" t="str">
            <v>1 CAJA</v>
          </cell>
          <cell r="G525">
            <v>500</v>
          </cell>
          <cell r="H525" t="str">
            <v>11/02/2020</v>
          </cell>
          <cell r="I525">
            <v>7650</v>
          </cell>
          <cell r="J525">
            <v>2436.95999999998</v>
          </cell>
          <cell r="K525">
            <v>200</v>
          </cell>
          <cell r="L525">
            <v>38.25</v>
          </cell>
          <cell r="M525" t="str">
            <v>Und</v>
          </cell>
        </row>
        <row r="526">
          <cell r="A526" t="str">
            <v>10700032</v>
          </cell>
          <cell r="B526">
            <v>15413</v>
          </cell>
          <cell r="C526" t="str">
            <v>MERENGUE  POLVO MERCK BAKE (PAQ:2.27 K)</v>
          </cell>
          <cell r="D526" t="str">
            <v>10700032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01/02/2020</v>
          </cell>
          <cell r="I526">
            <v>18350</v>
          </cell>
          <cell r="J526">
            <v>128450</v>
          </cell>
          <cell r="K526">
            <v>2270</v>
          </cell>
          <cell r="L526">
            <v>8.0837004405286343</v>
          </cell>
          <cell r="M526" t="str">
            <v>Gramos</v>
          </cell>
        </row>
        <row r="527">
          <cell r="A527" t="str">
            <v>10700033</v>
          </cell>
          <cell r="B527">
            <v>15654</v>
          </cell>
          <cell r="C527" t="str">
            <v>CHOCOLATE KIT KAT (CAJA:24 X41.5 G)</v>
          </cell>
          <cell r="D527" t="str">
            <v>10700033</v>
          </cell>
          <cell r="E527" t="str">
            <v>MATERIAS PRIMAS PLANTA</v>
          </cell>
          <cell r="F527" t="str">
            <v>1 CAJA</v>
          </cell>
          <cell r="G527">
            <v>500</v>
          </cell>
          <cell r="H527" t="str">
            <v>04/04/2020</v>
          </cell>
          <cell r="I527">
            <v>9548</v>
          </cell>
          <cell r="J527">
            <v>2721180</v>
          </cell>
          <cell r="K527">
            <v>996</v>
          </cell>
          <cell r="L527">
            <v>9.5863453815261046</v>
          </cell>
          <cell r="M527" t="str">
            <v>Gramos</v>
          </cell>
        </row>
        <row r="528">
          <cell r="A528" t="str">
            <v>10700034</v>
          </cell>
          <cell r="B528">
            <v>15871</v>
          </cell>
          <cell r="C528" t="str">
            <v>MINI PERLAS COMBINADAS (CAJA: 312 UND)</v>
          </cell>
          <cell r="D528" t="str">
            <v>10700034</v>
          </cell>
          <cell r="E528" t="str">
            <v>MATERIAS PRIMAS PLANTA</v>
          </cell>
          <cell r="F528" t="str">
            <v>1 CAJA</v>
          </cell>
          <cell r="G528">
            <v>500</v>
          </cell>
          <cell r="H528" t="str">
            <v>31/01/2020</v>
          </cell>
          <cell r="I528">
            <v>29635</v>
          </cell>
          <cell r="J528">
            <v>237080</v>
          </cell>
          <cell r="K528">
            <v>312</v>
          </cell>
          <cell r="L528">
            <v>94.983974358974365</v>
          </cell>
          <cell r="M528" t="str">
            <v>Und</v>
          </cell>
        </row>
        <row r="529">
          <cell r="A529" t="str">
            <v>10700035</v>
          </cell>
          <cell r="B529">
            <v>15872</v>
          </cell>
          <cell r="C529" t="str">
            <v>DOYPACK FUDGE (UND:650 G)</v>
          </cell>
          <cell r="D529" t="str">
            <v>10700035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16/06/2020</v>
          </cell>
          <cell r="I529">
            <v>2599</v>
          </cell>
          <cell r="J529">
            <v>758908</v>
          </cell>
          <cell r="K529">
            <v>650</v>
          </cell>
          <cell r="L529">
            <v>3.9984615384615383</v>
          </cell>
          <cell r="M529" t="str">
            <v>Gramos</v>
          </cell>
        </row>
        <row r="530">
          <cell r="A530" t="str">
            <v>10700036</v>
          </cell>
          <cell r="B530">
            <v>15873</v>
          </cell>
          <cell r="C530" t="str">
            <v>CHOCOLATE CORAZON MINI COMB (CJ:1500 UD)</v>
          </cell>
          <cell r="D530" t="str">
            <v>10700036</v>
          </cell>
          <cell r="E530" t="str">
            <v>MATERIAS PRIMAS PLANTA</v>
          </cell>
          <cell r="F530" t="str">
            <v>1 CAJA</v>
          </cell>
          <cell r="G530">
            <v>500</v>
          </cell>
          <cell r="H530" t="str">
            <v>11/02/2020</v>
          </cell>
          <cell r="I530">
            <v>5500</v>
          </cell>
          <cell r="J530">
            <v>88000</v>
          </cell>
          <cell r="K530">
            <v>1500</v>
          </cell>
          <cell r="L530">
            <v>3.6666666666666665</v>
          </cell>
          <cell r="M530" t="str">
            <v>Gramos</v>
          </cell>
        </row>
        <row r="531">
          <cell r="A531" t="str">
            <v>10700037</v>
          </cell>
          <cell r="B531">
            <v>16025</v>
          </cell>
          <cell r="C531" t="str">
            <v>CHOCOLATE HERSHEYS ALMENDRA GIGANT (UND)</v>
          </cell>
          <cell r="D531" t="str">
            <v>10700037</v>
          </cell>
          <cell r="E531" t="str">
            <v>MATERIAS PRIMAS PLANTA</v>
          </cell>
          <cell r="F531" t="str">
            <v>1 UND</v>
          </cell>
          <cell r="G531">
            <v>500</v>
          </cell>
          <cell r="H531" t="str">
            <v>27/03/2020</v>
          </cell>
          <cell r="I531">
            <v>1069.04</v>
          </cell>
          <cell r="J531">
            <v>360351.12</v>
          </cell>
          <cell r="K531">
            <v>300</v>
          </cell>
          <cell r="L531" t="e">
            <v>#DIV/0!</v>
          </cell>
          <cell r="M531" t="str">
            <v>Gramos</v>
          </cell>
        </row>
        <row r="532">
          <cell r="A532" t="str">
            <v>10700038</v>
          </cell>
          <cell r="B532">
            <v>16026</v>
          </cell>
          <cell r="C532" t="str">
            <v xml:space="preserve">CHOCOLATE SURTIDO GALLITO (CAJA: 330 G) </v>
          </cell>
          <cell r="D532" t="str">
            <v>10700038</v>
          </cell>
          <cell r="E532" t="str">
            <v>MATERIAS PRIMAS PLANTA</v>
          </cell>
          <cell r="F532" t="str">
            <v>1 CAJA</v>
          </cell>
          <cell r="G532">
            <v>500</v>
          </cell>
          <cell r="H532" t="str">
            <v>16/03/2020</v>
          </cell>
          <cell r="I532">
            <v>2252.27</v>
          </cell>
          <cell r="J532">
            <v>585590.19999999995</v>
          </cell>
          <cell r="K532">
            <v>330</v>
          </cell>
          <cell r="L532">
            <v>6.8250606060606058</v>
          </cell>
          <cell r="M532" t="str">
            <v>Gramos</v>
          </cell>
        </row>
        <row r="533">
          <cell r="A533" t="str">
            <v>10700040</v>
          </cell>
          <cell r="B533">
            <v>16619</v>
          </cell>
          <cell r="C533" t="str">
            <v>MONEDA CHOCOLATE SPOON ( CAJA:25 UND)</v>
          </cell>
          <cell r="D533" t="str">
            <v>10700040</v>
          </cell>
          <cell r="E533" t="str">
            <v>MATERIAS PRIMAS PLANTA</v>
          </cell>
          <cell r="F533" t="str">
            <v>1 CAJA</v>
          </cell>
          <cell r="G533">
            <v>500</v>
          </cell>
          <cell r="H533" t="str">
            <v>13/06/2020</v>
          </cell>
          <cell r="I533">
            <v>1</v>
          </cell>
          <cell r="J533">
            <v>85000</v>
          </cell>
          <cell r="K533">
            <v>25</v>
          </cell>
          <cell r="L533">
            <v>0.04</v>
          </cell>
          <cell r="M533" t="str">
            <v>Gramos</v>
          </cell>
        </row>
        <row r="534">
          <cell r="A534" t="str">
            <v>10900004</v>
          </cell>
          <cell r="B534">
            <v>9416</v>
          </cell>
          <cell r="C534" t="str">
            <v>OLLA DE CARNE MIXTO (PAQ:1KILO)</v>
          </cell>
          <cell r="D534" t="str">
            <v>10900004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08/06/2020</v>
          </cell>
          <cell r="I534">
            <v>1900</v>
          </cell>
          <cell r="J534">
            <v>248000</v>
          </cell>
          <cell r="K534">
            <v>1000</v>
          </cell>
          <cell r="L534">
            <v>1.9</v>
          </cell>
          <cell r="M534" t="str">
            <v>Gramos</v>
          </cell>
        </row>
        <row r="535">
          <cell r="A535" t="str">
            <v>10900005</v>
          </cell>
          <cell r="B535">
            <v>11342</v>
          </cell>
          <cell r="C535" t="str">
            <v>MENTA EN RAMAS (PAQ:100g)</v>
          </cell>
          <cell r="D535" t="str">
            <v>10900005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526</v>
          </cell>
          <cell r="J535">
            <v>303888</v>
          </cell>
          <cell r="K535">
            <v>100</v>
          </cell>
          <cell r="L535">
            <v>5.26</v>
          </cell>
          <cell r="M535" t="str">
            <v>Gramos</v>
          </cell>
        </row>
        <row r="536">
          <cell r="A536" t="str">
            <v>10900020</v>
          </cell>
          <cell r="B536">
            <v>10261</v>
          </cell>
          <cell r="C536" t="str">
            <v>ZANAHORIA EN TROZOS (PAQ=2Kg)</v>
          </cell>
          <cell r="D536" t="str">
            <v>10900020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30/05/2020</v>
          </cell>
          <cell r="I536">
            <v>2307</v>
          </cell>
          <cell r="J536">
            <v>536556</v>
          </cell>
          <cell r="K536">
            <v>2000</v>
          </cell>
          <cell r="L536">
            <v>1.1535</v>
          </cell>
          <cell r="M536" t="str">
            <v>Gramos</v>
          </cell>
        </row>
        <row r="537">
          <cell r="A537" t="str">
            <v>10900021</v>
          </cell>
          <cell r="B537">
            <v>10262</v>
          </cell>
          <cell r="C537" t="str">
            <v>AYOTE SAZON PELADO EN TROZOS (PAQ: 2Kg)</v>
          </cell>
          <cell r="D537" t="str">
            <v>10900021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13/06/2020</v>
          </cell>
          <cell r="I537">
            <v>3241</v>
          </cell>
          <cell r="J537">
            <v>6158740</v>
          </cell>
          <cell r="K537">
            <v>2000</v>
          </cell>
          <cell r="L537">
            <v>1.6205000000000001</v>
          </cell>
          <cell r="M537" t="str">
            <v>Gramos</v>
          </cell>
        </row>
        <row r="538">
          <cell r="A538" t="str">
            <v>10900022</v>
          </cell>
          <cell r="B538">
            <v>10263</v>
          </cell>
          <cell r="C538" t="str">
            <v>CHAYOTE TIERNO EN TROZOS (PAQ:2 KILOS)</v>
          </cell>
          <cell r="D538" t="str">
            <v>10900022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06/06/2020</v>
          </cell>
          <cell r="I538">
            <v>2518</v>
          </cell>
          <cell r="J538">
            <v>139685</v>
          </cell>
          <cell r="K538">
            <v>2000</v>
          </cell>
          <cell r="L538">
            <v>1.2589999999999999</v>
          </cell>
        </row>
        <row r="539">
          <cell r="A539" t="str">
            <v>10900023</v>
          </cell>
          <cell r="B539">
            <v>10260</v>
          </cell>
          <cell r="C539" t="str">
            <v xml:space="preserve">PAPA EN TROZOS (PAQ: 2 K) </v>
          </cell>
          <cell r="D539" t="str">
            <v>10900023</v>
          </cell>
          <cell r="E539" t="str">
            <v>MATERIAS PRIMAS PLANTA</v>
          </cell>
          <cell r="F539" t="str">
            <v>1 PAQUETE</v>
          </cell>
          <cell r="G539">
            <v>500</v>
          </cell>
          <cell r="H539" t="str">
            <v>13/06/2020</v>
          </cell>
          <cell r="I539">
            <v>3641</v>
          </cell>
          <cell r="J539">
            <v>7125201</v>
          </cell>
          <cell r="K539">
            <v>2000</v>
          </cell>
          <cell r="L539">
            <v>1.8205</v>
          </cell>
          <cell r="M539" t="str">
            <v>Gramos</v>
          </cell>
        </row>
        <row r="540">
          <cell r="A540" t="str">
            <v>10900024</v>
          </cell>
          <cell r="B540">
            <v>9425</v>
          </cell>
          <cell r="C540" t="str">
            <v>YUCA EN TROZOS (PAQ: 2K)</v>
          </cell>
          <cell r="D540" t="str">
            <v>10900024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06/06/2020</v>
          </cell>
          <cell r="I540">
            <v>3450</v>
          </cell>
          <cell r="J540">
            <v>289800</v>
          </cell>
          <cell r="K540">
            <v>2000</v>
          </cell>
          <cell r="L540">
            <v>1.7250000000000001</v>
          </cell>
          <cell r="M540" t="str">
            <v>Gramos</v>
          </cell>
        </row>
        <row r="541">
          <cell r="A541" t="str">
            <v>10900025</v>
          </cell>
          <cell r="B541">
            <v>9426</v>
          </cell>
          <cell r="C541" t="str">
            <v>CAMOTE EN TROZOS (PAQ: 2K)</v>
          </cell>
          <cell r="D541" t="str">
            <v>10900025</v>
          </cell>
          <cell r="E541" t="str">
            <v>MATERIAS PRIMAS PLANTA</v>
          </cell>
          <cell r="F541" t="str">
            <v>1 PAQUETE</v>
          </cell>
          <cell r="G541">
            <v>500</v>
          </cell>
          <cell r="H541" t="str">
            <v>06/06/2020</v>
          </cell>
          <cell r="I541">
            <v>4150</v>
          </cell>
          <cell r="J541">
            <v>33200</v>
          </cell>
          <cell r="K541">
            <v>2000</v>
          </cell>
          <cell r="L541">
            <v>2.0750000000000002</v>
          </cell>
          <cell r="M541" t="str">
            <v>Gramos</v>
          </cell>
        </row>
        <row r="542">
          <cell r="A542" t="str">
            <v>10900026</v>
          </cell>
          <cell r="B542">
            <v>9427</v>
          </cell>
          <cell r="C542" t="str">
            <v>ELOTE BLANCO EN TROZOS (PAQ:2K)</v>
          </cell>
          <cell r="D542" t="str">
            <v>10900026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06/06/2020</v>
          </cell>
          <cell r="I542">
            <v>3651</v>
          </cell>
          <cell r="J542">
            <v>65890</v>
          </cell>
          <cell r="K542">
            <v>2000</v>
          </cell>
          <cell r="L542">
            <v>1.8254999999999999</v>
          </cell>
          <cell r="M542" t="str">
            <v>Gramos</v>
          </cell>
        </row>
        <row r="543">
          <cell r="A543" t="str">
            <v>10900029</v>
          </cell>
          <cell r="B543">
            <v>5509</v>
          </cell>
          <cell r="C543" t="str">
            <v>ZANAHORIA TIRAS (PAQ:500g)</v>
          </cell>
          <cell r="D543" t="str">
            <v>10900029</v>
          </cell>
          <cell r="E543" t="str">
            <v>MATERIAS PRIMAS PLANTA</v>
          </cell>
          <cell r="F543" t="str">
            <v>1 PAQUETE</v>
          </cell>
          <cell r="G543">
            <v>500</v>
          </cell>
          <cell r="H543" t="str">
            <v>15/06/2020</v>
          </cell>
          <cell r="I543">
            <v>428</v>
          </cell>
          <cell r="J543">
            <v>1940724</v>
          </cell>
          <cell r="K543">
            <v>500</v>
          </cell>
          <cell r="L543">
            <v>0.85599999999999998</v>
          </cell>
          <cell r="M543" t="str">
            <v>Gramos</v>
          </cell>
        </row>
        <row r="544">
          <cell r="A544" t="str">
            <v>10900032</v>
          </cell>
          <cell r="B544">
            <v>5424</v>
          </cell>
          <cell r="C544" t="str">
            <v>FRESA ENTERA (UND:300 g)</v>
          </cell>
          <cell r="D544" t="str">
            <v>10900032</v>
          </cell>
          <cell r="E544" t="str">
            <v>MATERIAS PRIMAS PLANTA</v>
          </cell>
          <cell r="F544" t="str">
            <v>1 UND</v>
          </cell>
          <cell r="G544">
            <v>500</v>
          </cell>
          <cell r="H544" t="str">
            <v>15/06/2020</v>
          </cell>
          <cell r="I544">
            <v>875</v>
          </cell>
          <cell r="J544">
            <v>3815000</v>
          </cell>
          <cell r="K544">
            <v>300</v>
          </cell>
          <cell r="L544">
            <v>2.9166666666666665</v>
          </cell>
          <cell r="M544" t="str">
            <v>Gramos</v>
          </cell>
        </row>
        <row r="545">
          <cell r="A545" t="str">
            <v>10900033</v>
          </cell>
          <cell r="B545">
            <v>5470</v>
          </cell>
          <cell r="C545" t="str">
            <v>ELOTE MINI (PAQ:200g)</v>
          </cell>
          <cell r="D545" t="str">
            <v>10900033</v>
          </cell>
          <cell r="E545" t="str">
            <v>MATERIAS PRIMAS PLANTA</v>
          </cell>
          <cell r="F545" t="str">
            <v>1 PAQUETE</v>
          </cell>
          <cell r="G545">
            <v>500</v>
          </cell>
          <cell r="H545" t="str">
            <v>28/05/2020</v>
          </cell>
          <cell r="I545">
            <v>780</v>
          </cell>
          <cell r="J545">
            <v>149760</v>
          </cell>
          <cell r="K545">
            <v>200</v>
          </cell>
          <cell r="L545">
            <v>3.9</v>
          </cell>
          <cell r="M545" t="str">
            <v>Gramos</v>
          </cell>
        </row>
        <row r="546">
          <cell r="A546" t="str">
            <v>10900034</v>
          </cell>
          <cell r="B546">
            <v>5478</v>
          </cell>
          <cell r="C546" t="str">
            <v>ALBAHACA (PAQ: 100g)</v>
          </cell>
          <cell r="D546" t="str">
            <v>10900034</v>
          </cell>
          <cell r="E546" t="str">
            <v>MATERIAS PRIMAS PLANTA</v>
          </cell>
          <cell r="F546" t="str">
            <v>1 PAQUETE</v>
          </cell>
          <cell r="G546">
            <v>500</v>
          </cell>
          <cell r="H546" t="str">
            <v>15/06/2020</v>
          </cell>
          <cell r="I546">
            <v>1</v>
          </cell>
          <cell r="J546">
            <v>986944.5</v>
          </cell>
          <cell r="K546">
            <v>100</v>
          </cell>
          <cell r="L546">
            <v>0.01</v>
          </cell>
          <cell r="M546" t="str">
            <v>Gramos</v>
          </cell>
        </row>
        <row r="547">
          <cell r="A547" t="str">
            <v>10900036</v>
          </cell>
          <cell r="B547">
            <v>5499</v>
          </cell>
          <cell r="C547" t="str">
            <v>LECHUGA AMERICANA ENTERA (PAQ:500g)</v>
          </cell>
          <cell r="D547" t="str">
            <v>10900036</v>
          </cell>
          <cell r="E547" t="str">
            <v>MATERIAS PRIMAS PLANTA</v>
          </cell>
          <cell r="F547" t="str">
            <v>1 PAQUETE</v>
          </cell>
          <cell r="G547">
            <v>500</v>
          </cell>
          <cell r="H547" t="str">
            <v>15/06/2020</v>
          </cell>
          <cell r="I547">
            <v>1026</v>
          </cell>
          <cell r="J547">
            <v>8700228</v>
          </cell>
          <cell r="K547">
            <v>500</v>
          </cell>
          <cell r="L547">
            <v>2.052</v>
          </cell>
          <cell r="M547" t="str">
            <v>Gramos</v>
          </cell>
        </row>
        <row r="548">
          <cell r="A548" t="str">
            <v>10900037</v>
          </cell>
          <cell r="B548">
            <v>5469</v>
          </cell>
          <cell r="C548" t="str">
            <v>VAINICA BABY (PAQ:200g)</v>
          </cell>
          <cell r="D548" t="str">
            <v>10900037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30/05/2020</v>
          </cell>
          <cell r="I548">
            <v>580</v>
          </cell>
          <cell r="J548">
            <v>48140</v>
          </cell>
          <cell r="K548">
            <v>200</v>
          </cell>
          <cell r="L548">
            <v>2.9</v>
          </cell>
          <cell r="M548" t="str">
            <v>Und</v>
          </cell>
        </row>
        <row r="549">
          <cell r="A549" t="str">
            <v>10900040</v>
          </cell>
          <cell r="B549">
            <v>5452</v>
          </cell>
          <cell r="C549" t="str">
            <v>PEREJIL (PAQUETE: 32 gr)</v>
          </cell>
          <cell r="D549" t="str">
            <v>10900040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1</v>
          </cell>
          <cell r="J549">
            <v>748292</v>
          </cell>
          <cell r="K549">
            <v>32</v>
          </cell>
          <cell r="L549">
            <v>3.125E-2</v>
          </cell>
          <cell r="M549" t="str">
            <v>Und</v>
          </cell>
        </row>
        <row r="550">
          <cell r="A550" t="str">
            <v>10900041</v>
          </cell>
          <cell r="B550">
            <v>5489</v>
          </cell>
          <cell r="C550" t="str">
            <v>REPOLLO MORADO RALLADO (PAQ:250g)</v>
          </cell>
          <cell r="D550" t="str">
            <v>10900041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399</v>
          </cell>
          <cell r="J550">
            <v>1627715</v>
          </cell>
          <cell r="K550">
            <v>250</v>
          </cell>
          <cell r="L550">
            <v>1.5960000000000001</v>
          </cell>
          <cell r="M550" t="str">
            <v>Und</v>
          </cell>
        </row>
        <row r="551">
          <cell r="A551" t="str">
            <v>10900042</v>
          </cell>
          <cell r="B551">
            <v>5477</v>
          </cell>
          <cell r="C551" t="str">
            <v>HIERBA BUENA (PAQ:100g)</v>
          </cell>
          <cell r="D551" t="str">
            <v>10900042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1</v>
          </cell>
          <cell r="J551">
            <v>2752850</v>
          </cell>
          <cell r="K551">
            <v>100</v>
          </cell>
          <cell r="L551">
            <v>0.01</v>
          </cell>
          <cell r="M551" t="str">
            <v>Und</v>
          </cell>
        </row>
        <row r="552">
          <cell r="A552" t="str">
            <v>10900043</v>
          </cell>
          <cell r="B552">
            <v>5468</v>
          </cell>
          <cell r="C552" t="str">
            <v>TOMATE CHERRY (PAQ:200g)</v>
          </cell>
          <cell r="D552" t="str">
            <v>10900043</v>
          </cell>
          <cell r="E552" t="str">
            <v>MATERIAS PRIMAS PLANTA</v>
          </cell>
          <cell r="F552" t="str">
            <v>1 PAQUETE</v>
          </cell>
          <cell r="G552">
            <v>500</v>
          </cell>
          <cell r="H552" t="str">
            <v>16/06/2020</v>
          </cell>
          <cell r="I552">
            <v>450</v>
          </cell>
          <cell r="J552">
            <v>8591850</v>
          </cell>
          <cell r="K552">
            <v>200</v>
          </cell>
          <cell r="L552">
            <v>2.25</v>
          </cell>
          <cell r="M552" t="str">
            <v>Und</v>
          </cell>
        </row>
        <row r="553">
          <cell r="A553" t="str">
            <v>10900047</v>
          </cell>
          <cell r="B553">
            <v>5459</v>
          </cell>
          <cell r="C553" t="str">
            <v>ALFALFA (PAQ:150g)</v>
          </cell>
          <cell r="D553" t="str">
            <v>10900047</v>
          </cell>
          <cell r="E553" t="str">
            <v>MATERIAS PRIMAS PLANTA</v>
          </cell>
          <cell r="F553" t="str">
            <v>1 PAQUETE</v>
          </cell>
          <cell r="G553">
            <v>500</v>
          </cell>
          <cell r="H553" t="str">
            <v>16/06/2020</v>
          </cell>
          <cell r="I553">
            <v>750</v>
          </cell>
          <cell r="J553">
            <v>3714750</v>
          </cell>
          <cell r="K553">
            <v>150</v>
          </cell>
          <cell r="L553">
            <v>5</v>
          </cell>
          <cell r="M553" t="str">
            <v>Und</v>
          </cell>
        </row>
        <row r="554">
          <cell r="A554" t="str">
            <v>10900051</v>
          </cell>
          <cell r="B554">
            <v>11353</v>
          </cell>
          <cell r="C554" t="str">
            <v>AGUACATE KILO</v>
          </cell>
          <cell r="D554" t="str">
            <v>10900051</v>
          </cell>
          <cell r="E554" t="str">
            <v>MATERIAS PRIMAS PLANTA</v>
          </cell>
          <cell r="F554" t="str">
            <v>1 KILO</v>
          </cell>
          <cell r="G554">
            <v>500</v>
          </cell>
          <cell r="H554" t="str">
            <v>15/06/2020</v>
          </cell>
          <cell r="I554">
            <v>2400</v>
          </cell>
          <cell r="J554">
            <v>46930219.75</v>
          </cell>
          <cell r="K554">
            <v>1000</v>
          </cell>
          <cell r="L554">
            <v>2.4</v>
          </cell>
          <cell r="M554" t="str">
            <v>Gramos</v>
          </cell>
        </row>
        <row r="555">
          <cell r="A555" t="str">
            <v>10900057</v>
          </cell>
          <cell r="B555">
            <v>12159</v>
          </cell>
          <cell r="C555" t="str">
            <v>ZUQUINI MINI (PAQ:200g)</v>
          </cell>
          <cell r="D555" t="str">
            <v>10900057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16/06/2020</v>
          </cell>
          <cell r="I555">
            <v>400</v>
          </cell>
          <cell r="J555">
            <v>1774000</v>
          </cell>
          <cell r="K555">
            <v>200</v>
          </cell>
          <cell r="L555">
            <v>2</v>
          </cell>
          <cell r="M555" t="str">
            <v>Gramos</v>
          </cell>
        </row>
        <row r="556">
          <cell r="A556" t="str">
            <v>10900059</v>
          </cell>
          <cell r="B556">
            <v>5490</v>
          </cell>
          <cell r="C556" t="str">
            <v>RABANO (PAQ:125g)</v>
          </cell>
          <cell r="D556" t="str">
            <v>10900059</v>
          </cell>
          <cell r="E556" t="str">
            <v>MATERIAS PRIMAS PLANTA</v>
          </cell>
          <cell r="F556" t="str">
            <v xml:space="preserve">1 KILO </v>
          </cell>
          <cell r="G556">
            <v>500</v>
          </cell>
          <cell r="H556" t="str">
            <v>15/06/2020</v>
          </cell>
          <cell r="I556">
            <v>1149</v>
          </cell>
          <cell r="J556">
            <v>360673.03</v>
          </cell>
          <cell r="K556">
            <v>1000</v>
          </cell>
          <cell r="L556">
            <v>1.149</v>
          </cell>
          <cell r="M556" t="str">
            <v>Gramos</v>
          </cell>
        </row>
        <row r="557">
          <cell r="A557" t="str">
            <v>10900060</v>
          </cell>
          <cell r="B557">
            <v>8109</v>
          </cell>
          <cell r="C557" t="str">
            <v>CEREZA ROJA C/TALLO MARASCH (UND:GALON)</v>
          </cell>
          <cell r="D557" t="str">
            <v>10900060</v>
          </cell>
          <cell r="E557" t="str">
            <v>MATERIAS PRIMAS PLANTA</v>
          </cell>
          <cell r="F557" t="str">
            <v>1 UND</v>
          </cell>
          <cell r="G557">
            <v>500</v>
          </cell>
          <cell r="H557" t="str">
            <v>08/06/2020</v>
          </cell>
          <cell r="I557">
            <v>10425</v>
          </cell>
          <cell r="J557">
            <v>1762256</v>
          </cell>
          <cell r="K557">
            <v>3785</v>
          </cell>
          <cell r="L557">
            <v>2.7542932628797887</v>
          </cell>
          <cell r="M557" t="str">
            <v>Gramos</v>
          </cell>
        </row>
        <row r="558">
          <cell r="A558" t="str">
            <v>10900062</v>
          </cell>
          <cell r="B558">
            <v>11812</v>
          </cell>
          <cell r="C558" t="str">
            <v>PLATANO MADURO KILO</v>
          </cell>
          <cell r="D558" t="str">
            <v>10900062</v>
          </cell>
          <cell r="E558" t="str">
            <v>MATERIAS PRIMAS PLANTA</v>
          </cell>
          <cell r="F558" t="str">
            <v xml:space="preserve">1 KILO </v>
          </cell>
          <cell r="G558">
            <v>500</v>
          </cell>
          <cell r="H558" t="str">
            <v>13/06/2020</v>
          </cell>
          <cell r="I558">
            <v>685</v>
          </cell>
          <cell r="J558">
            <v>4873295.5</v>
          </cell>
          <cell r="K558">
            <v>1000</v>
          </cell>
          <cell r="L558">
            <v>0.68500000000000005</v>
          </cell>
          <cell r="M558" t="str">
            <v>Gramos</v>
          </cell>
        </row>
        <row r="559">
          <cell r="A559" t="str">
            <v>10900066</v>
          </cell>
          <cell r="B559">
            <v>12599</v>
          </cell>
          <cell r="C559" t="str">
            <v>PIÑA PICADA (PAQ:1 kg)</v>
          </cell>
          <cell r="D559" t="str">
            <v>10900066</v>
          </cell>
          <cell r="E559" t="str">
            <v>MATERIAS PRIMAS PLANTA</v>
          </cell>
          <cell r="F559" t="str">
            <v>1 PAQUETE</v>
          </cell>
          <cell r="G559">
            <v>500</v>
          </cell>
          <cell r="H559" t="str">
            <v>23/03/2020</v>
          </cell>
          <cell r="I559">
            <v>1950</v>
          </cell>
          <cell r="J559">
            <v>222300</v>
          </cell>
          <cell r="K559">
            <v>1000</v>
          </cell>
          <cell r="L559">
            <v>1.95</v>
          </cell>
          <cell r="M559" t="str">
            <v>Gramos</v>
          </cell>
        </row>
        <row r="560">
          <cell r="A560" t="str">
            <v>11000003</v>
          </cell>
          <cell r="B560">
            <v>12966</v>
          </cell>
          <cell r="C560" t="str">
            <v>BATERIA MAXELL ALKALINA TI D (PAQ:2 UND)</v>
          </cell>
          <cell r="D560" t="str">
            <v>11000003</v>
          </cell>
          <cell r="E560" t="str">
            <v>MATERIAS PRIMAS PLANTA</v>
          </cell>
          <cell r="F560" t="str">
            <v>1 PAQUETE</v>
          </cell>
          <cell r="G560">
            <v>500</v>
          </cell>
          <cell r="H560" t="str">
            <v>10/03/2020</v>
          </cell>
          <cell r="I560">
            <v>2200</v>
          </cell>
          <cell r="J560">
            <v>68000</v>
          </cell>
          <cell r="K560">
            <v>1</v>
          </cell>
          <cell r="L560" t="e">
            <v>#DIV/0!</v>
          </cell>
          <cell r="M560" t="str">
            <v>Gramos</v>
          </cell>
        </row>
        <row r="561">
          <cell r="A561" t="str">
            <v>11000006</v>
          </cell>
          <cell r="B561">
            <v>14894</v>
          </cell>
          <cell r="C561" t="str">
            <v>ORLA 6.5'' (UND)</v>
          </cell>
          <cell r="D561" t="str">
            <v>11000006</v>
          </cell>
          <cell r="E561" t="str">
            <v>EMPAQUES PLANTA</v>
          </cell>
          <cell r="F561" t="str">
            <v>1 UND</v>
          </cell>
          <cell r="G561">
            <v>500</v>
          </cell>
          <cell r="H561" t="str">
            <v>13/03/2020</v>
          </cell>
          <cell r="I561">
            <v>69</v>
          </cell>
          <cell r="J561">
            <v>103500</v>
          </cell>
          <cell r="K561">
            <v>0</v>
          </cell>
          <cell r="L561" t="e">
            <v>#DIV/0!</v>
          </cell>
          <cell r="M561"/>
        </row>
        <row r="562">
          <cell r="A562" t="str">
            <v>11100002</v>
          </cell>
          <cell r="B562">
            <v>12716</v>
          </cell>
          <cell r="C562" t="str">
            <v>MARGARINA LIQUIDA 17.5LB (CAJA:2 UND)</v>
          </cell>
          <cell r="D562" t="str">
            <v>11100002</v>
          </cell>
          <cell r="E562" t="str">
            <v>MATERIAS PRIMAS PLANTA</v>
          </cell>
          <cell r="F562" t="str">
            <v>1 CAJA</v>
          </cell>
          <cell r="G562">
            <v>500</v>
          </cell>
          <cell r="H562" t="str">
            <v>07/01/2020</v>
          </cell>
          <cell r="I562">
            <v>9320.5</v>
          </cell>
          <cell r="J562">
            <v>37282</v>
          </cell>
          <cell r="K562">
            <v>120</v>
          </cell>
          <cell r="L562" t="e">
            <v>#DIV/0!</v>
          </cell>
          <cell r="M562" t="str">
            <v>Und</v>
          </cell>
        </row>
        <row r="563">
          <cell r="A563" t="str">
            <v>11100006</v>
          </cell>
          <cell r="B563">
            <v>11434</v>
          </cell>
          <cell r="C563" t="str">
            <v>MANTEQUILLA BLISTER 7g  (CAJA:120 UND)</v>
          </cell>
          <cell r="D563" t="str">
            <v>11100006</v>
          </cell>
          <cell r="E563" t="str">
            <v>MATERIAS PRIMAS PLANTA</v>
          </cell>
          <cell r="F563" t="str">
            <v xml:space="preserve">1 CAJA </v>
          </cell>
          <cell r="G563">
            <v>500</v>
          </cell>
          <cell r="H563" t="str">
            <v>20/03/2020</v>
          </cell>
          <cell r="I563">
            <v>7963.89</v>
          </cell>
          <cell r="J563">
            <v>363436.83</v>
          </cell>
          <cell r="K563">
            <v>10</v>
          </cell>
          <cell r="L563" t="e">
            <v>#DIV/0!</v>
          </cell>
          <cell r="M563" t="str">
            <v>Und</v>
          </cell>
        </row>
        <row r="564">
          <cell r="A564" t="str">
            <v>11200004</v>
          </cell>
          <cell r="B564">
            <v>11440</v>
          </cell>
          <cell r="C564" t="str">
            <v>PAN TRENZA(PAQ:10 UND)</v>
          </cell>
          <cell r="D564" t="str">
            <v>11200004</v>
          </cell>
          <cell r="E564" t="str">
            <v>MATERIAS PRIMAS PLANTA</v>
          </cell>
          <cell r="F564" t="str">
            <v>1 PAQUETE</v>
          </cell>
          <cell r="G564">
            <v>500</v>
          </cell>
          <cell r="H564" t="str">
            <v>12/06/2020</v>
          </cell>
          <cell r="I564">
            <v>2050</v>
          </cell>
          <cell r="J564">
            <v>811800</v>
          </cell>
          <cell r="K564">
            <v>20</v>
          </cell>
          <cell r="L564" t="e">
            <v>#DIV/0!</v>
          </cell>
          <cell r="M564" t="str">
            <v>Und</v>
          </cell>
        </row>
        <row r="565">
          <cell r="A565" t="str">
            <v>11200005</v>
          </cell>
          <cell r="B565">
            <v>11441</v>
          </cell>
          <cell r="C565" t="str">
            <v>PAN BAGUETTINO (PAQ:20 UND)</v>
          </cell>
          <cell r="D565" t="str">
            <v>11200005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2400</v>
          </cell>
          <cell r="J565">
            <v>2815200</v>
          </cell>
          <cell r="K565">
            <v>5</v>
          </cell>
          <cell r="L565" t="e">
            <v>#DIV/0!</v>
          </cell>
          <cell r="M565" t="str">
            <v>Und</v>
          </cell>
        </row>
        <row r="566">
          <cell r="A566" t="str">
            <v>11200019</v>
          </cell>
          <cell r="B566">
            <v>5573</v>
          </cell>
          <cell r="C566" t="str">
            <v>PAN MINI BAGUET (PAQ:5 UND)</v>
          </cell>
          <cell r="D566" t="str">
            <v>11200019</v>
          </cell>
          <cell r="E566" t="str">
            <v>MATERIAS PRIMAS PLANTA</v>
          </cell>
          <cell r="F566" t="str">
            <v>1 PAQUETE</v>
          </cell>
          <cell r="G566">
            <v>500</v>
          </cell>
          <cell r="H566" t="str">
            <v>15/06/2020</v>
          </cell>
          <cell r="I566">
            <v>1</v>
          </cell>
          <cell r="J566">
            <v>27599400</v>
          </cell>
          <cell r="K566">
            <v>5</v>
          </cell>
          <cell r="L566" t="e">
            <v>#DIV/0!</v>
          </cell>
          <cell r="M566" t="str">
            <v>Und</v>
          </cell>
        </row>
        <row r="567">
          <cell r="A567" t="str">
            <v>11200041</v>
          </cell>
          <cell r="B567">
            <v>5572</v>
          </cell>
          <cell r="C567" t="str">
            <v>CONCHA PIZZA (PAQ:5 UND)</v>
          </cell>
          <cell r="D567" t="str">
            <v>11200041</v>
          </cell>
          <cell r="E567" t="str">
            <v>MATERIAS PRIMAS PLANTA</v>
          </cell>
          <cell r="F567" t="str">
            <v>1 PAQUETE</v>
          </cell>
          <cell r="G567">
            <v>500</v>
          </cell>
          <cell r="H567" t="str">
            <v>15/06/2020</v>
          </cell>
          <cell r="I567">
            <v>845</v>
          </cell>
          <cell r="J567">
            <v>1928290</v>
          </cell>
          <cell r="K567">
            <v>25000</v>
          </cell>
          <cell r="L567" t="e">
            <v>#DIV/0!</v>
          </cell>
          <cell r="M567" t="str">
            <v>Gramos</v>
          </cell>
        </row>
        <row r="568">
          <cell r="A568" t="str">
            <v>11200043</v>
          </cell>
          <cell r="B568">
            <v>11326</v>
          </cell>
          <cell r="C568" t="str">
            <v>PREMEZCLA TEGRAL QQ VAINILLA (SACO:25K)</v>
          </cell>
          <cell r="D568" t="str">
            <v>11200043</v>
          </cell>
          <cell r="E568" t="str">
            <v>MATERIAS PRIMAS PLANTA</v>
          </cell>
          <cell r="F568" t="str">
            <v>1 SACO</v>
          </cell>
          <cell r="G568">
            <v>500</v>
          </cell>
          <cell r="H568" t="str">
            <v>13/06/2020</v>
          </cell>
          <cell r="I568">
            <v>23175</v>
          </cell>
          <cell r="J568">
            <v>21460050</v>
          </cell>
          <cell r="K568">
            <v>25000</v>
          </cell>
          <cell r="L568">
            <v>0.92700000000000005</v>
          </cell>
          <cell r="M568" t="str">
            <v>Gramos</v>
          </cell>
        </row>
        <row r="569">
          <cell r="A569" t="str">
            <v>11200048</v>
          </cell>
          <cell r="B569">
            <v>12603</v>
          </cell>
          <cell r="C569" t="str">
            <v>PREMEZCLA TEGRAL QQ CHOCOLATE (SACO:20K)</v>
          </cell>
          <cell r="D569" t="str">
            <v>11200048</v>
          </cell>
          <cell r="E569" t="str">
            <v>MATERIAS PRIMAS PLANTA</v>
          </cell>
          <cell r="F569" t="str">
            <v>1 SACO</v>
          </cell>
          <cell r="G569">
            <v>500</v>
          </cell>
          <cell r="H569" t="str">
            <v>13/06/2020</v>
          </cell>
          <cell r="I569">
            <v>22000</v>
          </cell>
          <cell r="J569">
            <v>11264000</v>
          </cell>
          <cell r="K569">
            <v>20000</v>
          </cell>
          <cell r="L569">
            <v>1.1000000000000001</v>
          </cell>
          <cell r="M569" t="str">
            <v>Gramos</v>
          </cell>
        </row>
        <row r="570">
          <cell r="A570" t="str">
            <v>11200058</v>
          </cell>
          <cell r="B570">
            <v>14508</v>
          </cell>
          <cell r="C570" t="str">
            <v>PAN ARABE BLANCO 15 CM (PAQ:5 UND)</v>
          </cell>
          <cell r="D570" t="str">
            <v>11200058</v>
          </cell>
          <cell r="E570" t="str">
            <v>MATERIAS PRIMAS PLANTA</v>
          </cell>
          <cell r="F570" t="str">
            <v>1 PAQUETE</v>
          </cell>
          <cell r="G570">
            <v>500</v>
          </cell>
          <cell r="H570" t="str">
            <v>15/06/2020</v>
          </cell>
          <cell r="I570">
            <v>910</v>
          </cell>
          <cell r="J570">
            <v>8372000</v>
          </cell>
          <cell r="K570">
            <v>5</v>
          </cell>
          <cell r="L570">
            <v>182</v>
          </cell>
          <cell r="M570" t="str">
            <v>Gramos</v>
          </cell>
        </row>
        <row r="571">
          <cell r="A571" t="str">
            <v>11200060</v>
          </cell>
          <cell r="B571">
            <v>14555</v>
          </cell>
          <cell r="C571" t="str">
            <v>PAN BRIOCHE (PAQ= 20 UND)</v>
          </cell>
          <cell r="D571" t="str">
            <v>11200060</v>
          </cell>
          <cell r="E571" t="str">
            <v>MATERIAS PRIMAS PLANTA</v>
          </cell>
          <cell r="F571" t="str">
            <v>1 PAQUETE</v>
          </cell>
          <cell r="G571">
            <v>500</v>
          </cell>
          <cell r="H571" t="str">
            <v>07/01/2020</v>
          </cell>
          <cell r="I571">
            <v>3100</v>
          </cell>
          <cell r="J571">
            <v>130200</v>
          </cell>
          <cell r="K571">
            <v>20</v>
          </cell>
          <cell r="L571">
            <v>155</v>
          </cell>
          <cell r="M571" t="str">
            <v>Gramos</v>
          </cell>
        </row>
        <row r="572">
          <cell r="A572" t="str">
            <v>11200063</v>
          </cell>
          <cell r="B572">
            <v>15186</v>
          </cell>
          <cell r="C572" t="str">
            <v>PAN CIABATTA 16 CM (PAQ:10 UND)</v>
          </cell>
          <cell r="D572" t="str">
            <v>11200063</v>
          </cell>
          <cell r="E572" t="str">
            <v>MATERIAS PRIMAS PLANTA</v>
          </cell>
          <cell r="F572" t="str">
            <v xml:space="preserve">1 PAQUETE  </v>
          </cell>
          <cell r="G572">
            <v>500</v>
          </cell>
          <cell r="H572" t="str">
            <v>15/06/2020</v>
          </cell>
          <cell r="I572">
            <v>2200</v>
          </cell>
          <cell r="J572">
            <v>12086800</v>
          </cell>
          <cell r="K572">
            <v>10</v>
          </cell>
          <cell r="L572">
            <v>220</v>
          </cell>
          <cell r="M572" t="str">
            <v>Gramos</v>
          </cell>
        </row>
        <row r="573">
          <cell r="A573" t="str">
            <v>11200064</v>
          </cell>
          <cell r="B573">
            <v>15550</v>
          </cell>
          <cell r="C573" t="str">
            <v>HARINA TRIGO NACARINA (SACO: 25 K)</v>
          </cell>
          <cell r="D573" t="str">
            <v>11200064</v>
          </cell>
          <cell r="E573" t="str">
            <v>MATERIAS PRIMAS PLANTA</v>
          </cell>
          <cell r="F573" t="str">
            <v>1 SACO</v>
          </cell>
          <cell r="G573">
            <v>500</v>
          </cell>
          <cell r="H573" t="str">
            <v>12/06/2020</v>
          </cell>
          <cell r="I573">
            <v>13104</v>
          </cell>
          <cell r="J573">
            <v>18096624</v>
          </cell>
          <cell r="K573">
            <v>25000</v>
          </cell>
          <cell r="L573">
            <v>0.52415999999999996</v>
          </cell>
          <cell r="M573" t="str">
            <v>Gramos</v>
          </cell>
        </row>
        <row r="574">
          <cell r="A574" t="str">
            <v>11200065</v>
          </cell>
          <cell r="B574">
            <v>15852</v>
          </cell>
          <cell r="C574" t="str">
            <v>BAGUETTE FRANCES LAPIZ (CAJA:17 UND)</v>
          </cell>
          <cell r="D574" t="str">
            <v>11200065</v>
          </cell>
          <cell r="E574" t="str">
            <v>MATERIAS PRIMAS PLANTA</v>
          </cell>
          <cell r="F574" t="str">
            <v>1 CAJA</v>
          </cell>
          <cell r="G574">
            <v>500</v>
          </cell>
          <cell r="H574" t="str">
            <v>02/06/2020</v>
          </cell>
          <cell r="I574">
            <v>6480</v>
          </cell>
          <cell r="J574">
            <v>401920</v>
          </cell>
          <cell r="K574">
            <v>25000</v>
          </cell>
          <cell r="L574" t="e">
            <v>#DIV/0!</v>
          </cell>
          <cell r="M574" t="str">
            <v>Gramos</v>
          </cell>
        </row>
        <row r="575">
          <cell r="A575" t="str">
            <v>11200066</v>
          </cell>
          <cell r="B575">
            <v>15882</v>
          </cell>
          <cell r="C575" t="str">
            <v>PREMEZCLA RED VELVET (SACO:25 K)</v>
          </cell>
          <cell r="D575" t="str">
            <v>11200066</v>
          </cell>
          <cell r="E575" t="str">
            <v>MATERIAS PRIMAS PLANTA</v>
          </cell>
          <cell r="F575" t="str">
            <v>1 SACO</v>
          </cell>
          <cell r="G575">
            <v>500</v>
          </cell>
          <cell r="H575" t="str">
            <v>15/02/2020</v>
          </cell>
          <cell r="I575">
            <v>38750</v>
          </cell>
          <cell r="J575">
            <v>232500</v>
          </cell>
          <cell r="K575">
            <v>25000</v>
          </cell>
          <cell r="L575">
            <v>1.55</v>
          </cell>
          <cell r="M575" t="str">
            <v>Gramos</v>
          </cell>
        </row>
        <row r="576">
          <cell r="A576" t="str">
            <v>11200067</v>
          </cell>
          <cell r="B576">
            <v>15895</v>
          </cell>
          <cell r="C576" t="str">
            <v>PREMEZCLA PUDING CAKE PILLSB (SC:22.6 K)</v>
          </cell>
          <cell r="D576" t="str">
            <v>11200067</v>
          </cell>
          <cell r="E576" t="str">
            <v>MATERIAS PRIMAS PLANTA</v>
          </cell>
          <cell r="F576" t="str">
            <v>1 SACO</v>
          </cell>
          <cell r="G576">
            <v>500</v>
          </cell>
          <cell r="H576" t="str">
            <v>11/05/2020</v>
          </cell>
          <cell r="I576">
            <v>25854</v>
          </cell>
          <cell r="J576">
            <v>277946</v>
          </cell>
          <cell r="K576">
            <v>22600</v>
          </cell>
          <cell r="L576">
            <v>1.1439823008849557</v>
          </cell>
          <cell r="M576" t="str">
            <v>Gramos</v>
          </cell>
        </row>
        <row r="577">
          <cell r="A577" t="str">
            <v>11200068</v>
          </cell>
          <cell r="B577">
            <v>15913</v>
          </cell>
          <cell r="C577" t="str">
            <v xml:space="preserve">PAN FOCACCIA ( PAQ:10 UND) </v>
          </cell>
          <cell r="D577" t="str">
            <v>11200068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1950</v>
          </cell>
          <cell r="J577">
            <v>3106350</v>
          </cell>
          <cell r="K577">
            <v>10</v>
          </cell>
          <cell r="L577">
            <v>195</v>
          </cell>
          <cell r="M577" t="str">
            <v>Gramos</v>
          </cell>
        </row>
        <row r="578">
          <cell r="A578" t="str">
            <v>11300001</v>
          </cell>
          <cell r="B578">
            <v>7092</v>
          </cell>
          <cell r="C578" t="str">
            <v>CLARA HUEVO PASTE DEB-EL (CAJA:2.267 K)</v>
          </cell>
          <cell r="D578" t="str">
            <v>11300001</v>
          </cell>
          <cell r="E578" t="str">
            <v>MATERIAS PRIMAS PLANTA</v>
          </cell>
          <cell r="F578" t="str">
            <v>1 Uds.</v>
          </cell>
          <cell r="G578">
            <v>500</v>
          </cell>
          <cell r="H578" t="str">
            <v>15/06/2020</v>
          </cell>
          <cell r="I578">
            <v>3859</v>
          </cell>
          <cell r="J578">
            <v>1677715</v>
          </cell>
          <cell r="K578">
            <v>2267</v>
          </cell>
          <cell r="L578">
            <v>1.7022496691662992</v>
          </cell>
          <cell r="M578" t="str">
            <v>Gramos</v>
          </cell>
        </row>
        <row r="579">
          <cell r="A579" t="str">
            <v>11300005</v>
          </cell>
          <cell r="B579">
            <v>5579</v>
          </cell>
          <cell r="C579" t="str">
            <v>HUEVOS EN CARTON (30UNID)</v>
          </cell>
          <cell r="D579" t="str">
            <v>11300005</v>
          </cell>
          <cell r="E579" t="str">
            <v>MATERIAS PRIMAS PLANTA</v>
          </cell>
          <cell r="F579" t="str">
            <v>1 CARTON</v>
          </cell>
          <cell r="G579">
            <v>500</v>
          </cell>
          <cell r="H579" t="str">
            <v>15/06/2020</v>
          </cell>
          <cell r="I579">
            <v>2197.8461538400002</v>
          </cell>
          <cell r="J579">
            <v>36673958.286337502</v>
          </cell>
          <cell r="K579">
            <v>30</v>
          </cell>
          <cell r="L579">
            <v>73.261538461333345</v>
          </cell>
          <cell r="M579" t="str">
            <v>Gramos</v>
          </cell>
        </row>
        <row r="580">
          <cell r="A580" t="str">
            <v>11300009</v>
          </cell>
          <cell r="B580">
            <v>15167</v>
          </cell>
          <cell r="C580" t="str">
            <v xml:space="preserve">CLARA DE HUEVO (CAJA:5 K) </v>
          </cell>
          <cell r="D580" t="str">
            <v>11300009</v>
          </cell>
          <cell r="E580" t="str">
            <v>MATERIAS PRIMAS PLANTA</v>
          </cell>
          <cell r="F580" t="str">
            <v>1 CAJA</v>
          </cell>
          <cell r="G580">
            <v>500</v>
          </cell>
          <cell r="H580" t="str">
            <v>21/02/2020</v>
          </cell>
          <cell r="I580">
            <v>10175</v>
          </cell>
          <cell r="J580">
            <v>86950</v>
          </cell>
          <cell r="K580">
            <v>5000</v>
          </cell>
          <cell r="L580">
            <v>2.0350000000000001</v>
          </cell>
          <cell r="M580" t="str">
            <v>Gramos</v>
          </cell>
        </row>
        <row r="581">
          <cell r="A581" t="str">
            <v>11300010</v>
          </cell>
          <cell r="B581">
            <v>15597</v>
          </cell>
          <cell r="C581" t="str">
            <v>HUEVO DURO (PAQ:4 UND)</v>
          </cell>
          <cell r="D581" t="str">
            <v>11300010</v>
          </cell>
          <cell r="E581" t="str">
            <v>MATERIAS PRIMAS PLANTA</v>
          </cell>
          <cell r="F581" t="str">
            <v>1 PAQUETE</v>
          </cell>
          <cell r="G581">
            <v>500</v>
          </cell>
          <cell r="H581" t="str">
            <v>15/06/2020</v>
          </cell>
          <cell r="I581">
            <v>1</v>
          </cell>
          <cell r="J581">
            <v>2934200</v>
          </cell>
          <cell r="K581">
            <v>4</v>
          </cell>
          <cell r="L581">
            <v>0.25</v>
          </cell>
          <cell r="M581" t="str">
            <v>Mililitros</v>
          </cell>
        </row>
        <row r="582">
          <cell r="A582" t="str">
            <v>11300011</v>
          </cell>
          <cell r="B582">
            <v>16203</v>
          </cell>
          <cell r="C582" t="str">
            <v>YEMA DE HUEVO (UND: 8.34 K)</v>
          </cell>
          <cell r="D582" t="str">
            <v>11300011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05/03/2020</v>
          </cell>
          <cell r="I582">
            <v>17514</v>
          </cell>
          <cell r="J582">
            <v>332766</v>
          </cell>
          <cell r="K582">
            <v>8340</v>
          </cell>
          <cell r="L582">
            <v>2.1</v>
          </cell>
          <cell r="M582" t="str">
            <v>Gramos</v>
          </cell>
        </row>
        <row r="583">
          <cell r="A583" t="str">
            <v>11400014</v>
          </cell>
          <cell r="B583">
            <v>5605</v>
          </cell>
          <cell r="C583" t="str">
            <v>YOGURTH IN LINE NATURAL (UND:500g)</v>
          </cell>
          <cell r="D583" t="str">
            <v>11400014</v>
          </cell>
          <cell r="E583" t="str">
            <v>MATERIAS PRIMAS PLANTA</v>
          </cell>
          <cell r="F583" t="str">
            <v>1 UND</v>
          </cell>
          <cell r="G583">
            <v>500</v>
          </cell>
          <cell r="H583" t="str">
            <v>05/05/2020</v>
          </cell>
          <cell r="I583">
            <v>992.66</v>
          </cell>
          <cell r="J583">
            <v>104229.3</v>
          </cell>
          <cell r="K583">
            <v>500</v>
          </cell>
          <cell r="L583">
            <v>1.98532</v>
          </cell>
          <cell r="M583" t="str">
            <v>Gramos</v>
          </cell>
        </row>
        <row r="584">
          <cell r="A584" t="str">
            <v>11400015</v>
          </cell>
          <cell r="B584">
            <v>5606</v>
          </cell>
          <cell r="C584" t="str">
            <v>QUESO GOUDA (PAQ:160g)</v>
          </cell>
          <cell r="D584" t="str">
            <v>11400015</v>
          </cell>
          <cell r="E584" t="str">
            <v>MATERIAS PRIMAS PLANTA</v>
          </cell>
          <cell r="F584" t="str">
            <v>1 PAQUETE</v>
          </cell>
          <cell r="G584">
            <v>500</v>
          </cell>
          <cell r="H584" t="str">
            <v>15/06/2020</v>
          </cell>
          <cell r="I584">
            <v>1654.8420000000001</v>
          </cell>
          <cell r="J584">
            <v>1331693.257</v>
          </cell>
          <cell r="K584">
            <v>160</v>
          </cell>
          <cell r="L584">
            <v>10.342762500000001</v>
          </cell>
          <cell r="M584" t="str">
            <v>Gramos</v>
          </cell>
        </row>
        <row r="585">
          <cell r="A585" t="str">
            <v>11400024</v>
          </cell>
          <cell r="B585">
            <v>5590</v>
          </cell>
          <cell r="C585" t="str">
            <v>QUESO TURRIALBA (PAQ: 3 K)</v>
          </cell>
          <cell r="D585" t="str">
            <v>11400024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15/06/2020</v>
          </cell>
          <cell r="I585">
            <v>9124.1299999999992</v>
          </cell>
          <cell r="J585">
            <v>5706832.0599999996</v>
          </cell>
          <cell r="K585">
            <v>3000</v>
          </cell>
          <cell r="L585">
            <v>3.0413766666666664</v>
          </cell>
          <cell r="M585" t="str">
            <v>Gramos</v>
          </cell>
        </row>
        <row r="586">
          <cell r="A586" t="str">
            <v>11400027</v>
          </cell>
          <cell r="B586">
            <v>5596</v>
          </cell>
          <cell r="C586" t="str">
            <v>CREMA BETTERCREAM DOBLE CHOCO (UND:4 K)</v>
          </cell>
          <cell r="D586" t="str">
            <v>11400027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15/06/2020</v>
          </cell>
          <cell r="I586">
            <v>8177</v>
          </cell>
          <cell r="J586">
            <v>17136970</v>
          </cell>
          <cell r="K586">
            <v>4000</v>
          </cell>
          <cell r="L586">
            <v>2.0442499999999999</v>
          </cell>
          <cell r="M586" t="str">
            <v>Gramos</v>
          </cell>
        </row>
        <row r="587">
          <cell r="A587" t="str">
            <v>11400029</v>
          </cell>
          <cell r="B587">
            <v>5598</v>
          </cell>
          <cell r="C587" t="str">
            <v>CREMA BETTER DULCE LECHE RICH (UND:4 K)</v>
          </cell>
          <cell r="D587" t="str">
            <v>11400029</v>
          </cell>
          <cell r="E587" t="str">
            <v>MATERIAS PRIMAS PLANTA</v>
          </cell>
          <cell r="F587" t="str">
            <v>1 UND</v>
          </cell>
          <cell r="G587">
            <v>500</v>
          </cell>
          <cell r="H587" t="str">
            <v>15/06/2020</v>
          </cell>
          <cell r="I587">
            <v>8872</v>
          </cell>
          <cell r="J587">
            <v>17275874</v>
          </cell>
          <cell r="K587">
            <v>4000</v>
          </cell>
          <cell r="L587">
            <v>2.218</v>
          </cell>
          <cell r="M587" t="str">
            <v>Gramos</v>
          </cell>
        </row>
        <row r="588">
          <cell r="A588" t="str">
            <v>11400031</v>
          </cell>
          <cell r="B588">
            <v>5600</v>
          </cell>
          <cell r="C588" t="str">
            <v>CREMA PRESTIGE GRAND (UND:4 K) *</v>
          </cell>
          <cell r="D588" t="str">
            <v>11400031</v>
          </cell>
          <cell r="E588" t="str">
            <v>MATERIAS PRIMAS PLANTA</v>
          </cell>
          <cell r="F588" t="str">
            <v>1 UND</v>
          </cell>
          <cell r="G588">
            <v>500</v>
          </cell>
          <cell r="H588" t="str">
            <v>15/06/2020</v>
          </cell>
          <cell r="I588">
            <v>6486</v>
          </cell>
          <cell r="J588">
            <v>49828274</v>
          </cell>
          <cell r="K588">
            <v>4000</v>
          </cell>
          <cell r="L588">
            <v>1.6214999999999999</v>
          </cell>
          <cell r="M588" t="str">
            <v>Gramos</v>
          </cell>
        </row>
        <row r="589">
          <cell r="A589" t="str">
            <v>11400032</v>
          </cell>
          <cell r="B589">
            <v>5601</v>
          </cell>
          <cell r="C589" t="str">
            <v>LECHE CONDENSADA NEST CHILE  (PAQ:4.5 K)</v>
          </cell>
          <cell r="D589" t="str">
            <v>11400032</v>
          </cell>
          <cell r="E589" t="str">
            <v>MATERIAS PRIMAS PLANTA</v>
          </cell>
          <cell r="F589" t="str">
            <v>1 PAQUETE</v>
          </cell>
          <cell r="G589">
            <v>500</v>
          </cell>
          <cell r="H589" t="str">
            <v>12/06/2020</v>
          </cell>
          <cell r="I589">
            <v>9273</v>
          </cell>
          <cell r="J589">
            <v>24276714</v>
          </cell>
          <cell r="K589">
            <v>4500</v>
          </cell>
          <cell r="L589">
            <v>1.7515666666666665</v>
          </cell>
          <cell r="M589" t="str">
            <v>Gramos</v>
          </cell>
        </row>
        <row r="590">
          <cell r="A590" t="str">
            <v>11400036</v>
          </cell>
          <cell r="B590">
            <v>5616</v>
          </cell>
          <cell r="C590" t="str">
            <v>QUESO FETTA (PAQ:200g)</v>
          </cell>
          <cell r="D590" t="str">
            <v>11400036</v>
          </cell>
          <cell r="E590" t="str">
            <v>MATERIAS PRIMAS PLANTA</v>
          </cell>
          <cell r="F590" t="str">
            <v>1 PAQUETE</v>
          </cell>
          <cell r="G590">
            <v>500</v>
          </cell>
          <cell r="H590" t="str">
            <v>12/06/2020</v>
          </cell>
          <cell r="I590">
            <v>2940.49</v>
          </cell>
          <cell r="J590">
            <v>1514352.35</v>
          </cell>
          <cell r="K590">
            <v>200</v>
          </cell>
          <cell r="L590">
            <v>14.702449999999999</v>
          </cell>
          <cell r="M590" t="str">
            <v>Gramos</v>
          </cell>
        </row>
        <row r="591">
          <cell r="A591" t="str">
            <v>11400038</v>
          </cell>
          <cell r="B591">
            <v>5619</v>
          </cell>
          <cell r="C591" t="str">
            <v>LECHE COND COCINADA (CAJA:18.96 K)</v>
          </cell>
          <cell r="D591" t="str">
            <v>11400038</v>
          </cell>
          <cell r="E591" t="str">
            <v>MATERIAS PRIMAS PLANTA</v>
          </cell>
          <cell r="F591" t="str">
            <v>1 CAJA</v>
          </cell>
          <cell r="G591">
            <v>500</v>
          </cell>
          <cell r="H591" t="str">
            <v>15/06/2020</v>
          </cell>
          <cell r="I591">
            <v>43392</v>
          </cell>
          <cell r="J591">
            <v>139062184</v>
          </cell>
          <cell r="K591">
            <v>18960</v>
          </cell>
          <cell r="L591">
            <v>2.2886075949367091</v>
          </cell>
          <cell r="M591" t="str">
            <v>Gramos</v>
          </cell>
        </row>
        <row r="592">
          <cell r="A592" t="str">
            <v>11400040</v>
          </cell>
          <cell r="B592">
            <v>11364</v>
          </cell>
          <cell r="C592" t="str">
            <v>YOGURT BATIDO NATURAL (UND:1 K)</v>
          </cell>
          <cell r="D592" t="str">
            <v>11400040</v>
          </cell>
          <cell r="E592" t="str">
            <v>MATERIAS PRIMAS PLANTA</v>
          </cell>
          <cell r="F592" t="str">
            <v>1 UND</v>
          </cell>
          <cell r="G592">
            <v>500</v>
          </cell>
          <cell r="H592" t="str">
            <v>03/06/2020</v>
          </cell>
          <cell r="I592">
            <v>1750</v>
          </cell>
          <cell r="J592">
            <v>2600500</v>
          </cell>
          <cell r="K592">
            <v>1000</v>
          </cell>
          <cell r="L592">
            <v>1.75</v>
          </cell>
          <cell r="M592" t="str">
            <v>Gramos</v>
          </cell>
        </row>
        <row r="593">
          <cell r="A593" t="str">
            <v>11400045</v>
          </cell>
          <cell r="B593">
            <v>12901</v>
          </cell>
          <cell r="C593" t="str">
            <v>QUESO RALLADO RICO DOS PINO SP (PAQ:2 K)</v>
          </cell>
          <cell r="D593" t="str">
            <v>11400045</v>
          </cell>
          <cell r="E593" t="str">
            <v>MATERIAS PRIMAS PLANTA</v>
          </cell>
          <cell r="F593" t="str">
            <v>1 PAQUETE</v>
          </cell>
          <cell r="G593">
            <v>500</v>
          </cell>
          <cell r="H593" t="str">
            <v>15/06/2020</v>
          </cell>
          <cell r="I593">
            <v>6825.41</v>
          </cell>
          <cell r="J593">
            <v>5919593.6299999999</v>
          </cell>
          <cell r="K593">
            <v>2000</v>
          </cell>
          <cell r="L593">
            <v>3.4127049999999999</v>
          </cell>
          <cell r="M593" t="str">
            <v>Gramos</v>
          </cell>
        </row>
        <row r="594">
          <cell r="A594" t="str">
            <v>11400046</v>
          </cell>
          <cell r="B594">
            <v>14097</v>
          </cell>
          <cell r="C594" t="str">
            <v>LECHE CONDENSADA (PAQ:11 K)</v>
          </cell>
          <cell r="D594" t="str">
            <v>11400046</v>
          </cell>
          <cell r="E594" t="str">
            <v>MATERIAS PRIMAS PLANTA</v>
          </cell>
          <cell r="F594" t="str">
            <v>1 PAQUETE</v>
          </cell>
          <cell r="G594">
            <v>500</v>
          </cell>
          <cell r="H594" t="str">
            <v>15/06/2020</v>
          </cell>
          <cell r="I594">
            <v>21499</v>
          </cell>
          <cell r="J594">
            <v>78277859</v>
          </cell>
          <cell r="K594">
            <v>11000</v>
          </cell>
          <cell r="L594">
            <v>1.6612863636363635</v>
          </cell>
          <cell r="M594" t="str">
            <v>Gramos</v>
          </cell>
        </row>
        <row r="595">
          <cell r="A595" t="str">
            <v>11400047</v>
          </cell>
          <cell r="B595">
            <v>14289</v>
          </cell>
          <cell r="C595" t="str">
            <v>LECHE 2% PASTEURIZADA (UND)</v>
          </cell>
          <cell r="D595" t="str">
            <v>11400047</v>
          </cell>
          <cell r="E595" t="str">
            <v>MATERIAS PRIMAS PLANTA</v>
          </cell>
          <cell r="F595" t="str">
            <v>1 UND</v>
          </cell>
          <cell r="G595">
            <v>500</v>
          </cell>
          <cell r="H595" t="str">
            <v>15/06/2020</v>
          </cell>
          <cell r="I595">
            <v>2071.92</v>
          </cell>
          <cell r="J595">
            <v>11352679.880000001</v>
          </cell>
          <cell r="K595">
            <v>3785</v>
          </cell>
          <cell r="L595">
            <v>0.54740290620871868</v>
          </cell>
          <cell r="M595" t="str">
            <v>Mililitros</v>
          </cell>
        </row>
        <row r="596">
          <cell r="A596" t="str">
            <v>11400048</v>
          </cell>
          <cell r="B596">
            <v>14290</v>
          </cell>
          <cell r="C596" t="str">
            <v>QUESO AMERI CHEESE NESTLE (PAQ:52 UND)</v>
          </cell>
          <cell r="D596" t="str">
            <v>11400048</v>
          </cell>
          <cell r="E596" t="str">
            <v>MATERIAS PRIMAS PLANTA</v>
          </cell>
          <cell r="F596" t="str">
            <v>1 PAQUETE</v>
          </cell>
          <cell r="G596">
            <v>500</v>
          </cell>
          <cell r="H596" t="str">
            <v>28/05/2020</v>
          </cell>
          <cell r="I596">
            <v>3563</v>
          </cell>
          <cell r="J596">
            <v>274351</v>
          </cell>
          <cell r="K596">
            <v>52</v>
          </cell>
          <cell r="L596">
            <v>68.519230769230774</v>
          </cell>
          <cell r="M596" t="str">
            <v>Gramos</v>
          </cell>
        </row>
        <row r="597">
          <cell r="A597" t="str">
            <v>11400051</v>
          </cell>
          <cell r="B597">
            <v>15513</v>
          </cell>
          <cell r="C597" t="str">
            <v>CREMA PRESTIGE GRAND (UND:1 K)</v>
          </cell>
          <cell r="D597" t="str">
            <v>11400051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12/06/2020</v>
          </cell>
          <cell r="I597">
            <v>1905.25</v>
          </cell>
          <cell r="J597">
            <v>547614</v>
          </cell>
          <cell r="K597">
            <v>1000</v>
          </cell>
          <cell r="L597">
            <v>1.9052500000000001</v>
          </cell>
          <cell r="M597" t="str">
            <v>Gramos</v>
          </cell>
        </row>
        <row r="598">
          <cell r="A598" t="str">
            <v>11400053</v>
          </cell>
          <cell r="B598">
            <v>15608</v>
          </cell>
          <cell r="C598" t="str">
            <v>SALSA QUESO CHEDDAR SYSCO (UND:3.03 K)</v>
          </cell>
          <cell r="D598" t="str">
            <v>11400053</v>
          </cell>
          <cell r="E598" t="str">
            <v>MATERIAS PRIMAS PLANTA</v>
          </cell>
          <cell r="F598" t="str">
            <v>1 UND</v>
          </cell>
          <cell r="G598">
            <v>500</v>
          </cell>
          <cell r="H598" t="str">
            <v>06/03/2020</v>
          </cell>
          <cell r="I598">
            <v>2730</v>
          </cell>
          <cell r="J598">
            <v>141960</v>
          </cell>
          <cell r="K598">
            <v>3030</v>
          </cell>
          <cell r="L598">
            <v>0.90099009900990101</v>
          </cell>
        </row>
        <row r="599">
          <cell r="A599" t="str">
            <v>11400054</v>
          </cell>
          <cell r="B599">
            <v>15634</v>
          </cell>
          <cell r="C599" t="str">
            <v>QUESO BOCCOCINI (PAQ:250 G)</v>
          </cell>
          <cell r="D599" t="str">
            <v>11400054</v>
          </cell>
          <cell r="E599" t="str">
            <v>MATERIAS PRIMAS PLANTA</v>
          </cell>
          <cell r="F599" t="str">
            <v>1 PAQUETE</v>
          </cell>
          <cell r="G599">
            <v>500</v>
          </cell>
          <cell r="H599" t="str">
            <v>14/05/2020</v>
          </cell>
          <cell r="I599">
            <v>11.672000000000001</v>
          </cell>
          <cell r="J599">
            <v>917390</v>
          </cell>
          <cell r="K599">
            <v>250</v>
          </cell>
          <cell r="L599">
            <v>4.6688E-2</v>
          </cell>
        </row>
        <row r="600">
          <cell r="A600" t="str">
            <v>11400057</v>
          </cell>
          <cell r="B600">
            <v>16027</v>
          </cell>
          <cell r="C600" t="str">
            <v>MARGARINA INDUSTRIAL OLMECA (CAJA:25 K)</v>
          </cell>
          <cell r="D600" t="str">
            <v>11400057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19/05/2020</v>
          </cell>
          <cell r="I600">
            <v>26514</v>
          </cell>
          <cell r="J600">
            <v>6886797</v>
          </cell>
          <cell r="K600">
            <v>25000</v>
          </cell>
          <cell r="L600">
            <v>1.0605599999999999</v>
          </cell>
        </row>
        <row r="601">
          <cell r="A601" t="str">
            <v>11400058</v>
          </cell>
          <cell r="B601">
            <v>16285</v>
          </cell>
          <cell r="C601" t="str">
            <v xml:space="preserve">QUESO RICOTTA (PAQ:500 GR) </v>
          </cell>
          <cell r="D601" t="str">
            <v>11400058</v>
          </cell>
          <cell r="E601" t="str">
            <v>MATERIAS PRIMAS PLANTA</v>
          </cell>
          <cell r="F601" t="str">
            <v>1 PAQUETE</v>
          </cell>
          <cell r="G601">
            <v>500</v>
          </cell>
          <cell r="H601" t="str">
            <v>02/03/2020</v>
          </cell>
          <cell r="I601">
            <v>2690.1</v>
          </cell>
          <cell r="J601">
            <v>43041.599999999999</v>
          </cell>
          <cell r="K601">
            <v>500</v>
          </cell>
          <cell r="L601">
            <v>5.3801999999999994</v>
          </cell>
          <cell r="M601" t="str">
            <v>Gramos</v>
          </cell>
        </row>
        <row r="602">
          <cell r="A602" t="str">
            <v>11700002</v>
          </cell>
          <cell r="B602">
            <v>8031</v>
          </cell>
          <cell r="C602" t="str">
            <v>DULCE LECHE LA CIABATA (UND:5 K )</v>
          </cell>
          <cell r="D602" t="str">
            <v>11700002</v>
          </cell>
          <cell r="E602" t="str">
            <v>MATERIAS PRIMAS PLANTA</v>
          </cell>
          <cell r="F602" t="str">
            <v>1 UND</v>
          </cell>
          <cell r="G602">
            <v>500</v>
          </cell>
          <cell r="H602" t="str">
            <v>13/06/2020</v>
          </cell>
          <cell r="I602">
            <v>6925</v>
          </cell>
          <cell r="J602">
            <v>3317075</v>
          </cell>
          <cell r="K602">
            <v>5000</v>
          </cell>
          <cell r="L602">
            <v>1.385</v>
          </cell>
          <cell r="M602" t="str">
            <v>Gramos</v>
          </cell>
        </row>
        <row r="603">
          <cell r="A603" t="str">
            <v>11800012</v>
          </cell>
          <cell r="B603">
            <v>14247</v>
          </cell>
          <cell r="C603" t="str">
            <v>SABORIZANTE NARANJA A-0191 KILO</v>
          </cell>
          <cell r="D603" t="str">
            <v>11800012</v>
          </cell>
          <cell r="E603" t="str">
            <v>MATERIAS PRIMAS PLANTA</v>
          </cell>
          <cell r="F603" t="str">
            <v xml:space="preserve">1 KILO   </v>
          </cell>
          <cell r="G603">
            <v>500</v>
          </cell>
          <cell r="H603" t="str">
            <v>30/03/2020</v>
          </cell>
          <cell r="I603">
            <v>19672.8</v>
          </cell>
          <cell r="J603">
            <v>33022.788999999997</v>
          </cell>
          <cell r="K603">
            <v>1000</v>
          </cell>
          <cell r="L603">
            <v>19.672799999999999</v>
          </cell>
          <cell r="M603" t="str">
            <v>Gramos</v>
          </cell>
        </row>
        <row r="604">
          <cell r="A604" t="str">
            <v>11900001</v>
          </cell>
          <cell r="B604">
            <v>9601</v>
          </cell>
          <cell r="C604" t="str">
            <v>NUEZ PECANA QUEBRADURA (CAJA:10 Kg)</v>
          </cell>
          <cell r="D604" t="str">
            <v>11900001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08/06/2020</v>
          </cell>
          <cell r="I604">
            <v>99087.9</v>
          </cell>
          <cell r="J604">
            <v>6504425.5999999996</v>
          </cell>
          <cell r="K604">
            <v>10000</v>
          </cell>
          <cell r="L604">
            <v>9.9087899999999998</v>
          </cell>
          <cell r="M604" t="str">
            <v>Gramos</v>
          </cell>
        </row>
        <row r="605">
          <cell r="A605" t="str">
            <v>11900010</v>
          </cell>
          <cell r="B605">
            <v>11431</v>
          </cell>
          <cell r="C605" t="str">
            <v>NUEZ PECANA PICADA (CAJA:13.6KG)</v>
          </cell>
          <cell r="D605" t="str">
            <v>11900010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05/05/2020</v>
          </cell>
          <cell r="I605">
            <v>132343.50399999999</v>
          </cell>
          <cell r="J605">
            <v>132343.50399999999</v>
          </cell>
          <cell r="K605">
            <v>13600</v>
          </cell>
          <cell r="L605">
            <v>9.7311399999999981</v>
          </cell>
          <cell r="M605" t="str">
            <v>Gramos</v>
          </cell>
        </row>
        <row r="606">
          <cell r="A606" t="str">
            <v>11900016</v>
          </cell>
          <cell r="B606">
            <v>15551</v>
          </cell>
          <cell r="C606" t="str">
            <v>AJONJOLI NEGRO (UND:454 G)</v>
          </cell>
          <cell r="D606" t="str">
            <v>11900016</v>
          </cell>
          <cell r="E606" t="str">
            <v>MATERIAS PRIMAS PLANTA</v>
          </cell>
          <cell r="F606" t="str">
            <v>1 UND</v>
          </cell>
          <cell r="G606">
            <v>500</v>
          </cell>
          <cell r="H606" t="str">
            <v>15/06/2020</v>
          </cell>
          <cell r="I606">
            <v>2701</v>
          </cell>
          <cell r="J606">
            <v>64249</v>
          </cell>
          <cell r="K606">
            <v>454</v>
          </cell>
          <cell r="L606">
            <v>5.9493392070484585</v>
          </cell>
          <cell r="M606" t="str">
            <v>Gramos</v>
          </cell>
        </row>
        <row r="607">
          <cell r="A607" t="str">
            <v>12000003</v>
          </cell>
          <cell r="B607">
            <v>9618</v>
          </cell>
          <cell r="C607" t="str">
            <v>CREMA VERSATIE (UND: L)</v>
          </cell>
          <cell r="D607" t="str">
            <v>12000003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1992</v>
          </cell>
          <cell r="J607">
            <v>18113920</v>
          </cell>
          <cell r="K607">
            <v>1000</v>
          </cell>
          <cell r="L607">
            <v>1.992</v>
          </cell>
          <cell r="M607" t="str">
            <v>Mililitros</v>
          </cell>
        </row>
        <row r="608">
          <cell r="A608" t="str">
            <v>12100006</v>
          </cell>
          <cell r="B608">
            <v>8134</v>
          </cell>
          <cell r="C608" t="str">
            <v>CHOCOLATE GUAYABITA (PAQ=36 UND)</v>
          </cell>
          <cell r="D608" t="str">
            <v>12100006</v>
          </cell>
          <cell r="E608" t="str">
            <v>MATERIAS PRIMAS PLANTA</v>
          </cell>
          <cell r="F608" t="str">
            <v>1 PAQ</v>
          </cell>
          <cell r="G608">
            <v>500</v>
          </cell>
          <cell r="H608" t="str">
            <v>30/03/2020</v>
          </cell>
          <cell r="I608">
            <v>1782</v>
          </cell>
          <cell r="J608">
            <v>1131570</v>
          </cell>
          <cell r="L608" t="e">
            <v>#DIV/0!</v>
          </cell>
        </row>
        <row r="609">
          <cell r="A609" t="str">
            <v>12300004</v>
          </cell>
          <cell r="B609">
            <v>12690</v>
          </cell>
          <cell r="C609" t="str">
            <v>PURE PAPA KFC 24/22.05OZ (CAJA)</v>
          </cell>
          <cell r="D609" t="str">
            <v>12300004</v>
          </cell>
          <cell r="E609" t="str">
            <v>MATERIAS PRIMAS PLANTA</v>
          </cell>
          <cell r="F609" t="str">
            <v>1 CAJA</v>
          </cell>
          <cell r="G609">
            <v>500</v>
          </cell>
          <cell r="H609" t="str">
            <v>02/06/2020</v>
          </cell>
          <cell r="I609">
            <v>24081</v>
          </cell>
          <cell r="J609">
            <v>287388</v>
          </cell>
          <cell r="K609">
            <v>160</v>
          </cell>
          <cell r="L609" t="e">
            <v>#DIV/0!</v>
          </cell>
        </row>
        <row r="610">
          <cell r="A610" t="str">
            <v>12300005</v>
          </cell>
          <cell r="B610">
            <v>5280</v>
          </cell>
          <cell r="C610" t="str">
            <v>SALSA AJI AMARILLO (UND:160 ML)</v>
          </cell>
          <cell r="D610" t="str">
            <v>12300005</v>
          </cell>
          <cell r="E610" t="str">
            <v>MATERIAS PRIMAS PLANTA</v>
          </cell>
          <cell r="F610" t="str">
            <v>1 UND</v>
          </cell>
          <cell r="G610">
            <v>500</v>
          </cell>
          <cell r="H610" t="str">
            <v>18/05/2020</v>
          </cell>
          <cell r="I610">
            <v>1</v>
          </cell>
          <cell r="J610">
            <v>108016.1</v>
          </cell>
          <cell r="K610">
            <v>160</v>
          </cell>
          <cell r="L610">
            <v>6.2500000000000003E-3</v>
          </cell>
        </row>
        <row r="611">
          <cell r="A611" t="str">
            <v>19508791</v>
          </cell>
          <cell r="B611">
            <v>12759</v>
          </cell>
          <cell r="C611" t="str">
            <v>BANDEJA PLAST 3 DIV (CAJA:250 UND)</v>
          </cell>
          <cell r="D611" t="str">
            <v>19508791</v>
          </cell>
          <cell r="E611" t="str">
            <v>EMPAQUES PLANTA</v>
          </cell>
          <cell r="F611" t="str">
            <v>1 CAJA</v>
          </cell>
          <cell r="G611">
            <v>500</v>
          </cell>
          <cell r="H611" t="str">
            <v>03/06/2020</v>
          </cell>
          <cell r="I611">
            <v>29105</v>
          </cell>
          <cell r="J611">
            <v>289872</v>
          </cell>
          <cell r="K611">
            <v>250</v>
          </cell>
          <cell r="L611">
            <v>116.42</v>
          </cell>
        </row>
        <row r="612">
          <cell r="A612" t="str">
            <v>20200036</v>
          </cell>
          <cell r="B612">
            <v>12480</v>
          </cell>
          <cell r="C612" t="str">
            <v>GALLETA PARA DECORAR MENU INFANTIL</v>
          </cell>
          <cell r="D612" t="str">
            <v>20200036</v>
          </cell>
          <cell r="E612" t="str">
            <v>MATERIAS PRIMAS PLANTA</v>
          </cell>
          <cell r="F612" t="str">
            <v>1 UND</v>
          </cell>
          <cell r="G612">
            <v>500</v>
          </cell>
          <cell r="H612" t="str">
            <v>15/06/2020</v>
          </cell>
          <cell r="I612">
            <v>625</v>
          </cell>
          <cell r="J612">
            <v>4748125</v>
          </cell>
          <cell r="K612">
            <v>1</v>
          </cell>
          <cell r="L612" t="e">
            <v>#DIV/0!</v>
          </cell>
        </row>
        <row r="613">
          <cell r="A613" t="str">
            <v>20300005</v>
          </cell>
          <cell r="B613">
            <v>11503</v>
          </cell>
          <cell r="C613" t="str">
            <v>CUP CAKE FONDANT  (UND)</v>
          </cell>
          <cell r="D613" t="str">
            <v>20300005</v>
          </cell>
          <cell r="E613" t="str">
            <v>MATERIAS PRIMAS PLANTA</v>
          </cell>
          <cell r="F613" t="str">
            <v>1 UND</v>
          </cell>
          <cell r="G613">
            <v>500</v>
          </cell>
          <cell r="H613" t="str">
            <v>13/06/2020</v>
          </cell>
          <cell r="I613">
            <v>1</v>
          </cell>
          <cell r="J613">
            <v>860715</v>
          </cell>
          <cell r="K613">
            <v>1</v>
          </cell>
          <cell r="L613">
            <v>1</v>
          </cell>
        </row>
        <row r="614">
          <cell r="A614" t="str">
            <v>20300007</v>
          </cell>
          <cell r="B614">
            <v>12615</v>
          </cell>
          <cell r="C614" t="str">
            <v>CUCHARA CHOCOLATE BELGA (CAJA:20 UND)</v>
          </cell>
          <cell r="D614" t="str">
            <v>20300007</v>
          </cell>
          <cell r="E614" t="str">
            <v>MATERIAS PRIMAS PLANTA</v>
          </cell>
          <cell r="F614" t="str">
            <v>1 CAJA</v>
          </cell>
          <cell r="G614">
            <v>500</v>
          </cell>
          <cell r="H614" t="str">
            <v>12/06/2020</v>
          </cell>
          <cell r="I614">
            <v>13000</v>
          </cell>
          <cell r="J614">
            <v>715000</v>
          </cell>
          <cell r="K614">
            <v>20</v>
          </cell>
          <cell r="L614">
            <v>650</v>
          </cell>
        </row>
        <row r="615">
          <cell r="A615" t="str">
            <v>20300008</v>
          </cell>
          <cell r="B615">
            <v>12481</v>
          </cell>
          <cell r="C615" t="str">
            <v>GALLETA DE FIGURA BOLSA</v>
          </cell>
          <cell r="D615" t="str">
            <v>20300008</v>
          </cell>
          <cell r="E615" t="str">
            <v>MATERIAS PRIMAS PLANTA</v>
          </cell>
          <cell r="F615" t="str">
            <v>1 UND</v>
          </cell>
          <cell r="G615">
            <v>500</v>
          </cell>
          <cell r="H615" t="str">
            <v>13/06/2020</v>
          </cell>
          <cell r="I615">
            <v>1</v>
          </cell>
          <cell r="J615">
            <v>1606060.5</v>
          </cell>
          <cell r="K615">
            <v>100</v>
          </cell>
          <cell r="L615" t="e">
            <v>#DIV/0!</v>
          </cell>
        </row>
        <row r="616">
          <cell r="A616" t="str">
            <v>20400022</v>
          </cell>
          <cell r="B616">
            <v>11409</v>
          </cell>
          <cell r="C616" t="str">
            <v>CAJETA GRANDE (CAJA:6 UND)</v>
          </cell>
          <cell r="D616" t="str">
            <v>20400022</v>
          </cell>
          <cell r="E616" t="str">
            <v>MATERIAS PRIMAS PLANTA</v>
          </cell>
          <cell r="F616" t="str">
            <v>1 CAJA</v>
          </cell>
          <cell r="G616">
            <v>500</v>
          </cell>
          <cell r="H616" t="str">
            <v>16/06/2020</v>
          </cell>
          <cell r="I616">
            <v>1830</v>
          </cell>
          <cell r="J616">
            <v>9483060</v>
          </cell>
          <cell r="K616">
            <v>225</v>
          </cell>
          <cell r="L616" t="e">
            <v>#DIV/0!</v>
          </cell>
        </row>
        <row r="617">
          <cell r="A617" t="str">
            <v>20400051</v>
          </cell>
          <cell r="B617">
            <v>13081</v>
          </cell>
          <cell r="C617" t="str">
            <v>CROCANTE DE NUEZ (CAJA:6 UND)</v>
          </cell>
          <cell r="D617" t="str">
            <v>20400051</v>
          </cell>
          <cell r="E617" t="str">
            <v>MATERIAS PRIMAS PLANTA</v>
          </cell>
          <cell r="F617" t="str">
            <v>1 CAJA</v>
          </cell>
          <cell r="G617">
            <v>500</v>
          </cell>
          <cell r="H617" t="str">
            <v>15/06/2020</v>
          </cell>
          <cell r="I617">
            <v>3510</v>
          </cell>
          <cell r="J617">
            <v>7371360</v>
          </cell>
          <cell r="K617">
            <v>1000</v>
          </cell>
          <cell r="L617" t="e">
            <v>#DIV/0!</v>
          </cell>
        </row>
        <row r="618">
          <cell r="A618" t="str">
            <v>20400118</v>
          </cell>
          <cell r="B618">
            <v>16622</v>
          </cell>
          <cell r="C618" t="str">
            <v>EMPANIZADOR DE POLLO (PAQ:KILO) COMEDOR</v>
          </cell>
          <cell r="D618" t="str">
            <v>20400118</v>
          </cell>
          <cell r="E618" t="str">
            <v>MATERIAS PRIMAS PLANTA</v>
          </cell>
          <cell r="F618" t="str">
            <v>1 PAQUETE</v>
          </cell>
          <cell r="G618">
            <v>500</v>
          </cell>
          <cell r="H618" t="str">
            <v>05/06/2020</v>
          </cell>
          <cell r="I618">
            <v>1905</v>
          </cell>
          <cell r="J618">
            <v>5715</v>
          </cell>
          <cell r="K618">
            <v>1000</v>
          </cell>
          <cell r="L618">
            <v>1.905</v>
          </cell>
        </row>
        <row r="619">
          <cell r="A619" t="str">
            <v>20400120</v>
          </cell>
          <cell r="B619">
            <v>16632</v>
          </cell>
          <cell r="C619" t="str">
            <v>CHOCO SNICKERS ALMENDRA (CJ:24 Paq)COMED</v>
          </cell>
          <cell r="D619" t="str">
            <v>20400120</v>
          </cell>
          <cell r="E619" t="str">
            <v>MATERIAS PRIMAS PLANTA</v>
          </cell>
          <cell r="F619" t="str">
            <v>1 CAJA</v>
          </cell>
          <cell r="G619">
            <v>500</v>
          </cell>
          <cell r="H619" t="str">
            <v>05/06/2020</v>
          </cell>
          <cell r="I619">
            <v>22567</v>
          </cell>
          <cell r="J619">
            <v>22567</v>
          </cell>
          <cell r="K619">
            <v>500</v>
          </cell>
          <cell r="L619" t="e">
            <v>#DIV/0!</v>
          </cell>
        </row>
        <row r="620">
          <cell r="A620" t="str">
            <v>20400121</v>
          </cell>
          <cell r="B620">
            <v>16633</v>
          </cell>
          <cell r="C620" t="str">
            <v>CHOCOLATE SNICKERS (CAJA:48 PAQ) COMEDOR</v>
          </cell>
          <cell r="D620" t="str">
            <v>20400121</v>
          </cell>
          <cell r="E620" t="str">
            <v>MATERIAS PRIMAS PLANTA</v>
          </cell>
          <cell r="F620" t="str">
            <v>1 CAJA</v>
          </cell>
          <cell r="G620">
            <v>500</v>
          </cell>
          <cell r="H620" t="str">
            <v>05/06/2020</v>
          </cell>
          <cell r="I620">
            <v>11216</v>
          </cell>
          <cell r="J620">
            <v>11216</v>
          </cell>
          <cell r="K620">
            <v>500</v>
          </cell>
          <cell r="L620" t="e">
            <v>#DIV/0!</v>
          </cell>
        </row>
        <row r="621">
          <cell r="A621" t="str">
            <v>20400122</v>
          </cell>
          <cell r="B621">
            <v>16634</v>
          </cell>
          <cell r="C621" t="str">
            <v>CHOCOLATE M&amp;M ( CAJA:36 PAQ ) COMEDOR</v>
          </cell>
          <cell r="D621" t="str">
            <v>20400122</v>
          </cell>
          <cell r="E621" t="str">
            <v>MATERIAS PRIMAS PLANTA</v>
          </cell>
          <cell r="F621" t="str">
            <v>1 CAJA</v>
          </cell>
          <cell r="G621">
            <v>500</v>
          </cell>
          <cell r="H621" t="str">
            <v>05/06/2020</v>
          </cell>
          <cell r="I621">
            <v>15322</v>
          </cell>
          <cell r="J621">
            <v>15322</v>
          </cell>
          <cell r="K621">
            <v>500</v>
          </cell>
          <cell r="L621" t="e">
            <v>#DIV/0!</v>
          </cell>
          <cell r="M621" t="str">
            <v>Und</v>
          </cell>
        </row>
        <row r="622">
          <cell r="A622" t="str">
            <v>20400123</v>
          </cell>
          <cell r="B622">
            <v>16635</v>
          </cell>
          <cell r="C622" t="str">
            <v>CHOCOLATE M&amp;M PEANUT (CJ:48 PAQ ) COMEDO</v>
          </cell>
          <cell r="D622" t="str">
            <v>20400123</v>
          </cell>
          <cell r="E622" t="str">
            <v>MATERIAS PRIMAS PLANTA</v>
          </cell>
          <cell r="F622" t="str">
            <v>1 CAJA</v>
          </cell>
          <cell r="G622">
            <v>500</v>
          </cell>
          <cell r="H622" t="str">
            <v>05/06/2020</v>
          </cell>
          <cell r="I622">
            <v>22567</v>
          </cell>
          <cell r="J622">
            <v>22567</v>
          </cell>
          <cell r="K622">
            <v>600</v>
          </cell>
          <cell r="L622" t="e">
            <v>#DIV/0!</v>
          </cell>
          <cell r="M622" t="str">
            <v>Und</v>
          </cell>
        </row>
        <row r="623">
          <cell r="A623" t="str">
            <v>20400124</v>
          </cell>
          <cell r="B623">
            <v>16636</v>
          </cell>
          <cell r="C623" t="str">
            <v>MAYONESA ( UNIDAD ) COMEDOR</v>
          </cell>
          <cell r="D623" t="str">
            <v>20400124</v>
          </cell>
          <cell r="E623" t="str">
            <v>MATERIAS PRIMAS PLANTA</v>
          </cell>
          <cell r="F623" t="str">
            <v>1 UND</v>
          </cell>
          <cell r="G623">
            <v>500</v>
          </cell>
          <cell r="H623" t="str">
            <v>15/06/2020</v>
          </cell>
          <cell r="I623">
            <v>8074</v>
          </cell>
          <cell r="J623">
            <v>72666</v>
          </cell>
          <cell r="K623">
            <v>600</v>
          </cell>
          <cell r="L623" t="e">
            <v>#DIV/0!</v>
          </cell>
          <cell r="M623" t="str">
            <v>Und</v>
          </cell>
        </row>
        <row r="624">
          <cell r="A624" t="str">
            <v>20400125</v>
          </cell>
          <cell r="B624">
            <v>16637</v>
          </cell>
          <cell r="C624" t="str">
            <v>CHILERA ( UNIDAD ) COMEDOR</v>
          </cell>
          <cell r="D624" t="str">
            <v>20400125</v>
          </cell>
          <cell r="E624" t="str">
            <v>MATERIAS PRIMAS PLANTA</v>
          </cell>
          <cell r="F624" t="str">
            <v>1 UND</v>
          </cell>
          <cell r="G624">
            <v>500</v>
          </cell>
          <cell r="H624" t="str">
            <v>15/06/2020</v>
          </cell>
          <cell r="I624">
            <v>2586</v>
          </cell>
          <cell r="J624">
            <v>5172</v>
          </cell>
          <cell r="K624">
            <v>24</v>
          </cell>
          <cell r="L624" t="e">
            <v>#DIV/0!</v>
          </cell>
          <cell r="M624" t="str">
            <v>Und</v>
          </cell>
        </row>
        <row r="625">
          <cell r="A625" t="str">
            <v>20400134</v>
          </cell>
          <cell r="B625">
            <v>16646</v>
          </cell>
          <cell r="C625" t="str">
            <v>PLATANO VERDE LIMON PRO (PAQ:24 UND)COME</v>
          </cell>
          <cell r="D625" t="str">
            <v>20400134</v>
          </cell>
          <cell r="E625" t="str">
            <v>MATERIAS PRIMAS PLANTA</v>
          </cell>
          <cell r="F625" t="str">
            <v>1 PAQUETE</v>
          </cell>
          <cell r="G625">
            <v>500</v>
          </cell>
          <cell r="H625" t="str">
            <v>09/06/2020</v>
          </cell>
          <cell r="I625">
            <v>11525</v>
          </cell>
          <cell r="J625">
            <v>11525</v>
          </cell>
          <cell r="K625">
            <v>24</v>
          </cell>
          <cell r="L625">
            <v>480.20833333333331</v>
          </cell>
          <cell r="M625" t="str">
            <v>Und</v>
          </cell>
        </row>
        <row r="626">
          <cell r="A626" t="str">
            <v>20400135</v>
          </cell>
          <cell r="B626">
            <v>16647</v>
          </cell>
          <cell r="C626" t="str">
            <v>PLATANO MADURO NAT PRO (PAQ:24 UND)COMED</v>
          </cell>
          <cell r="D626" t="str">
            <v>20400135</v>
          </cell>
          <cell r="E626" t="str">
            <v>MATERIAS PRIMAS PLANTA</v>
          </cell>
          <cell r="F626" t="str">
            <v>1 PAQUETE</v>
          </cell>
          <cell r="G626">
            <v>500</v>
          </cell>
          <cell r="H626" t="str">
            <v>05/06/2020</v>
          </cell>
          <cell r="I626">
            <v>11906</v>
          </cell>
          <cell r="J626">
            <v>11906</v>
          </cell>
          <cell r="K626">
            <v>24</v>
          </cell>
          <cell r="L626">
            <v>496.08333333333331</v>
          </cell>
          <cell r="M626"/>
        </row>
        <row r="627">
          <cell r="A627" t="str">
            <v>20400136</v>
          </cell>
          <cell r="B627">
            <v>16648</v>
          </cell>
          <cell r="C627" t="str">
            <v>YUCA CREMA Y CEBOLLA (PAQ:24 UND)COMEDOR</v>
          </cell>
          <cell r="D627" t="str">
            <v>20400136</v>
          </cell>
          <cell r="E627" t="str">
            <v>MATERIAS PRIMAS PLANTA</v>
          </cell>
          <cell r="F627" t="str">
            <v>1 PAQUETE</v>
          </cell>
          <cell r="G627">
            <v>500</v>
          </cell>
          <cell r="H627" t="str">
            <v>05/06/2020</v>
          </cell>
          <cell r="I627">
            <v>7557</v>
          </cell>
          <cell r="J627">
            <v>7557</v>
          </cell>
          <cell r="K627">
            <v>24</v>
          </cell>
          <cell r="L627">
            <v>314.875</v>
          </cell>
          <cell r="M627" t="str">
            <v>Und</v>
          </cell>
        </row>
        <row r="628">
          <cell r="A628" t="str">
            <v>20400137</v>
          </cell>
          <cell r="B628">
            <v>16649</v>
          </cell>
          <cell r="C628" t="str">
            <v>YUCA CON SAL (PAQ: 24 UND) COMEDOR</v>
          </cell>
          <cell r="D628" t="str">
            <v>20400137</v>
          </cell>
          <cell r="E628" t="str">
            <v>MATERIAS PRIMAS PLANTA</v>
          </cell>
          <cell r="F628" t="str">
            <v>1 PAQUETE</v>
          </cell>
          <cell r="G628">
            <v>500</v>
          </cell>
          <cell r="H628" t="str">
            <v>08/06/2020</v>
          </cell>
          <cell r="I628">
            <v>7557</v>
          </cell>
          <cell r="J628">
            <v>7557</v>
          </cell>
          <cell r="K628">
            <v>24</v>
          </cell>
          <cell r="L628">
            <v>314.875</v>
          </cell>
        </row>
        <row r="629">
          <cell r="A629" t="str">
            <v>50100028</v>
          </cell>
          <cell r="B629">
            <v>15349</v>
          </cell>
          <cell r="C629" t="str">
            <v>BANDEJA ALUM 34*25 108 ONZ 394 (CJ:100)</v>
          </cell>
          <cell r="D629" t="str">
            <v>50100028</v>
          </cell>
          <cell r="E629" t="str">
            <v>EMPAQUES PLANTA</v>
          </cell>
          <cell r="F629" t="str">
            <v>1 CAJA</v>
          </cell>
          <cell r="G629">
            <v>500</v>
          </cell>
          <cell r="H629" t="str">
            <v>30/05/2020</v>
          </cell>
          <cell r="I629">
            <v>35385</v>
          </cell>
          <cell r="J629">
            <v>419131</v>
          </cell>
          <cell r="K629">
            <v>100</v>
          </cell>
          <cell r="L629">
            <v>353.85</v>
          </cell>
        </row>
        <row r="630">
          <cell r="A630" t="str">
            <v>50100031</v>
          </cell>
          <cell r="B630">
            <v>15825</v>
          </cell>
          <cell r="C630" t="str">
            <v>RECIPIENTE DELI DARNEL 24OZ (CAJA:225 U)</v>
          </cell>
          <cell r="D630" t="str">
            <v>50100031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05/05/2020</v>
          </cell>
          <cell r="I630">
            <v>24035</v>
          </cell>
          <cell r="J630">
            <v>48070</v>
          </cell>
          <cell r="K630">
            <v>225</v>
          </cell>
          <cell r="L630">
            <v>106.82222222222222</v>
          </cell>
          <cell r="M630" t="str">
            <v>Und</v>
          </cell>
        </row>
        <row r="631">
          <cell r="A631" t="str">
            <v>50100035</v>
          </cell>
          <cell r="B631">
            <v>15893</v>
          </cell>
          <cell r="C631" t="str">
            <v>TAPA CONT ALUMINIO 16 ONZ (CAJA:500 UND)</v>
          </cell>
          <cell r="D631" t="str">
            <v>50100035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23/03/2020</v>
          </cell>
          <cell r="I631">
            <v>16368.5</v>
          </cell>
          <cell r="J631">
            <v>130948</v>
          </cell>
          <cell r="K631">
            <v>500</v>
          </cell>
          <cell r="L631">
            <v>32.737000000000002</v>
          </cell>
          <cell r="M631" t="str">
            <v>Und</v>
          </cell>
        </row>
        <row r="632">
          <cell r="A632" t="str">
            <v>50100036</v>
          </cell>
          <cell r="B632">
            <v>15894</v>
          </cell>
          <cell r="C632" t="str">
            <v>MOLDE ALUMINIO 16 ONZ (CAJA:500 UND)</v>
          </cell>
          <cell r="D632" t="str">
            <v>50100036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23/03/2020</v>
          </cell>
          <cell r="I632">
            <v>25745</v>
          </cell>
          <cell r="J632">
            <v>180215</v>
          </cell>
          <cell r="K632">
            <v>500</v>
          </cell>
          <cell r="L632">
            <v>51.49</v>
          </cell>
          <cell r="M632" t="str">
            <v>Und</v>
          </cell>
        </row>
        <row r="633">
          <cell r="A633" t="str">
            <v>50100037</v>
          </cell>
          <cell r="B633">
            <v>16462</v>
          </cell>
          <cell r="C633" t="str">
            <v>MOLDE ALUMINIO RED 2058 (CAJA:500 UND)</v>
          </cell>
          <cell r="D633" t="str">
            <v>50100037</v>
          </cell>
          <cell r="E633" t="str">
            <v>EMPAQUES PLANTA</v>
          </cell>
          <cell r="F633" t="str">
            <v>1 CAJA</v>
          </cell>
          <cell r="G633">
            <v>500</v>
          </cell>
          <cell r="H633" t="str">
            <v>13/06/2020</v>
          </cell>
          <cell r="I633">
            <v>1</v>
          </cell>
          <cell r="J633">
            <v>345000</v>
          </cell>
          <cell r="K633">
            <v>500</v>
          </cell>
          <cell r="L633">
            <v>2E-3</v>
          </cell>
          <cell r="M633" t="str">
            <v>Und</v>
          </cell>
        </row>
        <row r="634">
          <cell r="A634" t="str">
            <v>50100038</v>
          </cell>
          <cell r="B634">
            <v>16465</v>
          </cell>
          <cell r="C634" t="str">
            <v>TAPA MOLDE ALUMINIO RED 2058 (CAJA:500u)</v>
          </cell>
          <cell r="D634" t="str">
            <v>50100038</v>
          </cell>
          <cell r="E634" t="str">
            <v>EMPAQUES PLANTA</v>
          </cell>
          <cell r="F634" t="str">
            <v>1 CAJA</v>
          </cell>
          <cell r="G634">
            <v>500</v>
          </cell>
          <cell r="H634" t="str">
            <v>15/06/2020</v>
          </cell>
          <cell r="I634">
            <v>34.65</v>
          </cell>
          <cell r="J634">
            <v>50970.15</v>
          </cell>
          <cell r="K634">
            <v>500</v>
          </cell>
          <cell r="L634">
            <v>6.93E-2</v>
          </cell>
          <cell r="M634" t="str">
            <v>Und</v>
          </cell>
        </row>
        <row r="635">
          <cell r="A635" t="str">
            <v>50100038</v>
          </cell>
          <cell r="B635">
            <v>16464</v>
          </cell>
          <cell r="C635" t="str">
            <v>TAPA MOLDE ALUMINIO RED 2058 (CAJA:500u)</v>
          </cell>
          <cell r="D635" t="str">
            <v>50100038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13/06/2020</v>
          </cell>
          <cell r="I635">
            <v>1</v>
          </cell>
          <cell r="J635">
            <v>157500</v>
          </cell>
          <cell r="K635">
            <v>500</v>
          </cell>
          <cell r="L635">
            <v>2E-3</v>
          </cell>
          <cell r="M635" t="str">
            <v>Und</v>
          </cell>
        </row>
        <row r="636">
          <cell r="A636" t="str">
            <v>50200002</v>
          </cell>
          <cell r="B636">
            <v>16480</v>
          </cell>
          <cell r="C636" t="str">
            <v>BANDEJA ALUMINIO 18X14 (CAJA: 600 UND)</v>
          </cell>
          <cell r="D636" t="str">
            <v>50200002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13/06/2020</v>
          </cell>
          <cell r="I636">
            <v>1</v>
          </cell>
          <cell r="J636">
            <v>102000</v>
          </cell>
          <cell r="K636">
            <v>600</v>
          </cell>
          <cell r="L636">
            <v>1.6666666666666668E-3</v>
          </cell>
          <cell r="M636" t="str">
            <v>Und</v>
          </cell>
        </row>
        <row r="637">
          <cell r="A637" t="str">
            <v>50200003</v>
          </cell>
          <cell r="B637">
            <v>16482</v>
          </cell>
          <cell r="C637" t="str">
            <v>TAPA ALUMINIO 18X14 (CAJA: 600 UND)</v>
          </cell>
          <cell r="D637" t="str">
            <v>50200003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13/06/2020</v>
          </cell>
          <cell r="I637">
            <v>1</v>
          </cell>
          <cell r="J637">
            <v>87600</v>
          </cell>
          <cell r="K637">
            <v>600</v>
          </cell>
          <cell r="L637">
            <v>1.6666666666666668E-3</v>
          </cell>
          <cell r="M637" t="str">
            <v>Und</v>
          </cell>
        </row>
        <row r="638">
          <cell r="A638" t="str">
            <v>50400003</v>
          </cell>
          <cell r="B638">
            <v>11379</v>
          </cell>
          <cell r="C638" t="str">
            <v>CAJA MUSMANNI #2 (UND)</v>
          </cell>
          <cell r="D638" t="str">
            <v>50400003</v>
          </cell>
          <cell r="E638" t="str">
            <v>EMPAQUES PLANTA</v>
          </cell>
          <cell r="F638" t="str">
            <v>1 UND</v>
          </cell>
          <cell r="G638">
            <v>500</v>
          </cell>
          <cell r="H638" t="str">
            <v>10/06/2020</v>
          </cell>
          <cell r="I638">
            <v>195</v>
          </cell>
          <cell r="J638">
            <v>1303185</v>
          </cell>
          <cell r="K638">
            <v>1</v>
          </cell>
          <cell r="L638">
            <v>195</v>
          </cell>
          <cell r="M638" t="str">
            <v>Und</v>
          </cell>
        </row>
        <row r="639">
          <cell r="A639" t="str">
            <v>50400014</v>
          </cell>
          <cell r="B639">
            <v>15527</v>
          </cell>
          <cell r="C639" t="str">
            <v>CAJA PEQUEÑA OFFICE BREAK (CAJA:625 UND)</v>
          </cell>
          <cell r="D639" t="str">
            <v>50400014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15/06/2020</v>
          </cell>
          <cell r="I639">
            <v>40312.5</v>
          </cell>
          <cell r="J639">
            <v>7175625</v>
          </cell>
          <cell r="K639">
            <v>625</v>
          </cell>
          <cell r="L639">
            <v>64.5</v>
          </cell>
        </row>
        <row r="640">
          <cell r="A640" t="str">
            <v>50400015</v>
          </cell>
          <cell r="B640">
            <v>15528</v>
          </cell>
          <cell r="C640" t="str">
            <v>CAJA MEDIANA OFFICE BREAK (CAJA:400 UND)</v>
          </cell>
          <cell r="D640" t="str">
            <v>50400015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15/06/2020</v>
          </cell>
          <cell r="I640">
            <v>31600</v>
          </cell>
          <cell r="J640">
            <v>3349600</v>
          </cell>
          <cell r="K640">
            <v>400</v>
          </cell>
          <cell r="L640">
            <v>79</v>
          </cell>
        </row>
        <row r="641">
          <cell r="A641" t="str">
            <v>50400016</v>
          </cell>
          <cell r="B641">
            <v>15529</v>
          </cell>
          <cell r="C641" t="str">
            <v>CAJA GRANDE OFFICE BREAK (CAJA:280 UND)</v>
          </cell>
          <cell r="D641" t="str">
            <v>50400016</v>
          </cell>
          <cell r="E641" t="str">
            <v>EMPAQUES PLANTA</v>
          </cell>
          <cell r="F641" t="str">
            <v>1 CAJA</v>
          </cell>
          <cell r="G641">
            <v>500</v>
          </cell>
          <cell r="H641" t="str">
            <v>08/05/2020</v>
          </cell>
          <cell r="I641">
            <v>32760</v>
          </cell>
          <cell r="J641">
            <v>2260440</v>
          </cell>
          <cell r="K641">
            <v>280</v>
          </cell>
          <cell r="L641">
            <v>117</v>
          </cell>
          <cell r="M641" t="str">
            <v>Und</v>
          </cell>
        </row>
        <row r="642">
          <cell r="A642" t="str">
            <v>50400017</v>
          </cell>
          <cell r="B642">
            <v>15530</v>
          </cell>
          <cell r="C642" t="str">
            <v>CAJA PORCION OFFICE BREAK (CAJA:950 UND)</v>
          </cell>
          <cell r="D642" t="str">
            <v>50400017</v>
          </cell>
          <cell r="E642" t="str">
            <v>EMPAQUES PLANTA</v>
          </cell>
          <cell r="F642" t="str">
            <v>1 CAJA</v>
          </cell>
          <cell r="G642">
            <v>500</v>
          </cell>
          <cell r="H642" t="str">
            <v>27/05/2020</v>
          </cell>
          <cell r="I642">
            <v>51870</v>
          </cell>
          <cell r="J642">
            <v>4253340</v>
          </cell>
          <cell r="K642">
            <v>950</v>
          </cell>
          <cell r="L642">
            <v>54.6</v>
          </cell>
          <cell r="M642" t="str">
            <v>Und</v>
          </cell>
        </row>
        <row r="643">
          <cell r="A643" t="str">
            <v>50500003</v>
          </cell>
          <cell r="B643">
            <v>12118</v>
          </cell>
          <cell r="C643" t="str">
            <v>CANDELA CARITAS COLORES (UND)</v>
          </cell>
          <cell r="D643" t="str">
            <v>50500003</v>
          </cell>
          <cell r="E643" t="str">
            <v>EMPAQUES PLANTA</v>
          </cell>
          <cell r="F643" t="str">
            <v>1 UND</v>
          </cell>
          <cell r="G643">
            <v>500</v>
          </cell>
          <cell r="H643" t="str">
            <v>23/05/2020</v>
          </cell>
          <cell r="I643">
            <v>726.75</v>
          </cell>
          <cell r="J643">
            <v>419624.5</v>
          </cell>
          <cell r="K643">
            <v>1</v>
          </cell>
          <cell r="L643">
            <v>726.75</v>
          </cell>
          <cell r="M643" t="str">
            <v>Und</v>
          </cell>
        </row>
        <row r="644">
          <cell r="A644" t="str">
            <v>50500004</v>
          </cell>
          <cell r="B644">
            <v>12119</v>
          </cell>
          <cell r="C644" t="str">
            <v>CANDELA GLOBOS SURTIDO COLORES (UND)</v>
          </cell>
          <cell r="D644" t="str">
            <v>50500004</v>
          </cell>
          <cell r="E644" t="str">
            <v>EMPAQUES PLANTA</v>
          </cell>
          <cell r="F644" t="str">
            <v>1 UND</v>
          </cell>
          <cell r="G644">
            <v>500</v>
          </cell>
          <cell r="H644" t="str">
            <v>08/06/2020</v>
          </cell>
          <cell r="I644">
            <v>522.5</v>
          </cell>
          <cell r="J644">
            <v>609187.5</v>
          </cell>
          <cell r="K644">
            <v>1</v>
          </cell>
          <cell r="L644">
            <v>522.5</v>
          </cell>
          <cell r="M644" t="str">
            <v>Und</v>
          </cell>
        </row>
        <row r="645">
          <cell r="A645" t="str">
            <v>50500005</v>
          </cell>
          <cell r="B645">
            <v>12120</v>
          </cell>
          <cell r="C645" t="str">
            <v>CANDELA FELIZ ESCARCHA SURTIDA (UND)</v>
          </cell>
          <cell r="D645" t="str">
            <v>50500005</v>
          </cell>
          <cell r="E645" t="str">
            <v>EMPAQUES PLANTA</v>
          </cell>
          <cell r="F645" t="str">
            <v>1 UND</v>
          </cell>
          <cell r="G645">
            <v>500</v>
          </cell>
          <cell r="H645" t="str">
            <v>08/06/2020</v>
          </cell>
          <cell r="I645">
            <v>712.5</v>
          </cell>
          <cell r="J645">
            <v>467827.5</v>
          </cell>
          <cell r="K645">
            <v>1000</v>
          </cell>
          <cell r="L645" t="e">
            <v>#DIV/0!</v>
          </cell>
          <cell r="M645" t="str">
            <v>Und</v>
          </cell>
        </row>
        <row r="646">
          <cell r="A646" t="str">
            <v>50600003</v>
          </cell>
          <cell r="B646">
            <v>15524</v>
          </cell>
          <cell r="C646" t="str">
            <v>CAPSULA # 5 BLANCA (PAQ:1000 UND)</v>
          </cell>
          <cell r="D646" t="str">
            <v>50600003</v>
          </cell>
          <cell r="E646" t="str">
            <v>EMPAQUES PLANTA</v>
          </cell>
          <cell r="F646" t="str">
            <v>1 PAQUETE</v>
          </cell>
          <cell r="G646">
            <v>500</v>
          </cell>
          <cell r="H646" t="str">
            <v>27/12/2019</v>
          </cell>
          <cell r="I646">
            <v>8600</v>
          </cell>
          <cell r="J646">
            <v>1462000</v>
          </cell>
          <cell r="K646">
            <v>1000</v>
          </cell>
          <cell r="L646">
            <v>8.6</v>
          </cell>
          <cell r="M646" t="str">
            <v>Und</v>
          </cell>
        </row>
        <row r="647">
          <cell r="A647" t="str">
            <v>50700006</v>
          </cell>
          <cell r="B647">
            <v>11250</v>
          </cell>
          <cell r="C647" t="str">
            <v xml:space="preserve">CONTENEDOR FOAM KFC 8OZ (CAJA:1000 UND) </v>
          </cell>
          <cell r="D647" t="str">
            <v>50700006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10/06/2020</v>
          </cell>
          <cell r="I647">
            <v>27703</v>
          </cell>
          <cell r="J647">
            <v>1395911</v>
          </cell>
          <cell r="K647">
            <v>1000</v>
          </cell>
          <cell r="L647">
            <v>27.702999999999999</v>
          </cell>
          <cell r="M647" t="str">
            <v>Und</v>
          </cell>
        </row>
        <row r="648">
          <cell r="A648" t="str">
            <v>50700007</v>
          </cell>
          <cell r="B648">
            <v>12723</v>
          </cell>
          <cell r="C648" t="str">
            <v>TAPA PLAST CONT KFC 4-8-16OZ (CAJA:1000)</v>
          </cell>
          <cell r="D648" t="str">
            <v>50700007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10/06/2020</v>
          </cell>
          <cell r="I648">
            <v>13472</v>
          </cell>
          <cell r="J648">
            <v>804095</v>
          </cell>
          <cell r="K648">
            <v>1000</v>
          </cell>
          <cell r="L648">
            <v>13.472</v>
          </cell>
          <cell r="M648" t="str">
            <v>Und</v>
          </cell>
        </row>
        <row r="649">
          <cell r="A649" t="str">
            <v>50700016</v>
          </cell>
          <cell r="B649">
            <v>5810</v>
          </cell>
          <cell r="C649" t="str">
            <v>CONT.24 ONZ.TAPA PLANA (CAJA:200 UND)</v>
          </cell>
          <cell r="D649" t="str">
            <v>50700016</v>
          </cell>
          <cell r="E649" t="str">
            <v>EMPAQUES PLANTA</v>
          </cell>
          <cell r="F649" t="str">
            <v>1 CAJA</v>
          </cell>
          <cell r="G649">
            <v>500</v>
          </cell>
          <cell r="H649" t="str">
            <v>14/02/2020</v>
          </cell>
          <cell r="I649">
            <v>0</v>
          </cell>
          <cell r="J649">
            <v>137598</v>
          </cell>
          <cell r="K649">
            <v>200</v>
          </cell>
          <cell r="L649">
            <v>0</v>
          </cell>
          <cell r="M649" t="str">
            <v>Und</v>
          </cell>
        </row>
        <row r="650">
          <cell r="A650" t="str">
            <v>50700028</v>
          </cell>
          <cell r="B650">
            <v>13581</v>
          </cell>
          <cell r="C650" t="str">
            <v>CONTENEDOR PLAS SUFLE 1 OZ (PAQ:200 UND)</v>
          </cell>
          <cell r="D650" t="str">
            <v>50700028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15/06/2020</v>
          </cell>
          <cell r="I650">
            <v>1210.1600000000001</v>
          </cell>
          <cell r="J650">
            <v>481672</v>
          </cell>
          <cell r="K650">
            <v>200</v>
          </cell>
          <cell r="L650">
            <v>6.0508000000000006</v>
          </cell>
          <cell r="M650" t="str">
            <v>Und</v>
          </cell>
        </row>
        <row r="651">
          <cell r="A651" t="str">
            <v>50700029</v>
          </cell>
          <cell r="B651">
            <v>14055</v>
          </cell>
          <cell r="C651" t="str">
            <v>CONTENEDOR SUFLE 2 ONZ (PAQ:200 UND)</v>
          </cell>
          <cell r="D651" t="str">
            <v>50700029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21/05/2020</v>
          </cell>
          <cell r="I651">
            <v>1494</v>
          </cell>
          <cell r="J651">
            <v>723651.12919999904</v>
          </cell>
          <cell r="K651">
            <v>200</v>
          </cell>
          <cell r="L651">
            <v>7.47</v>
          </cell>
          <cell r="M651" t="str">
            <v>Und</v>
          </cell>
        </row>
        <row r="652">
          <cell r="A652" t="str">
            <v>50700039</v>
          </cell>
          <cell r="B652">
            <v>15135</v>
          </cell>
          <cell r="C652" t="str">
            <v>TAPA UNIVERL POLI BOTE 16PP (CJ:500 UND)</v>
          </cell>
          <cell r="D652" t="str">
            <v>50700039</v>
          </cell>
          <cell r="E652" t="str">
            <v>EMPAQUES PLANTA</v>
          </cell>
          <cell r="F652" t="str">
            <v>1 CAJA</v>
          </cell>
          <cell r="G652">
            <v>500</v>
          </cell>
          <cell r="H652" t="str">
            <v>12/06/2020</v>
          </cell>
          <cell r="I652">
            <v>10825.22</v>
          </cell>
          <cell r="J652">
            <v>411358.36</v>
          </cell>
          <cell r="K652">
            <v>500</v>
          </cell>
          <cell r="L652">
            <v>21.65044</v>
          </cell>
          <cell r="M652" t="str">
            <v>Und</v>
          </cell>
        </row>
        <row r="653">
          <cell r="A653" t="str">
            <v>50700040</v>
          </cell>
          <cell r="B653">
            <v>15136</v>
          </cell>
          <cell r="C653" t="str">
            <v>CONTENEDOR PLAST 4 OZ (CAJA: 15 PAQ)</v>
          </cell>
          <cell r="D653" t="str">
            <v>50700040</v>
          </cell>
          <cell r="E653" t="str">
            <v>EMPAQUES PLANTA</v>
          </cell>
          <cell r="F653" t="str">
            <v>1 CAJA</v>
          </cell>
          <cell r="G653">
            <v>500</v>
          </cell>
          <cell r="H653" t="str">
            <v>19/03/2020</v>
          </cell>
          <cell r="I653">
            <v>3276</v>
          </cell>
          <cell r="J653">
            <v>490168</v>
          </cell>
          <cell r="K653">
            <v>250</v>
          </cell>
          <cell r="L653" t="e">
            <v>#DIV/0!</v>
          </cell>
          <cell r="M653"/>
        </row>
        <row r="654">
          <cell r="A654" t="str">
            <v>50700042</v>
          </cell>
          <cell r="B654">
            <v>15147</v>
          </cell>
          <cell r="C654" t="str">
            <v>CONT COSTILLA BASE DOMO OP3 (CJ:250 UND)</v>
          </cell>
          <cell r="D654" t="str">
            <v>50700042</v>
          </cell>
          <cell r="E654" t="str">
            <v>EMPAQUES PLANTA</v>
          </cell>
          <cell r="F654" t="str">
            <v>1 CAJA</v>
          </cell>
          <cell r="G654">
            <v>500</v>
          </cell>
          <cell r="H654" t="str">
            <v>04/06/2020</v>
          </cell>
          <cell r="I654">
            <v>23825.1</v>
          </cell>
          <cell r="J654">
            <v>1834532.7</v>
          </cell>
          <cell r="K654">
            <v>250</v>
          </cell>
          <cell r="L654">
            <v>95.300399999999996</v>
          </cell>
          <cell r="M654" t="str">
            <v>Und</v>
          </cell>
        </row>
        <row r="655">
          <cell r="A655" t="str">
            <v>50700043</v>
          </cell>
          <cell r="B655">
            <v>15157</v>
          </cell>
          <cell r="C655" t="str">
            <v>BISAGRA P/PASTEL ROSCA (CAJA: 180 UND)</v>
          </cell>
          <cell r="D655" t="str">
            <v>50700043</v>
          </cell>
          <cell r="E655" t="str">
            <v>EMPAQUES PLANTA</v>
          </cell>
          <cell r="F655" t="str">
            <v>1 CAJA</v>
          </cell>
          <cell r="G655">
            <v>500</v>
          </cell>
          <cell r="H655" t="str">
            <v>21/05/2020</v>
          </cell>
          <cell r="I655">
            <v>39375.800000000003</v>
          </cell>
          <cell r="J655">
            <v>826891.8</v>
          </cell>
          <cell r="K655">
            <v>180</v>
          </cell>
          <cell r="L655">
            <v>218.75444444444446</v>
          </cell>
        </row>
        <row r="656">
          <cell r="A656" t="str">
            <v>50700044</v>
          </cell>
          <cell r="B656">
            <v>15311</v>
          </cell>
          <cell r="C656" t="str">
            <v>CONTENEDOR POLIPROP 8 ONZ (CJ:500 UND)</v>
          </cell>
          <cell r="D656" t="str">
            <v>50700044</v>
          </cell>
          <cell r="E656" t="str">
            <v>EMPAQUES PLANTA</v>
          </cell>
          <cell r="F656" t="str">
            <v>1 CAJA</v>
          </cell>
          <cell r="G656">
            <v>500</v>
          </cell>
          <cell r="H656" t="str">
            <v>12/06/2020</v>
          </cell>
          <cell r="I656">
            <v>16576.87</v>
          </cell>
          <cell r="J656">
            <v>580190.44999999995</v>
          </cell>
          <cell r="K656">
            <v>500</v>
          </cell>
          <cell r="L656">
            <v>33.153739999999999</v>
          </cell>
        </row>
        <row r="657">
          <cell r="A657" t="str">
            <v>50700045</v>
          </cell>
          <cell r="B657">
            <v>15390</v>
          </cell>
          <cell r="C657" t="str">
            <v>BISAGRA 6 MANTECADA 24*16*8 (CJ:250 UND)</v>
          </cell>
          <cell r="D657" t="str">
            <v>50700045</v>
          </cell>
          <cell r="E657" t="str">
            <v>EMPAQUES PLANTA</v>
          </cell>
          <cell r="F657" t="str">
            <v>1 CAJA</v>
          </cell>
          <cell r="G657">
            <v>500</v>
          </cell>
          <cell r="H657" t="str">
            <v>20/02/2020</v>
          </cell>
          <cell r="I657">
            <v>28769.96</v>
          </cell>
          <cell r="J657">
            <v>287699.59999999998</v>
          </cell>
          <cell r="K657">
            <v>250</v>
          </cell>
          <cell r="L657">
            <v>115.07983999999999</v>
          </cell>
          <cell r="M657" t="str">
            <v>Und</v>
          </cell>
        </row>
        <row r="658">
          <cell r="A658" t="str">
            <v>51000003</v>
          </cell>
          <cell r="B658">
            <v>9473</v>
          </cell>
          <cell r="C658" t="str">
            <v>ORLA 14.5" (UND)</v>
          </cell>
          <cell r="D658" t="str">
            <v>51000003</v>
          </cell>
          <cell r="E658" t="str">
            <v>EMPAQUES PLANTA</v>
          </cell>
          <cell r="F658" t="str">
            <v>1 UND</v>
          </cell>
          <cell r="G658">
            <v>500</v>
          </cell>
          <cell r="H658" t="str">
            <v>20/03/2020</v>
          </cell>
          <cell r="I658">
            <v>305</v>
          </cell>
          <cell r="J658">
            <v>48800</v>
          </cell>
          <cell r="K658">
            <v>1000</v>
          </cell>
          <cell r="L658" t="e">
            <v>#DIV/0!</v>
          </cell>
        </row>
        <row r="659">
          <cell r="A659" t="str">
            <v>51100018</v>
          </cell>
          <cell r="B659">
            <v>14562</v>
          </cell>
          <cell r="C659" t="str">
            <v>PAPEL ENCERADO 12X12 (PAQ:1000 UND)</v>
          </cell>
          <cell r="D659" t="str">
            <v>51100018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19/05/2020</v>
          </cell>
          <cell r="I659">
            <v>1</v>
          </cell>
          <cell r="J659">
            <v>1556080.58</v>
          </cell>
          <cell r="K659">
            <v>1000</v>
          </cell>
          <cell r="L659">
            <v>1E-3</v>
          </cell>
          <cell r="M659" t="str">
            <v>Und</v>
          </cell>
        </row>
        <row r="660">
          <cell r="A660" t="str">
            <v>51400001</v>
          </cell>
          <cell r="B660">
            <v>10089</v>
          </cell>
          <cell r="C660" t="str">
            <v>QUEQUERA RECTANGULAR 1/2 (CAJA:35 UND)</v>
          </cell>
          <cell r="D660" t="str">
            <v>51400001</v>
          </cell>
          <cell r="E660" t="str">
            <v>EMPAQUES PLANTA</v>
          </cell>
          <cell r="F660" t="str">
            <v>1 CAJA</v>
          </cell>
          <cell r="G660">
            <v>500</v>
          </cell>
          <cell r="H660" t="str">
            <v>05/06/2020</v>
          </cell>
          <cell r="I660">
            <v>41396</v>
          </cell>
          <cell r="J660">
            <v>4768739</v>
          </cell>
          <cell r="K660">
            <v>35</v>
          </cell>
          <cell r="L660">
            <v>1182.7428571428572</v>
          </cell>
          <cell r="M660" t="str">
            <v>Und</v>
          </cell>
        </row>
        <row r="661">
          <cell r="A661" t="str">
            <v>51400015</v>
          </cell>
          <cell r="B661">
            <v>12720</v>
          </cell>
          <cell r="C661" t="str">
            <v>QUEQUERA CHILENA (CAJA:50 UND)</v>
          </cell>
          <cell r="D661" t="str">
            <v>51400015</v>
          </cell>
          <cell r="E661" t="str">
            <v>EMPAQUES PLANTA</v>
          </cell>
          <cell r="F661" t="str">
            <v>1 CAJA</v>
          </cell>
          <cell r="G661">
            <v>500</v>
          </cell>
          <cell r="H661" t="str">
            <v>10/06/2020</v>
          </cell>
          <cell r="I661">
            <v>13013</v>
          </cell>
          <cell r="J661">
            <v>11750797</v>
          </cell>
          <cell r="K661">
            <v>50</v>
          </cell>
          <cell r="L661">
            <v>260.26</v>
          </cell>
          <cell r="M661" t="str">
            <v>Und</v>
          </cell>
        </row>
        <row r="662">
          <cell r="A662" t="str">
            <v>51400016</v>
          </cell>
          <cell r="B662">
            <v>12721</v>
          </cell>
          <cell r="C662" t="str">
            <v>DOMO QUEQUERA 8" ALTA (CAJA:100 UND)</v>
          </cell>
          <cell r="D662" t="str">
            <v>51400016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12/06/2020</v>
          </cell>
          <cell r="I662">
            <v>15439</v>
          </cell>
          <cell r="J662">
            <v>17157345</v>
          </cell>
          <cell r="K662">
            <v>100</v>
          </cell>
          <cell r="L662">
            <v>154.38999999999999</v>
          </cell>
          <cell r="M662" t="str">
            <v>Und</v>
          </cell>
        </row>
        <row r="663">
          <cell r="A663" t="str">
            <v>51400017</v>
          </cell>
          <cell r="B663">
            <v>12722</v>
          </cell>
          <cell r="C663" t="str">
            <v>BASE QUEQUERA 8" ALTA (CAJA:200 UND)</v>
          </cell>
          <cell r="D663" t="str">
            <v>51400017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08/06/2020</v>
          </cell>
          <cell r="I663">
            <v>18184</v>
          </cell>
          <cell r="J663">
            <v>10305846</v>
          </cell>
          <cell r="K663">
            <v>200</v>
          </cell>
          <cell r="L663">
            <v>90.92</v>
          </cell>
          <cell r="M663" t="str">
            <v>Und</v>
          </cell>
        </row>
        <row r="664">
          <cell r="A664" t="str">
            <v>51400020</v>
          </cell>
          <cell r="B664">
            <v>14983</v>
          </cell>
          <cell r="C664" t="str">
            <v>BURBUJA I-3 ALTA (CAJA:250 UND)</v>
          </cell>
          <cell r="D664" t="str">
            <v>51400020</v>
          </cell>
          <cell r="E664" t="str">
            <v>EMPAQUES PLANTA</v>
          </cell>
          <cell r="F664" t="str">
            <v>1 CAJA</v>
          </cell>
          <cell r="G664">
            <v>500</v>
          </cell>
          <cell r="H664" t="str">
            <v>12/06/2020</v>
          </cell>
          <cell r="I664">
            <v>10052</v>
          </cell>
          <cell r="J664">
            <v>2731062.91</v>
          </cell>
          <cell r="K664">
            <v>250</v>
          </cell>
          <cell r="L664">
            <v>40.207999999999998</v>
          </cell>
          <cell r="M664" t="str">
            <v>Und</v>
          </cell>
        </row>
        <row r="665">
          <cell r="A665" t="str">
            <v>51400021</v>
          </cell>
          <cell r="B665">
            <v>15022</v>
          </cell>
          <cell r="C665" t="str">
            <v>QUEQUERA RED C/BASE ALTA 9" (CAJA:100 U)</v>
          </cell>
          <cell r="D665" t="str">
            <v>51400021</v>
          </cell>
          <cell r="E665" t="str">
            <v>EMPAQUES PLANTA</v>
          </cell>
          <cell r="F665" t="str">
            <v>1 CAJA</v>
          </cell>
          <cell r="G665">
            <v>500</v>
          </cell>
          <cell r="H665" t="str">
            <v>12/06/2020</v>
          </cell>
          <cell r="I665">
            <v>24436</v>
          </cell>
          <cell r="J665">
            <v>5598080</v>
          </cell>
          <cell r="K665">
            <v>100</v>
          </cell>
          <cell r="L665">
            <v>244.36</v>
          </cell>
          <cell r="M665" t="str">
            <v>Und</v>
          </cell>
        </row>
        <row r="666">
          <cell r="A666" t="str">
            <v>51400022</v>
          </cell>
          <cell r="B666">
            <v>15028</v>
          </cell>
          <cell r="C666" t="str">
            <v>BOWL FIBRA 24 ONZ COMPOST (PAQ:125 UND)</v>
          </cell>
          <cell r="D666" t="str">
            <v>51400022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27/05/2020</v>
          </cell>
          <cell r="I666">
            <v>14413.71</v>
          </cell>
          <cell r="J666">
            <v>2392240.3612500001</v>
          </cell>
          <cell r="K666">
            <v>125</v>
          </cell>
          <cell r="L666">
            <v>115.30967999999999</v>
          </cell>
        </row>
        <row r="667">
          <cell r="A667" t="str">
            <v>51400023</v>
          </cell>
          <cell r="B667">
            <v>15029</v>
          </cell>
          <cell r="C667" t="str">
            <v>BOWL FIBRA 32 ONZ COMPOST (PAQ:125 UND)</v>
          </cell>
          <cell r="D667" t="str">
            <v>51400023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29/05/2020</v>
          </cell>
          <cell r="I667">
            <v>1</v>
          </cell>
          <cell r="J667">
            <v>3410514.33</v>
          </cell>
          <cell r="K667">
            <v>125</v>
          </cell>
          <cell r="L667">
            <v>8.0000000000000002E-3</v>
          </cell>
        </row>
        <row r="668">
          <cell r="A668" t="str">
            <v>51400024</v>
          </cell>
          <cell r="B668">
            <v>15030</v>
          </cell>
          <cell r="C668" t="str">
            <v>TAPA  BOWL 16/24/32 ONZ (PAQ:125 UND)</v>
          </cell>
          <cell r="D668" t="str">
            <v>51400024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08/06/2020</v>
          </cell>
          <cell r="I668">
            <v>10345.942499999999</v>
          </cell>
          <cell r="J668">
            <v>3564964.1575000002</v>
          </cell>
          <cell r="K668">
            <v>125</v>
          </cell>
          <cell r="L668">
            <v>82.767539999999997</v>
          </cell>
        </row>
        <row r="669">
          <cell r="A669" t="str">
            <v>51400025</v>
          </cell>
          <cell r="B669">
            <v>15031</v>
          </cell>
          <cell r="C669" t="str">
            <v>BANDEJA FIBRA 2 DIVISIONES (PAQ:50 UND)</v>
          </cell>
          <cell r="D669" t="str">
            <v>51400025</v>
          </cell>
          <cell r="E669" t="str">
            <v>EMPAQUES PLANTA</v>
          </cell>
          <cell r="F669" t="str">
            <v>1 PAQUETE</v>
          </cell>
          <cell r="G669">
            <v>500</v>
          </cell>
          <cell r="H669" t="str">
            <v>11/06/2020</v>
          </cell>
          <cell r="I669">
            <v>1</v>
          </cell>
          <cell r="J669">
            <v>410722.1</v>
          </cell>
          <cell r="K669">
            <v>50</v>
          </cell>
          <cell r="L669">
            <v>0.02</v>
          </cell>
        </row>
        <row r="670">
          <cell r="A670" t="str">
            <v>51400026</v>
          </cell>
          <cell r="B670">
            <v>15032</v>
          </cell>
          <cell r="C670" t="str">
            <v>BANDEJA FIBRA 3 DIVISIONES (PAQ:50 UND)</v>
          </cell>
          <cell r="D670" t="str">
            <v>51400026</v>
          </cell>
          <cell r="E670" t="str">
            <v>EMPAQUES PLANTA</v>
          </cell>
          <cell r="F670" t="str">
            <v>1 PAQUETE</v>
          </cell>
          <cell r="G670">
            <v>500</v>
          </cell>
          <cell r="H670" t="str">
            <v>11/06/2020</v>
          </cell>
          <cell r="I670">
            <v>1</v>
          </cell>
          <cell r="J670">
            <v>3316155.06</v>
          </cell>
          <cell r="K670">
            <v>50</v>
          </cell>
          <cell r="L670">
            <v>0.02</v>
          </cell>
        </row>
        <row r="671">
          <cell r="A671" t="str">
            <v>51400027</v>
          </cell>
          <cell r="B671">
            <v>15033</v>
          </cell>
          <cell r="C671" t="str">
            <v>TAPA BOWL SOPA 8 ONZ (PAQ:50 UND)</v>
          </cell>
          <cell r="D671" t="str">
            <v>51400027</v>
          </cell>
          <cell r="E671" t="str">
            <v>EMPAQUES PLANTA</v>
          </cell>
          <cell r="F671" t="str">
            <v>1 PAQUETE</v>
          </cell>
          <cell r="G671">
            <v>500</v>
          </cell>
          <cell r="H671" t="str">
            <v>09/06/2020</v>
          </cell>
          <cell r="I671">
            <v>57.5</v>
          </cell>
          <cell r="J671">
            <v>1387204.9750000001</v>
          </cell>
          <cell r="K671">
            <v>50</v>
          </cell>
          <cell r="L671">
            <v>1.1499999999999999</v>
          </cell>
        </row>
        <row r="672">
          <cell r="A672" t="str">
            <v>51400028</v>
          </cell>
          <cell r="B672">
            <v>15034</v>
          </cell>
          <cell r="C672" t="str">
            <v>BOWL FIBRA SOPA 16 ONZ (PAQ:50 UND)</v>
          </cell>
          <cell r="D672" t="str">
            <v>51400028</v>
          </cell>
          <cell r="E672" t="str">
            <v>EMPAQUES PLANTA</v>
          </cell>
          <cell r="F672" t="str">
            <v>1 PAQUETE</v>
          </cell>
          <cell r="G672">
            <v>500</v>
          </cell>
          <cell r="H672" t="str">
            <v>27/03/2020</v>
          </cell>
          <cell r="I672">
            <v>4336.2725</v>
          </cell>
          <cell r="J672">
            <v>716800.41</v>
          </cell>
          <cell r="K672">
            <v>50</v>
          </cell>
          <cell r="L672">
            <v>86.725449999999995</v>
          </cell>
        </row>
        <row r="673">
          <cell r="A673" t="str">
            <v>51400029</v>
          </cell>
          <cell r="B673">
            <v>15035</v>
          </cell>
          <cell r="C673" t="str">
            <v>BOWL FIBRA 16 ONZ COMPOST (PAQ:125 UND)</v>
          </cell>
          <cell r="D673" t="str">
            <v>51400029</v>
          </cell>
          <cell r="E673" t="str">
            <v>EMPAQUES PLANTA</v>
          </cell>
          <cell r="F673" t="str">
            <v>1 PAQUETE</v>
          </cell>
          <cell r="G673">
            <v>500</v>
          </cell>
          <cell r="H673" t="str">
            <v>03/06/2020</v>
          </cell>
          <cell r="I673">
            <v>83.055999999999997</v>
          </cell>
          <cell r="J673">
            <v>457503.11</v>
          </cell>
          <cell r="K673">
            <v>125</v>
          </cell>
          <cell r="L673">
            <v>0.66444799999999993</v>
          </cell>
        </row>
        <row r="674">
          <cell r="A674" t="str">
            <v>51400030</v>
          </cell>
          <cell r="B674">
            <v>15036</v>
          </cell>
          <cell r="C674" t="str">
            <v>TAPA FIBRA BANDEJA 2 DIV (PAQ:50 UND)</v>
          </cell>
          <cell r="D674" t="str">
            <v>51400030</v>
          </cell>
          <cell r="E674" t="str">
            <v>EMPAQUES PLANTA</v>
          </cell>
          <cell r="F674" t="str">
            <v>1 PAQUETE</v>
          </cell>
          <cell r="G674">
            <v>500</v>
          </cell>
          <cell r="H674" t="str">
            <v>11/06/2020</v>
          </cell>
          <cell r="I674">
            <v>1</v>
          </cell>
          <cell r="J674">
            <v>310445.8</v>
          </cell>
          <cell r="K674">
            <v>50</v>
          </cell>
          <cell r="L674">
            <v>0.02</v>
          </cell>
        </row>
        <row r="675">
          <cell r="A675" t="str">
            <v>51400031</v>
          </cell>
          <cell r="B675">
            <v>15037</v>
          </cell>
          <cell r="C675" t="str">
            <v>TAPA FIBRA BANDEJA 3 DIV  (PAQ:50 UND)</v>
          </cell>
          <cell r="D675" t="str">
            <v>51400031</v>
          </cell>
          <cell r="E675" t="str">
            <v>EMPAQUES PLANTA</v>
          </cell>
          <cell r="F675" t="str">
            <v>1 PAQUETE</v>
          </cell>
          <cell r="G675">
            <v>500</v>
          </cell>
          <cell r="H675" t="str">
            <v>13/06/2020</v>
          </cell>
          <cell r="I675">
            <v>1</v>
          </cell>
          <cell r="J675">
            <v>2781826.4</v>
          </cell>
          <cell r="K675">
            <v>50</v>
          </cell>
          <cell r="L675">
            <v>0.02</v>
          </cell>
        </row>
        <row r="676">
          <cell r="A676" t="str">
            <v>51400032</v>
          </cell>
          <cell r="B676">
            <v>15038</v>
          </cell>
          <cell r="C676" t="str">
            <v>BOWL FIBRA SOPA 12 ONZ (PAQ:50 UND)</v>
          </cell>
          <cell r="D676" t="str">
            <v>51400032</v>
          </cell>
          <cell r="E676" t="str">
            <v>EMPAQUES PLANTA</v>
          </cell>
          <cell r="F676" t="str">
            <v>1 PAQUETE</v>
          </cell>
          <cell r="G676">
            <v>500</v>
          </cell>
          <cell r="H676" t="str">
            <v>08/06/2020</v>
          </cell>
          <cell r="I676">
            <v>3846.942</v>
          </cell>
          <cell r="J676">
            <v>387817.10200000001</v>
          </cell>
          <cell r="K676">
            <v>50</v>
          </cell>
          <cell r="L676">
            <v>76.938839999999999</v>
          </cell>
        </row>
        <row r="677">
          <cell r="A677" t="str">
            <v>51400033</v>
          </cell>
          <cell r="B677">
            <v>15039</v>
          </cell>
          <cell r="C677" t="str">
            <v>TAPA BOWL SOPA 12/16/32 ONZ (PAQ:50 UND)</v>
          </cell>
          <cell r="D677" t="str">
            <v>51400033</v>
          </cell>
          <cell r="E677" t="str">
            <v>EMPAQUES PLANTA</v>
          </cell>
          <cell r="F677" t="str">
            <v>1 PAQUETE</v>
          </cell>
          <cell r="G677">
            <v>500</v>
          </cell>
          <cell r="H677" t="str">
            <v>09/06/2020</v>
          </cell>
          <cell r="I677">
            <v>89.44</v>
          </cell>
          <cell r="J677">
            <v>791423.76</v>
          </cell>
          <cell r="K677">
            <v>50</v>
          </cell>
          <cell r="L677">
            <v>1.7887999999999999</v>
          </cell>
        </row>
        <row r="678">
          <cell r="A678" t="str">
            <v>51400034</v>
          </cell>
          <cell r="B678">
            <v>15040</v>
          </cell>
          <cell r="C678" t="str">
            <v>BOWL FIBRA SOPA 8 ONZ (PAQ:50 UND)</v>
          </cell>
          <cell r="D678" t="str">
            <v>51400034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08/06/2020</v>
          </cell>
          <cell r="I678">
            <v>2739.489</v>
          </cell>
          <cell r="J678">
            <v>1337529.96</v>
          </cell>
          <cell r="K678">
            <v>50</v>
          </cell>
          <cell r="L678">
            <v>54.78978</v>
          </cell>
        </row>
        <row r="679">
          <cell r="A679" t="str">
            <v>51400035</v>
          </cell>
          <cell r="B679">
            <v>15369</v>
          </cell>
          <cell r="C679" t="str">
            <v>QUEQUERA PLAST RED 12" ALTA (CJ:50 UND)</v>
          </cell>
          <cell r="D679" t="str">
            <v>51400035</v>
          </cell>
          <cell r="E679" t="str">
            <v>EMPAQUES PLANTA</v>
          </cell>
          <cell r="F679" t="str">
            <v>1 CAJA</v>
          </cell>
          <cell r="G679">
            <v>500</v>
          </cell>
          <cell r="H679" t="str">
            <v>08/06/2020</v>
          </cell>
          <cell r="I679">
            <v>48189</v>
          </cell>
          <cell r="J679">
            <v>4879679</v>
          </cell>
          <cell r="K679">
            <v>50</v>
          </cell>
          <cell r="L679">
            <v>963.78</v>
          </cell>
        </row>
        <row r="680">
          <cell r="A680" t="str">
            <v>51400036</v>
          </cell>
          <cell r="B680">
            <v>15383</v>
          </cell>
          <cell r="C680" t="str">
            <v>QUEQUERA PLAST RECT 48*13*11 (CJ:25 UND)</v>
          </cell>
          <cell r="D680" t="str">
            <v>51400036</v>
          </cell>
          <cell r="E680" t="str">
            <v>EMPAQUES PLANTA</v>
          </cell>
          <cell r="F680" t="str">
            <v>1 CAJA</v>
          </cell>
          <cell r="G680">
            <v>500</v>
          </cell>
          <cell r="H680" t="str">
            <v>21/03/2020</v>
          </cell>
          <cell r="I680">
            <v>33775</v>
          </cell>
          <cell r="J680">
            <v>537868</v>
          </cell>
          <cell r="K680">
            <v>25</v>
          </cell>
          <cell r="L680">
            <v>1351</v>
          </cell>
        </row>
        <row r="681">
          <cell r="A681" t="str">
            <v>51500012</v>
          </cell>
          <cell r="B681">
            <v>12129</v>
          </cell>
          <cell r="C681" t="str">
            <v>VASO BIODEGRADABLE 12 ONZ (PAQ:25 UND)</v>
          </cell>
          <cell r="D681" t="str">
            <v>51500012</v>
          </cell>
          <cell r="E681" t="str">
            <v>EMPAQUES PLANTA</v>
          </cell>
          <cell r="F681" t="str">
            <v>1 PAQUETE</v>
          </cell>
          <cell r="G681">
            <v>500</v>
          </cell>
          <cell r="H681" t="str">
            <v>10/06/2020</v>
          </cell>
          <cell r="I681">
            <v>1510.35</v>
          </cell>
          <cell r="J681">
            <v>1438464</v>
          </cell>
          <cell r="K681">
            <v>25</v>
          </cell>
          <cell r="L681">
            <v>60.413999999999994</v>
          </cell>
        </row>
        <row r="682">
          <cell r="A682" t="str">
            <v>51500013</v>
          </cell>
          <cell r="B682">
            <v>12130</v>
          </cell>
          <cell r="C682" t="str">
            <v>TAPA VASO BIODEGR 12,16 onz (PAQ:50 UND)</v>
          </cell>
          <cell r="D682" t="str">
            <v>51500013</v>
          </cell>
          <cell r="E682" t="str">
            <v>EMPAQUES PLANTA</v>
          </cell>
          <cell r="F682" t="str">
            <v>1 PAQ</v>
          </cell>
          <cell r="G682">
            <v>500</v>
          </cell>
          <cell r="H682" t="str">
            <v>21/05/2020</v>
          </cell>
          <cell r="I682">
            <v>903.05</v>
          </cell>
          <cell r="J682">
            <v>377774</v>
          </cell>
          <cell r="K682">
            <v>50</v>
          </cell>
          <cell r="L682">
            <v>18.061</v>
          </cell>
          <cell r="M682" t="str">
            <v>Und</v>
          </cell>
        </row>
        <row r="683">
          <cell r="A683" t="str">
            <v>51500014</v>
          </cell>
          <cell r="B683">
            <v>12131</v>
          </cell>
          <cell r="C683" t="str">
            <v>VASO BIODEGRADABLE 8 onz (PAQ:25 UND)</v>
          </cell>
          <cell r="D683" t="str">
            <v>51500014</v>
          </cell>
          <cell r="E683" t="str">
            <v>EMPAQUES PLANTA</v>
          </cell>
          <cell r="F683" t="str">
            <v>1 PAQUETE</v>
          </cell>
          <cell r="G683">
            <v>500</v>
          </cell>
          <cell r="H683" t="str">
            <v>15/06/2020</v>
          </cell>
          <cell r="I683">
            <v>1498.25</v>
          </cell>
          <cell r="J683">
            <v>2114002</v>
          </cell>
          <cell r="K683">
            <v>25</v>
          </cell>
          <cell r="L683">
            <v>59.93</v>
          </cell>
          <cell r="M683" t="str">
            <v>Und</v>
          </cell>
        </row>
        <row r="684">
          <cell r="A684" t="str">
            <v>51500015</v>
          </cell>
          <cell r="B684">
            <v>12132</v>
          </cell>
          <cell r="C684" t="str">
            <v>TAPA VASO BIO 8 ONZ (PAQ:50 UND)</v>
          </cell>
          <cell r="D684" t="str">
            <v>51500015</v>
          </cell>
          <cell r="E684" t="str">
            <v>EMPAQUES PLANTA</v>
          </cell>
          <cell r="F684" t="str">
            <v>1 PAQUETE</v>
          </cell>
          <cell r="G684">
            <v>500</v>
          </cell>
          <cell r="H684" t="str">
            <v>04/06/2020</v>
          </cell>
          <cell r="I684">
            <v>1</v>
          </cell>
          <cell r="J684">
            <v>478177</v>
          </cell>
          <cell r="K684">
            <v>50</v>
          </cell>
          <cell r="L684">
            <v>0.02</v>
          </cell>
          <cell r="M684" t="str">
            <v>Und</v>
          </cell>
        </row>
        <row r="685">
          <cell r="A685" t="str">
            <v>51500032</v>
          </cell>
          <cell r="B685">
            <v>14054</v>
          </cell>
          <cell r="C685" t="str">
            <v>TAPA SUFLE 1,5-2-2,5 (PAQ:100 UND)</v>
          </cell>
          <cell r="D685" t="str">
            <v>51500032</v>
          </cell>
          <cell r="E685" t="str">
            <v>EMPAQUES PLANTA</v>
          </cell>
          <cell r="F685" t="str">
            <v>1 PAQUETE</v>
          </cell>
          <cell r="G685">
            <v>500</v>
          </cell>
          <cell r="H685" t="str">
            <v>30/04/2020</v>
          </cell>
          <cell r="I685">
            <v>0</v>
          </cell>
          <cell r="J685">
            <v>1415119.5730000001</v>
          </cell>
          <cell r="K685">
            <v>100</v>
          </cell>
          <cell r="L685">
            <v>0</v>
          </cell>
          <cell r="M685" t="str">
            <v>Und</v>
          </cell>
        </row>
        <row r="686">
          <cell r="A686" t="str">
            <v>51500033</v>
          </cell>
          <cell r="B686">
            <v>15232</v>
          </cell>
          <cell r="C686" t="str">
            <v>VASO PLASTICO FABRIK 9 ONZ (CAJA:20 PAQ)</v>
          </cell>
          <cell r="D686" t="str">
            <v>51500033</v>
          </cell>
          <cell r="E686" t="str">
            <v>EMPAQUES PLANTA</v>
          </cell>
          <cell r="F686" t="str">
            <v>1 CAJA</v>
          </cell>
          <cell r="G686">
            <v>500</v>
          </cell>
          <cell r="H686" t="str">
            <v>07/05/2020</v>
          </cell>
          <cell r="I686">
            <v>33467</v>
          </cell>
          <cell r="J686">
            <v>233143</v>
          </cell>
          <cell r="K686">
            <v>1</v>
          </cell>
          <cell r="L686" t="e">
            <v>#DIV/0!</v>
          </cell>
          <cell r="M686" t="str">
            <v>Und</v>
          </cell>
        </row>
        <row r="687">
          <cell r="A687" t="str">
            <v>51500034</v>
          </cell>
          <cell r="B687">
            <v>15233</v>
          </cell>
          <cell r="C687" t="str">
            <v>TAPA PLAST DOMO SUND POLAR 9 (CJ:10 PAQ)</v>
          </cell>
          <cell r="D687" t="str">
            <v>51500034</v>
          </cell>
          <cell r="E687" t="str">
            <v>EMPAQUES PLANTA</v>
          </cell>
          <cell r="F687" t="str">
            <v>1 CAJA</v>
          </cell>
          <cell r="G687">
            <v>500</v>
          </cell>
          <cell r="H687" t="str">
            <v>04/05/2020</v>
          </cell>
          <cell r="I687">
            <v>25446</v>
          </cell>
          <cell r="J687">
            <v>75615</v>
          </cell>
          <cell r="K687">
            <v>100</v>
          </cell>
          <cell r="L687" t="e">
            <v>#DIV/0!</v>
          </cell>
          <cell r="M687" t="str">
            <v>Und</v>
          </cell>
        </row>
        <row r="688">
          <cell r="A688" t="str">
            <v>51500035</v>
          </cell>
          <cell r="B688">
            <v>15350</v>
          </cell>
          <cell r="C688" t="str">
            <v>TAPA DOMO PLAST BAND ALUM 394 (CJ:100)</v>
          </cell>
          <cell r="D688" t="str">
            <v>51500035</v>
          </cell>
          <cell r="E688" t="str">
            <v>EMPAQUES PLANTA</v>
          </cell>
          <cell r="F688" t="str">
            <v>1 CAJA</v>
          </cell>
          <cell r="G688">
            <v>500</v>
          </cell>
          <cell r="H688" t="str">
            <v>27/04/2020</v>
          </cell>
          <cell r="I688">
            <v>24004</v>
          </cell>
          <cell r="J688">
            <v>304844</v>
          </cell>
          <cell r="K688">
            <v>100</v>
          </cell>
          <cell r="L688">
            <v>240.04</v>
          </cell>
          <cell r="M688" t="str">
            <v>Und</v>
          </cell>
        </row>
        <row r="689">
          <cell r="A689" t="str">
            <v>51500036</v>
          </cell>
          <cell r="B689">
            <v>15853</v>
          </cell>
          <cell r="C689" t="str">
            <v xml:space="preserve">TAPA PLAN S/HOYO 9/12/20 (CJ:10 PAQ ) </v>
          </cell>
          <cell r="D689" t="str">
            <v>51500036</v>
          </cell>
          <cell r="E689" t="str">
            <v>EMPAQUES PLANTA</v>
          </cell>
          <cell r="F689" t="str">
            <v>1 CAJA</v>
          </cell>
          <cell r="G689">
            <v>500</v>
          </cell>
          <cell r="H689" t="str">
            <v>30/04/2020</v>
          </cell>
          <cell r="I689">
            <v>14828</v>
          </cell>
          <cell r="J689">
            <v>174684</v>
          </cell>
          <cell r="K689">
            <v>1</v>
          </cell>
          <cell r="L689" t="e">
            <v>#DIV/0!</v>
          </cell>
          <cell r="M689" t="str">
            <v>Und</v>
          </cell>
        </row>
        <row r="690">
          <cell r="A690" t="str">
            <v>51600004</v>
          </cell>
          <cell r="B690">
            <v>9469</v>
          </cell>
          <cell r="C690" t="str">
            <v>LAZOS ROJOS (UND)</v>
          </cell>
          <cell r="D690" t="str">
            <v>51600004</v>
          </cell>
          <cell r="E690" t="str">
            <v>EMPAQUES PLANTA</v>
          </cell>
          <cell r="F690" t="str">
            <v>1 UND</v>
          </cell>
          <cell r="G690">
            <v>500</v>
          </cell>
          <cell r="H690" t="str">
            <v>03/06/2020</v>
          </cell>
          <cell r="I690">
            <v>20</v>
          </cell>
          <cell r="J690">
            <v>342800</v>
          </cell>
          <cell r="K690">
            <v>1</v>
          </cell>
          <cell r="L690" t="e">
            <v>#DIV/0!</v>
          </cell>
          <cell r="M690" t="str">
            <v>Und</v>
          </cell>
        </row>
        <row r="691">
          <cell r="A691" t="str">
            <v>51600006</v>
          </cell>
          <cell r="B691">
            <v>11828</v>
          </cell>
          <cell r="C691" t="str">
            <v>ROLLO CINTA RASO 45 MTS COLOR ORO (UND)</v>
          </cell>
          <cell r="D691" t="str">
            <v>51600006</v>
          </cell>
          <cell r="E691" t="str">
            <v>EMPAQUES PLANTA</v>
          </cell>
          <cell r="F691" t="str">
            <v>1 UND</v>
          </cell>
          <cell r="G691">
            <v>500</v>
          </cell>
          <cell r="H691" t="str">
            <v>06/01/2020</v>
          </cell>
          <cell r="I691">
            <v>5950</v>
          </cell>
          <cell r="J691">
            <v>11900</v>
          </cell>
          <cell r="K691">
            <v>45000</v>
          </cell>
          <cell r="L691" t="e">
            <v>#DIV/0!</v>
          </cell>
          <cell r="M691" t="str">
            <v>Und</v>
          </cell>
        </row>
        <row r="692">
          <cell r="A692" t="str">
            <v>51600014</v>
          </cell>
          <cell r="B692">
            <v>9667</v>
          </cell>
          <cell r="C692" t="str">
            <v>ROLLO DE CINTA DE RASO DE 45MTS COLOR FU</v>
          </cell>
          <cell r="D692" t="str">
            <v>51600014</v>
          </cell>
          <cell r="E692" t="str">
            <v>EMPAQUES PLANTA</v>
          </cell>
          <cell r="F692" t="str">
            <v>1 ROLLO</v>
          </cell>
          <cell r="G692">
            <v>500</v>
          </cell>
          <cell r="H692" t="str">
            <v>23/03/2020</v>
          </cell>
          <cell r="I692">
            <v>5950</v>
          </cell>
          <cell r="J692">
            <v>17850</v>
          </cell>
          <cell r="K692">
            <v>45000</v>
          </cell>
          <cell r="L692">
            <v>0.13222222222222221</v>
          </cell>
          <cell r="M692" t="str">
            <v>Und</v>
          </cell>
        </row>
        <row r="693">
          <cell r="A693" t="str">
            <v>51600015</v>
          </cell>
          <cell r="B693">
            <v>13573</v>
          </cell>
          <cell r="C693" t="str">
            <v>CINTA TRANS 1X40 (DELGADA)</v>
          </cell>
          <cell r="D693" t="str">
            <v>51600015</v>
          </cell>
          <cell r="E693" t="str">
            <v>EMPAQUES PLANTA</v>
          </cell>
          <cell r="F693" t="str">
            <v>1 UND</v>
          </cell>
          <cell r="G693">
            <v>500</v>
          </cell>
          <cell r="H693" t="str">
            <v>07/02/2020</v>
          </cell>
          <cell r="I693">
            <v>190</v>
          </cell>
          <cell r="J693">
            <v>54720</v>
          </cell>
          <cell r="K693">
            <v>1</v>
          </cell>
          <cell r="L693" t="e">
            <v>#DIV/0!</v>
          </cell>
          <cell r="M693" t="str">
            <v>Und</v>
          </cell>
        </row>
        <row r="694">
          <cell r="A694" t="str">
            <v>51600022</v>
          </cell>
          <cell r="B694">
            <v>15567</v>
          </cell>
          <cell r="C694" t="str">
            <v>ROLLO SELLO SEGURIDAD ROJO (ROLLO)</v>
          </cell>
          <cell r="D694" t="str">
            <v>51600022</v>
          </cell>
          <cell r="E694" t="str">
            <v>ETIQUETAS PLANTA</v>
          </cell>
          <cell r="F694" t="str">
            <v>1 ROLLO</v>
          </cell>
          <cell r="G694">
            <v>500</v>
          </cell>
          <cell r="H694" t="str">
            <v>12/06/2020</v>
          </cell>
          <cell r="I694">
            <v>4800</v>
          </cell>
          <cell r="J694">
            <v>883200</v>
          </cell>
          <cell r="K694">
            <v>50</v>
          </cell>
          <cell r="L694" t="e">
            <v>#DIV/0!</v>
          </cell>
          <cell r="M694" t="str">
            <v>Und</v>
          </cell>
        </row>
        <row r="695">
          <cell r="A695" t="str">
            <v>51600023</v>
          </cell>
          <cell r="B695">
            <v>15655</v>
          </cell>
          <cell r="C695" t="str">
            <v>ROLLOS PUNTO DE VENTA 3X3X1 (ROLLO)</v>
          </cell>
          <cell r="D695" t="str">
            <v>51600023</v>
          </cell>
          <cell r="E695" t="str">
            <v>ETIQUETAS PLANTA</v>
          </cell>
          <cell r="F695" t="str">
            <v>1 ROLLO</v>
          </cell>
          <cell r="G695">
            <v>500</v>
          </cell>
          <cell r="H695" t="str">
            <v>21/01/2020</v>
          </cell>
          <cell r="I695">
            <v>1</v>
          </cell>
          <cell r="J695">
            <v>691200</v>
          </cell>
          <cell r="K695">
            <v>50</v>
          </cell>
          <cell r="L695" t="e">
            <v>#DIV/0!</v>
          </cell>
          <cell r="M695" t="str">
            <v>Und</v>
          </cell>
        </row>
        <row r="696">
          <cell r="A696" t="str">
            <v>51600025</v>
          </cell>
          <cell r="B696">
            <v>16107</v>
          </cell>
          <cell r="C696" t="str">
            <v>ROLLOS PUNTO DE VENTA 3X3X2 (ROLLO)</v>
          </cell>
          <cell r="D696" t="str">
            <v>51600025</v>
          </cell>
          <cell r="E696" t="str">
            <v>EMPAQUES PLANTA</v>
          </cell>
          <cell r="F696" t="str">
            <v>1 ROLLO</v>
          </cell>
          <cell r="G696">
            <v>500</v>
          </cell>
          <cell r="H696" t="str">
            <v>06/04/2020</v>
          </cell>
          <cell r="I696">
            <v>540</v>
          </cell>
          <cell r="J696">
            <v>811944</v>
          </cell>
          <cell r="K696">
            <v>1</v>
          </cell>
          <cell r="L696" t="e">
            <v>#DIV/0!</v>
          </cell>
        </row>
        <row r="697">
          <cell r="A697" t="str">
            <v>51600026</v>
          </cell>
          <cell r="B697">
            <v>16289</v>
          </cell>
          <cell r="C697" t="str">
            <v>BANDEJA FIBRA 10X7.5X1.5 (PAQ:50 UND)</v>
          </cell>
          <cell r="D697" t="str">
            <v>51600026</v>
          </cell>
          <cell r="E697" t="str">
            <v>EMPAQUES PLANTA</v>
          </cell>
          <cell r="F697" t="str">
            <v>1 PAQUETE</v>
          </cell>
          <cell r="G697">
            <v>500</v>
          </cell>
          <cell r="H697" t="str">
            <v>01/06/2020</v>
          </cell>
          <cell r="I697">
            <v>540</v>
          </cell>
          <cell r="J697">
            <v>570299.19999999995</v>
          </cell>
          <cell r="K697">
            <v>50</v>
          </cell>
          <cell r="L697">
            <v>10.8</v>
          </cell>
        </row>
        <row r="698">
          <cell r="A698" t="str">
            <v>51600027</v>
          </cell>
          <cell r="B698">
            <v>16292</v>
          </cell>
          <cell r="C698" t="str">
            <v>TAPA TRANSPARENT 10X7.5X1.5 (PAQ:50 UND)</v>
          </cell>
          <cell r="D698" t="str">
            <v>51600027</v>
          </cell>
          <cell r="E698" t="str">
            <v>EMPAQUES PLANTA</v>
          </cell>
          <cell r="F698" t="str">
            <v>1 PAQUETE</v>
          </cell>
          <cell r="G698">
            <v>500</v>
          </cell>
          <cell r="H698" t="str">
            <v>17/03/2020</v>
          </cell>
          <cell r="I698">
            <v>9178.3680000000004</v>
          </cell>
          <cell r="J698">
            <v>660677.12</v>
          </cell>
          <cell r="K698">
            <v>50</v>
          </cell>
          <cell r="L698">
            <v>183.56736000000001</v>
          </cell>
          <cell r="M698" t="str">
            <v>Und</v>
          </cell>
        </row>
        <row r="699">
          <cell r="A699" t="str">
            <v>60100001</v>
          </cell>
          <cell r="B699">
            <v>10459</v>
          </cell>
          <cell r="C699" t="str">
            <v>ETIQUETA LOGO MUSMANNI (UND)</v>
          </cell>
          <cell r="D699" t="str">
            <v>60100001</v>
          </cell>
          <cell r="E699" t="str">
            <v>ETIQUETAS PLANTA</v>
          </cell>
          <cell r="F699" t="str">
            <v>1 UND</v>
          </cell>
          <cell r="G699">
            <v>500</v>
          </cell>
          <cell r="H699" t="str">
            <v>21/05/2020</v>
          </cell>
          <cell r="I699">
            <v>5</v>
          </cell>
          <cell r="J699">
            <v>117500</v>
          </cell>
          <cell r="K699">
            <v>1</v>
          </cell>
          <cell r="L699">
            <v>5</v>
          </cell>
          <cell r="M699" t="str">
            <v>Und</v>
          </cell>
        </row>
        <row r="700">
          <cell r="A700" t="str">
            <v>60100007</v>
          </cell>
          <cell r="B700">
            <v>10898</v>
          </cell>
          <cell r="C700" t="str">
            <v>ETiQUETA BLANCA  R-17 (UND)</v>
          </cell>
          <cell r="D700" t="str">
            <v>60100007</v>
          </cell>
          <cell r="E700" t="str">
            <v>ETIQUETAS PLANTA</v>
          </cell>
          <cell r="F700" t="str">
            <v>1 UND</v>
          </cell>
          <cell r="G700">
            <v>500</v>
          </cell>
          <cell r="H700" t="str">
            <v>02/01/2020</v>
          </cell>
          <cell r="I700">
            <v>3.2</v>
          </cell>
          <cell r="J700">
            <v>224000</v>
          </cell>
          <cell r="K700">
            <v>1</v>
          </cell>
          <cell r="L700">
            <v>3.2</v>
          </cell>
          <cell r="M700" t="str">
            <v>Und</v>
          </cell>
        </row>
        <row r="701">
          <cell r="A701" t="str">
            <v>60100010</v>
          </cell>
          <cell r="B701">
            <v>11570</v>
          </cell>
          <cell r="C701" t="str">
            <v>ETIQUETA ROJA LETRA ALERJENO (UND)</v>
          </cell>
          <cell r="D701" t="str">
            <v>60100010</v>
          </cell>
          <cell r="E701" t="str">
            <v>ETIQUETAS PLANTA</v>
          </cell>
          <cell r="F701" t="str">
            <v>1 UND</v>
          </cell>
          <cell r="G701">
            <v>500</v>
          </cell>
          <cell r="H701" t="str">
            <v>02/06/2020</v>
          </cell>
          <cell r="I701">
            <v>3.6</v>
          </cell>
          <cell r="J701">
            <v>635328</v>
          </cell>
          <cell r="K701">
            <v>1</v>
          </cell>
          <cell r="L701">
            <v>3.6</v>
          </cell>
          <cell r="M701" t="str">
            <v>Und</v>
          </cell>
        </row>
        <row r="702">
          <cell r="A702" t="str">
            <v>60100011</v>
          </cell>
          <cell r="B702">
            <v>11571</v>
          </cell>
          <cell r="C702" t="str">
            <v>ETIQ TORTA GENERICA BUCCA GRANDE (UND)</v>
          </cell>
          <cell r="D702" t="str">
            <v>60100011</v>
          </cell>
          <cell r="E702" t="str">
            <v>ETIQUETAS PLANTA</v>
          </cell>
          <cell r="F702" t="str">
            <v>1 UND</v>
          </cell>
          <cell r="G702">
            <v>500</v>
          </cell>
          <cell r="H702" t="str">
            <v>15/05/2020</v>
          </cell>
          <cell r="I702">
            <v>43.5</v>
          </cell>
          <cell r="J702">
            <v>1241820</v>
          </cell>
          <cell r="K702">
            <v>1</v>
          </cell>
          <cell r="L702">
            <v>43.5</v>
          </cell>
          <cell r="M702" t="str">
            <v>Und</v>
          </cell>
        </row>
        <row r="703">
          <cell r="A703" t="str">
            <v>60100013</v>
          </cell>
          <cell r="B703">
            <v>12920</v>
          </cell>
          <cell r="C703" t="str">
            <v>ETIQ CIRCULO BUCCA DULCE (UND)</v>
          </cell>
          <cell r="D703" t="str">
            <v>60100013</v>
          </cell>
          <cell r="E703" t="str">
            <v>ETIQUETAS PLANTA</v>
          </cell>
          <cell r="F703" t="str">
            <v>1 UND</v>
          </cell>
          <cell r="G703">
            <v>500</v>
          </cell>
          <cell r="H703" t="str">
            <v>17/01/2020</v>
          </cell>
          <cell r="I703">
            <v>3.5</v>
          </cell>
          <cell r="J703">
            <v>17500</v>
          </cell>
          <cell r="K703">
            <v>1</v>
          </cell>
          <cell r="L703">
            <v>3.5</v>
          </cell>
          <cell r="M703" t="str">
            <v>Und</v>
          </cell>
        </row>
        <row r="704">
          <cell r="A704" t="str">
            <v>60100014</v>
          </cell>
          <cell r="B704">
            <v>9489</v>
          </cell>
          <cell r="C704" t="str">
            <v>ETIQUETA LOGO SPOON DORADO (ROLLO:1000)</v>
          </cell>
          <cell r="D704" t="str">
            <v>60100014</v>
          </cell>
          <cell r="E704" t="str">
            <v>ETIQUETAS PLANTA</v>
          </cell>
          <cell r="F704" t="str">
            <v>1 ROLLO</v>
          </cell>
          <cell r="G704">
            <v>500</v>
          </cell>
          <cell r="H704" t="str">
            <v>04/02/2020</v>
          </cell>
          <cell r="I704">
            <v>6000</v>
          </cell>
          <cell r="J704">
            <v>300000</v>
          </cell>
          <cell r="K704">
            <v>1000</v>
          </cell>
          <cell r="L704">
            <v>6</v>
          </cell>
          <cell r="M704" t="str">
            <v>Und</v>
          </cell>
        </row>
        <row r="705">
          <cell r="A705" t="str">
            <v>60100023</v>
          </cell>
          <cell r="B705">
            <v>9210</v>
          </cell>
          <cell r="C705" t="str">
            <v>ETIQ APP SPOONERS CARD CUADRADA (UND)</v>
          </cell>
          <cell r="D705" t="str">
            <v>60100023</v>
          </cell>
          <cell r="E705" t="str">
            <v>ETIQUETAS PLANTA</v>
          </cell>
          <cell r="F705" t="str">
            <v>1 UND</v>
          </cell>
          <cell r="G705">
            <v>500</v>
          </cell>
          <cell r="H705" t="str">
            <v>02/06/2020</v>
          </cell>
          <cell r="I705">
            <v>5.6</v>
          </cell>
          <cell r="J705">
            <v>738440</v>
          </cell>
          <cell r="K705">
            <v>1</v>
          </cell>
          <cell r="L705">
            <v>5.6</v>
          </cell>
          <cell r="M705" t="str">
            <v>Und</v>
          </cell>
        </row>
        <row r="706">
          <cell r="A706" t="str">
            <v>60100024</v>
          </cell>
          <cell r="B706">
            <v>9211</v>
          </cell>
          <cell r="C706" t="str">
            <v>ETIQ CIRCULO APP SPOONERS CARD (UND)</v>
          </cell>
          <cell r="D706" t="str">
            <v>60100024</v>
          </cell>
          <cell r="E706" t="str">
            <v>ETIQUETAS PLANTA</v>
          </cell>
          <cell r="F706" t="str">
            <v>1 UND</v>
          </cell>
          <cell r="G706">
            <v>500</v>
          </cell>
          <cell r="H706" t="str">
            <v>02/06/2020</v>
          </cell>
          <cell r="I706">
            <v>4</v>
          </cell>
          <cell r="J706">
            <v>422040</v>
          </cell>
          <cell r="K706">
            <v>1</v>
          </cell>
          <cell r="L706">
            <v>4</v>
          </cell>
          <cell r="M706" t="str">
            <v>Mililitros</v>
          </cell>
        </row>
        <row r="707">
          <cell r="A707" t="str">
            <v>60100026</v>
          </cell>
          <cell r="B707">
            <v>11509</v>
          </cell>
          <cell r="C707" t="str">
            <v>LOGO OVALADO SPOON GRANDE (ROLLO:1000 U)</v>
          </cell>
          <cell r="D707" t="str">
            <v>60100026</v>
          </cell>
          <cell r="E707" t="str">
            <v>ETIQUETAS PLANTA</v>
          </cell>
          <cell r="F707" t="str">
            <v>1 ROLLO</v>
          </cell>
          <cell r="G707">
            <v>500</v>
          </cell>
          <cell r="H707" t="str">
            <v>12/06/2020</v>
          </cell>
          <cell r="I707">
            <v>3961</v>
          </cell>
          <cell r="J707">
            <v>231784.2</v>
          </cell>
          <cell r="K707">
            <v>1000</v>
          </cell>
          <cell r="L707">
            <v>3.9609999999999999</v>
          </cell>
          <cell r="M707" t="str">
            <v>Und</v>
          </cell>
        </row>
        <row r="708">
          <cell r="A708" t="str">
            <v>60100027</v>
          </cell>
          <cell r="B708">
            <v>11511</v>
          </cell>
          <cell r="C708" t="str">
            <v>LOGO OVALADO SPOON PEQ  (ROLLO:1000 U)</v>
          </cell>
          <cell r="D708" t="str">
            <v>60100027</v>
          </cell>
          <cell r="E708" t="str">
            <v>ETIQUETAS PLANTA</v>
          </cell>
          <cell r="F708" t="str">
            <v>1 ROLLO</v>
          </cell>
          <cell r="G708">
            <v>500</v>
          </cell>
          <cell r="H708" t="str">
            <v>15/06/2020</v>
          </cell>
          <cell r="I708">
            <v>1150</v>
          </cell>
          <cell r="J708">
            <v>11544</v>
          </cell>
          <cell r="K708">
            <v>1000</v>
          </cell>
          <cell r="L708">
            <v>1.1499999999999999</v>
          </cell>
          <cell r="M708" t="str">
            <v>Und</v>
          </cell>
        </row>
        <row r="709">
          <cell r="A709" t="str">
            <v>60100044</v>
          </cell>
          <cell r="B709">
            <v>15128</v>
          </cell>
          <cell r="C709" t="str">
            <v>ETIQUETA RP CIRCULO (UND)</v>
          </cell>
          <cell r="D709" t="str">
            <v>60100044</v>
          </cell>
          <cell r="E709" t="str">
            <v>ETIQUETAS PLANTA</v>
          </cell>
          <cell r="F709" t="str">
            <v>1 UND</v>
          </cell>
          <cell r="G709">
            <v>500</v>
          </cell>
          <cell r="H709" t="str">
            <v>06/02/2020</v>
          </cell>
          <cell r="I709">
            <v>4.0179999999999998</v>
          </cell>
          <cell r="J709">
            <v>1615236</v>
          </cell>
          <cell r="K709">
            <v>1</v>
          </cell>
          <cell r="L709">
            <v>4.0179999999999998</v>
          </cell>
          <cell r="M709" t="str">
            <v>Mililitros</v>
          </cell>
        </row>
        <row r="710">
          <cell r="A710" t="str">
            <v>60100046</v>
          </cell>
          <cell r="B710">
            <v>15481</v>
          </cell>
          <cell r="C710" t="str">
            <v>ETIQUETA ROMPOPE (UND)</v>
          </cell>
          <cell r="D710" t="str">
            <v>60100046</v>
          </cell>
          <cell r="E710" t="str">
            <v>ETIQUETAS PLANTA</v>
          </cell>
          <cell r="F710" t="str">
            <v>1 UND</v>
          </cell>
          <cell r="G710">
            <v>500</v>
          </cell>
          <cell r="H710" t="str">
            <v>18/12/2019</v>
          </cell>
          <cell r="I710">
            <v>150</v>
          </cell>
          <cell r="J710">
            <v>45000</v>
          </cell>
          <cell r="K710">
            <v>1</v>
          </cell>
          <cell r="L710">
            <v>150</v>
          </cell>
          <cell r="M710"/>
        </row>
        <row r="711">
          <cell r="A711" t="str">
            <v>60100047</v>
          </cell>
          <cell r="B711">
            <v>15611</v>
          </cell>
          <cell r="C711" t="str">
            <v>ETIQUETA TE CHAI FRENTE (UND)</v>
          </cell>
          <cell r="D711" t="str">
            <v>60100047</v>
          </cell>
          <cell r="E711" t="str">
            <v>ETIQUETAS PLANTA</v>
          </cell>
          <cell r="F711" t="str">
            <v>1 UND</v>
          </cell>
          <cell r="G711">
            <v>500</v>
          </cell>
          <cell r="H711" t="str">
            <v>09/12/2019</v>
          </cell>
          <cell r="I711">
            <v>42</v>
          </cell>
          <cell r="J711">
            <v>440580</v>
          </cell>
          <cell r="K711">
            <v>1</v>
          </cell>
          <cell r="L711">
            <v>42</v>
          </cell>
          <cell r="M711" t="str">
            <v>Mililitros</v>
          </cell>
        </row>
        <row r="712">
          <cell r="A712" t="str">
            <v>60100048</v>
          </cell>
          <cell r="B712">
            <v>15612</v>
          </cell>
          <cell r="C712" t="str">
            <v>ETIQUETA TE CHAI REVERSO (UND)</v>
          </cell>
          <cell r="D712" t="str">
            <v>60100048</v>
          </cell>
          <cell r="E712" t="str">
            <v>ETIQUETAS PLANTA</v>
          </cell>
          <cell r="F712" t="str">
            <v>1 UND</v>
          </cell>
          <cell r="G712">
            <v>500</v>
          </cell>
          <cell r="H712" t="str">
            <v>09/12/2019</v>
          </cell>
          <cell r="I712">
            <v>39</v>
          </cell>
          <cell r="J712">
            <v>428220</v>
          </cell>
          <cell r="K712">
            <v>1</v>
          </cell>
          <cell r="L712">
            <v>39</v>
          </cell>
        </row>
        <row r="713">
          <cell r="A713" t="str">
            <v>60100049</v>
          </cell>
          <cell r="B713">
            <v>16178</v>
          </cell>
          <cell r="C713" t="str">
            <v>ETIQUETA DATA VARIABLE (UND)</v>
          </cell>
          <cell r="D713" t="str">
            <v>60100049</v>
          </cell>
          <cell r="E713" t="str">
            <v>ETIQUETAS PLANTA</v>
          </cell>
          <cell r="F713" t="str">
            <v>1 UND</v>
          </cell>
          <cell r="G713">
            <v>500</v>
          </cell>
          <cell r="H713" t="str">
            <v>28/02/2020</v>
          </cell>
          <cell r="I713">
            <v>7.0144399999999996</v>
          </cell>
          <cell r="J713">
            <v>265075.6876</v>
          </cell>
          <cell r="K713">
            <v>1</v>
          </cell>
          <cell r="L713">
            <v>7.0144399999999996</v>
          </cell>
          <cell r="M713"/>
        </row>
        <row r="714">
          <cell r="A714" t="str">
            <v>60100050</v>
          </cell>
          <cell r="B714">
            <v>16179</v>
          </cell>
          <cell r="C714" t="str">
            <v>ETIQUETA TE LLEVA A LA PLAYA (UND)</v>
          </cell>
          <cell r="D714" t="str">
            <v>60100050</v>
          </cell>
          <cell r="E714" t="str">
            <v>ETIQUETAS PLANTA</v>
          </cell>
          <cell r="F714" t="str">
            <v>1 UND</v>
          </cell>
          <cell r="G714">
            <v>500</v>
          </cell>
          <cell r="H714" t="str">
            <v>28/02/2020</v>
          </cell>
          <cell r="I714">
            <v>5.8</v>
          </cell>
          <cell r="J714">
            <v>219240</v>
          </cell>
          <cell r="K714">
            <v>1</v>
          </cell>
          <cell r="L714">
            <v>5.8</v>
          </cell>
          <cell r="M714" t="str">
            <v>Gramos</v>
          </cell>
        </row>
        <row r="715">
          <cell r="A715" t="str">
            <v>60100051</v>
          </cell>
          <cell r="B715">
            <v>16441</v>
          </cell>
          <cell r="C715" t="str">
            <v xml:space="preserve">ETIQ. JUNTOS A LA DISTANCIA(ROLLO:500 U </v>
          </cell>
          <cell r="D715" t="str">
            <v>60100051</v>
          </cell>
          <cell r="E715" t="str">
            <v>ETIQUETAS PLANTA</v>
          </cell>
          <cell r="F715" t="str">
            <v>1 ROLLO</v>
          </cell>
          <cell r="G715">
            <v>500</v>
          </cell>
          <cell r="H715" t="str">
            <v>02/06/2020</v>
          </cell>
          <cell r="I715">
            <v>8800</v>
          </cell>
          <cell r="J715">
            <v>712617.4</v>
          </cell>
          <cell r="K715">
            <v>500</v>
          </cell>
          <cell r="L715">
            <v>17.600000000000001</v>
          </cell>
          <cell r="M715" t="str">
            <v>Mililitros</v>
          </cell>
        </row>
        <row r="716">
          <cell r="A716" t="str">
            <v>60100052</v>
          </cell>
          <cell r="B716">
            <v>16442</v>
          </cell>
          <cell r="C716" t="str">
            <v>ETIQ. PRONTO VOLVEREMOS JUNTOS (ROLLO)</v>
          </cell>
          <cell r="D716" t="str">
            <v>60100052</v>
          </cell>
          <cell r="E716" t="str">
            <v>ETIQUETAS PLANTA</v>
          </cell>
          <cell r="F716" t="str">
            <v>1 ROLLO</v>
          </cell>
          <cell r="G716">
            <v>500</v>
          </cell>
          <cell r="H716" t="str">
            <v>12/05/2020</v>
          </cell>
          <cell r="I716">
            <v>3000</v>
          </cell>
          <cell r="J716">
            <v>735617.4</v>
          </cell>
          <cell r="K716">
            <v>1000</v>
          </cell>
          <cell r="L716" t="e">
            <v>#DIV/0!</v>
          </cell>
          <cell r="M716" t="str">
            <v>Mililitros</v>
          </cell>
        </row>
        <row r="717">
          <cell r="A717" t="str">
            <v>60100053</v>
          </cell>
          <cell r="B717">
            <v>16443</v>
          </cell>
          <cell r="C717" t="str">
            <v>ETIQ. DESINFECTAR CELULAR (ROLLO: 500 U)</v>
          </cell>
          <cell r="D717" t="str">
            <v>60100053</v>
          </cell>
          <cell r="E717" t="str">
            <v>ETIQUETAS PLANTA</v>
          </cell>
          <cell r="F717" t="str">
            <v>1 ROLLO</v>
          </cell>
          <cell r="G717">
            <v>500</v>
          </cell>
          <cell r="H717" t="str">
            <v>11/05/2020</v>
          </cell>
          <cell r="I717">
            <v>5.8</v>
          </cell>
          <cell r="J717">
            <v>693817.4</v>
          </cell>
          <cell r="K717">
            <v>500</v>
          </cell>
          <cell r="L717">
            <v>1.1599999999999999E-2</v>
          </cell>
          <cell r="M717" t="str">
            <v>Gramos</v>
          </cell>
        </row>
        <row r="718">
          <cell r="A718" t="str">
            <v>60100054</v>
          </cell>
          <cell r="B718">
            <v>16444</v>
          </cell>
          <cell r="C718" t="str">
            <v>ETIQ. RECUERDE LAVAR MANOS (ROLLO:500 U)</v>
          </cell>
          <cell r="D718" t="str">
            <v>60100054</v>
          </cell>
          <cell r="E718" t="str">
            <v>ETIQUETAS PLANTA</v>
          </cell>
          <cell r="F718" t="str">
            <v>1 ROLLO</v>
          </cell>
          <cell r="G718">
            <v>500</v>
          </cell>
          <cell r="H718" t="str">
            <v>11/05/2020</v>
          </cell>
          <cell r="I718">
            <v>5.8</v>
          </cell>
          <cell r="J718">
            <v>713377.4</v>
          </cell>
          <cell r="K718">
            <v>500</v>
          </cell>
          <cell r="L718">
            <v>1.1599999999999999E-2</v>
          </cell>
          <cell r="M718" t="str">
            <v>Gramos</v>
          </cell>
        </row>
        <row r="719">
          <cell r="A719" t="str">
            <v>60100055</v>
          </cell>
          <cell r="B719">
            <v>16500</v>
          </cell>
          <cell r="C719" t="str">
            <v>STICKER TORTA KAHLUA (ROLLO: 1000 UND)</v>
          </cell>
          <cell r="D719" t="str">
            <v>60100055</v>
          </cell>
          <cell r="E719" t="str">
            <v>ETIQUETAS PLANTA</v>
          </cell>
          <cell r="F719" t="str">
            <v>1 ROLLO</v>
          </cell>
          <cell r="G719">
            <v>500</v>
          </cell>
          <cell r="H719" t="str">
            <v>08/05/2020</v>
          </cell>
          <cell r="I719">
            <v>16000</v>
          </cell>
          <cell r="J719">
            <v>80000</v>
          </cell>
          <cell r="K719">
            <v>1000</v>
          </cell>
          <cell r="L719">
            <v>16</v>
          </cell>
          <cell r="M719" t="str">
            <v>Mililitros</v>
          </cell>
        </row>
        <row r="720">
          <cell r="A720" t="str">
            <v>100100002</v>
          </cell>
          <cell r="B720">
            <v>11537</v>
          </cell>
          <cell r="C720" t="str">
            <v>BLOCK ORDEN DE TRABAJO (UND)</v>
          </cell>
          <cell r="D720" t="str">
            <v>100100002</v>
          </cell>
          <cell r="E720" t="str">
            <v>ETIQUETAS PLANTA</v>
          </cell>
          <cell r="F720" t="str">
            <v>1 UND</v>
          </cell>
          <cell r="G720">
            <v>500</v>
          </cell>
          <cell r="H720" t="str">
            <v>04/12/2019</v>
          </cell>
          <cell r="I720">
            <v>11333.34</v>
          </cell>
          <cell r="J720">
            <v>170000.1</v>
          </cell>
          <cell r="K720">
            <v>1</v>
          </cell>
          <cell r="L720">
            <v>11333.34</v>
          </cell>
          <cell r="M720" t="str">
            <v>Gramos</v>
          </cell>
        </row>
        <row r="721">
          <cell r="A721" t="str">
            <v>100100003</v>
          </cell>
          <cell r="B721">
            <v>11824</v>
          </cell>
          <cell r="C721" t="str">
            <v>BLOCK HOJA DE TRABAJO DIARIO (UND)</v>
          </cell>
          <cell r="D721" t="str">
            <v>100100003</v>
          </cell>
          <cell r="E721" t="str">
            <v>ETIQUETAS PLANTA</v>
          </cell>
          <cell r="F721" t="str">
            <v>1 UND</v>
          </cell>
          <cell r="G721">
            <v>500</v>
          </cell>
          <cell r="H721" t="str">
            <v>09/01/2020</v>
          </cell>
          <cell r="I721">
            <v>3312.5</v>
          </cell>
          <cell r="J721">
            <v>132500</v>
          </cell>
          <cell r="K721">
            <v>946</v>
          </cell>
          <cell r="L721" t="e">
            <v>#DIV/0!</v>
          </cell>
          <cell r="M721" t="str">
            <v>Mililitros</v>
          </cell>
        </row>
        <row r="722">
          <cell r="A722" t="str">
            <v>100100009</v>
          </cell>
          <cell r="B722">
            <v>11539</v>
          </cell>
          <cell r="C722" t="str">
            <v>BLOCK CONTEO PRODUCCION DIARIA</v>
          </cell>
          <cell r="D722" t="str">
            <v>100100009</v>
          </cell>
          <cell r="E722" t="str">
            <v>ETIQUETAS PLANTA</v>
          </cell>
          <cell r="F722" t="str">
            <v>1 UND</v>
          </cell>
          <cell r="G722">
            <v>500</v>
          </cell>
          <cell r="H722" t="str">
            <v>21/05/2020</v>
          </cell>
          <cell r="I722">
            <v>6566.67</v>
          </cell>
          <cell r="J722">
            <v>98500.05</v>
          </cell>
          <cell r="K722">
            <v>3785</v>
          </cell>
          <cell r="L722" t="e">
            <v>#DIV/0!</v>
          </cell>
          <cell r="M722" t="str">
            <v>Gramos</v>
          </cell>
        </row>
        <row r="723">
          <cell r="A723" t="str">
            <v>100100012</v>
          </cell>
          <cell r="B723">
            <v>11540</v>
          </cell>
          <cell r="C723" t="str">
            <v>PRUEBA DE VALIDACION DE DETECTOR DE META</v>
          </cell>
          <cell r="D723" t="str">
            <v>100100012</v>
          </cell>
          <cell r="E723" t="str">
            <v>ETIQUETAS PLANTA</v>
          </cell>
          <cell r="F723" t="str">
            <v>1 UND</v>
          </cell>
          <cell r="G723">
            <v>500</v>
          </cell>
          <cell r="H723" t="str">
            <v>04/12/2019</v>
          </cell>
          <cell r="I723">
            <v>7000</v>
          </cell>
          <cell r="J723">
            <v>70000</v>
          </cell>
          <cell r="K723">
            <v>930</v>
          </cell>
          <cell r="L723" t="e">
            <v>#DIV/0!</v>
          </cell>
          <cell r="M723" t="str">
            <v>Gramos</v>
          </cell>
        </row>
        <row r="724">
          <cell r="A724" t="str">
            <v>100100014</v>
          </cell>
          <cell r="B724">
            <v>12972</v>
          </cell>
          <cell r="C724" t="str">
            <v>BLOCK REGISTRO PRODUC QUEQUES DECO (UND)</v>
          </cell>
          <cell r="D724" t="str">
            <v>100100014</v>
          </cell>
          <cell r="E724" t="str">
            <v>ETIQUETAS PLANTA</v>
          </cell>
          <cell r="F724" t="str">
            <v>1 UND</v>
          </cell>
          <cell r="G724">
            <v>500</v>
          </cell>
          <cell r="H724" t="str">
            <v>15/06/2020</v>
          </cell>
          <cell r="I724">
            <v>6566.67</v>
          </cell>
          <cell r="J724">
            <v>208500.05</v>
          </cell>
          <cell r="K724">
            <v>1000</v>
          </cell>
          <cell r="L724" t="e">
            <v>#DIV/0!</v>
          </cell>
          <cell r="M724" t="str">
            <v>Gramos</v>
          </cell>
        </row>
        <row r="725">
          <cell r="A725" t="str">
            <v>100100018</v>
          </cell>
          <cell r="B725">
            <v>11543</v>
          </cell>
          <cell r="C725" t="str">
            <v>BLOCK REG  DE DESECHO-VENTA-DONACION</v>
          </cell>
          <cell r="D725" t="str">
            <v>100100018</v>
          </cell>
          <cell r="E725" t="str">
            <v>ETIQUETAS PLANTA</v>
          </cell>
          <cell r="F725" t="str">
            <v>1 UND</v>
          </cell>
          <cell r="G725">
            <v>500</v>
          </cell>
          <cell r="H725" t="str">
            <v>06/01/2020</v>
          </cell>
          <cell r="I725">
            <v>13000</v>
          </cell>
          <cell r="J725">
            <v>195000</v>
          </cell>
          <cell r="K725">
            <v>1000</v>
          </cell>
          <cell r="L725" t="e">
            <v>#DIV/0!</v>
          </cell>
          <cell r="M725" t="str">
            <v>Gramos</v>
          </cell>
        </row>
        <row r="726">
          <cell r="A726" t="str">
            <v>100100022</v>
          </cell>
          <cell r="B726">
            <v>12974</v>
          </cell>
          <cell r="C726" t="str">
            <v>BLOCK TRASLADO DE MATERIALES PRIMAS (UND</v>
          </cell>
          <cell r="D726" t="str">
            <v>100100022</v>
          </cell>
          <cell r="E726" t="str">
            <v>ETIQUETAS PLANTA</v>
          </cell>
          <cell r="F726" t="str">
            <v>1 UND</v>
          </cell>
          <cell r="G726">
            <v>500</v>
          </cell>
          <cell r="H726" t="str">
            <v>04/12/2019</v>
          </cell>
          <cell r="I726">
            <v>4750</v>
          </cell>
          <cell r="J726">
            <v>95000</v>
          </cell>
          <cell r="K726">
            <v>454</v>
          </cell>
          <cell r="L726" t="e">
            <v>#DIV/0!</v>
          </cell>
          <cell r="M726" t="str">
            <v>Gramos</v>
          </cell>
        </row>
        <row r="727">
          <cell r="A727" t="str">
            <v>100100024</v>
          </cell>
          <cell r="B727">
            <v>11545</v>
          </cell>
          <cell r="C727" t="str">
            <v>BLOCK BOLETA SALIDA PRODCUTO</v>
          </cell>
          <cell r="D727" t="str">
            <v>100100024</v>
          </cell>
          <cell r="E727" t="str">
            <v>ETIQUETAS PLANTA</v>
          </cell>
          <cell r="F727" t="str">
            <v>1 UND</v>
          </cell>
          <cell r="G727">
            <v>500</v>
          </cell>
          <cell r="H727" t="str">
            <v>21/05/2020</v>
          </cell>
          <cell r="I727">
            <v>8750</v>
          </cell>
          <cell r="J727">
            <v>105000</v>
          </cell>
          <cell r="K727">
            <v>510</v>
          </cell>
          <cell r="L727" t="e">
            <v>#DIV/0!</v>
          </cell>
          <cell r="M727" t="str">
            <v>Gramos</v>
          </cell>
        </row>
        <row r="728">
          <cell r="A728" t="str">
            <v>100100032</v>
          </cell>
          <cell r="B728">
            <v>13090</v>
          </cell>
          <cell r="C728" t="str">
            <v>CONTROL DE TEMPERATURA CRITICA COCCION D</v>
          </cell>
          <cell r="D728" t="str">
            <v>100100032</v>
          </cell>
          <cell r="E728" t="str">
            <v>ETIQUETAS PLANTA</v>
          </cell>
          <cell r="F728" t="str">
            <v>1 UND</v>
          </cell>
          <cell r="G728">
            <v>500</v>
          </cell>
          <cell r="H728" t="str">
            <v>09/01/2020</v>
          </cell>
          <cell r="I728">
            <v>8250</v>
          </cell>
          <cell r="J728">
            <v>82500</v>
          </cell>
          <cell r="K728">
            <v>57</v>
          </cell>
          <cell r="L728" t="e">
            <v>#DIV/0!</v>
          </cell>
          <cell r="M728" t="str">
            <v>Gramos</v>
          </cell>
        </row>
        <row r="729">
          <cell r="A729" t="str">
            <v>100100037</v>
          </cell>
          <cell r="B729">
            <v>11549</v>
          </cell>
          <cell r="C729" t="str">
            <v>BLOCK CONT ENTREGAS RECOLEC CAJAS (UND)</v>
          </cell>
          <cell r="D729" t="str">
            <v>100100037</v>
          </cell>
          <cell r="E729" t="str">
            <v>ETIQUETAS PLANTA</v>
          </cell>
          <cell r="F729" t="str">
            <v>1 UND</v>
          </cell>
          <cell r="G729">
            <v>500</v>
          </cell>
          <cell r="H729" t="str">
            <v>24/02/2020</v>
          </cell>
          <cell r="I729">
            <v>5875</v>
          </cell>
          <cell r="J729">
            <v>557500</v>
          </cell>
          <cell r="K729">
            <v>500</v>
          </cell>
          <cell r="L729" t="e">
            <v>#DIV/0!</v>
          </cell>
          <cell r="M729" t="str">
            <v>Gramos</v>
          </cell>
        </row>
        <row r="730">
          <cell r="A730" t="str">
            <v>101000015</v>
          </cell>
          <cell r="B730">
            <v>5245</v>
          </cell>
          <cell r="C730" t="str">
            <v>AZUCAR REFINADA VICTORIA (PAQ:1 K)</v>
          </cell>
          <cell r="D730" t="str">
            <v>101000015</v>
          </cell>
          <cell r="E730" t="str">
            <v>MATERIAS PRIMAS PLANTA</v>
          </cell>
          <cell r="F730" t="str">
            <v>1 PAQUETE</v>
          </cell>
          <cell r="G730">
            <v>500</v>
          </cell>
          <cell r="H730" t="str">
            <v>09/06/2020</v>
          </cell>
          <cell r="I730">
            <v>691.16666666666697</v>
          </cell>
          <cell r="J730">
            <v>11736010</v>
          </cell>
          <cell r="K730">
            <v>1000</v>
          </cell>
          <cell r="L730">
            <v>0.69116666666666693</v>
          </cell>
          <cell r="M730" t="str">
            <v>Gramos</v>
          </cell>
        </row>
        <row r="731">
          <cell r="A731" t="str">
            <v>101000073</v>
          </cell>
          <cell r="B731">
            <v>5303</v>
          </cell>
          <cell r="C731" t="str">
            <v>AZUCAR GLASS MOLIDA (PAQ: 4 K)</v>
          </cell>
          <cell r="D731" t="str">
            <v>101000073</v>
          </cell>
          <cell r="E731" t="str">
            <v>MATERIAS PRIMAS PLANTA</v>
          </cell>
          <cell r="F731" t="str">
            <v>1 PAQUETE</v>
          </cell>
          <cell r="G731">
            <v>500</v>
          </cell>
          <cell r="H731" t="str">
            <v>15/06/2020</v>
          </cell>
          <cell r="I731">
            <v>6004</v>
          </cell>
          <cell r="J731">
            <v>8519676</v>
          </cell>
          <cell r="K731">
            <v>4000</v>
          </cell>
          <cell r="L731">
            <v>1.5009999999999999</v>
          </cell>
          <cell r="M731" t="str">
            <v>Gramos</v>
          </cell>
        </row>
        <row r="732">
          <cell r="A732" t="str">
            <v>101000104</v>
          </cell>
          <cell r="B732">
            <v>7077</v>
          </cell>
          <cell r="C732" t="str">
            <v>SALSA OSTION PANDA (UND:5LBS)</v>
          </cell>
          <cell r="D732" t="str">
            <v>101000104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>
            <v>4995</v>
          </cell>
          <cell r="J732">
            <v>375030</v>
          </cell>
          <cell r="K732">
            <v>2268</v>
          </cell>
          <cell r="L732">
            <v>2.2023809523809526</v>
          </cell>
          <cell r="M732" t="str">
            <v>Mililitros</v>
          </cell>
        </row>
        <row r="733">
          <cell r="A733" t="str">
            <v>101000114</v>
          </cell>
          <cell r="B733">
            <v>7087</v>
          </cell>
          <cell r="C733" t="str">
            <v>MAIZ DULCE GALON MONACO (UND:2.5K)</v>
          </cell>
          <cell r="D733" t="str">
            <v>101000114</v>
          </cell>
          <cell r="E733" t="str">
            <v>MATERIAS PRIMAS PLANTA</v>
          </cell>
          <cell r="F733" t="str">
            <v>1 UND</v>
          </cell>
          <cell r="G733">
            <v>500</v>
          </cell>
          <cell r="H733" t="str">
            <v>28/01/2020</v>
          </cell>
          <cell r="I733">
            <v>2516</v>
          </cell>
          <cell r="J733">
            <v>239416</v>
          </cell>
          <cell r="K733">
            <v>2500</v>
          </cell>
          <cell r="L733">
            <v>1.0064</v>
          </cell>
          <cell r="M733" t="str">
            <v>Gramos</v>
          </cell>
        </row>
        <row r="734">
          <cell r="A734" t="str">
            <v>102000024</v>
          </cell>
          <cell r="B734">
            <v>5353</v>
          </cell>
          <cell r="C734" t="str">
            <v>MEZCLA BEBIDA MARACUYA (UND:946ML)</v>
          </cell>
          <cell r="D734" t="str">
            <v>102000024</v>
          </cell>
          <cell r="E734" t="str">
            <v>MATERIAS PRIMAS PLANTA</v>
          </cell>
          <cell r="F734" t="str">
            <v>1 UND</v>
          </cell>
          <cell r="G734">
            <v>500</v>
          </cell>
          <cell r="H734" t="str">
            <v>04/02/2020</v>
          </cell>
          <cell r="I734">
            <v>3035</v>
          </cell>
          <cell r="J734">
            <v>6070</v>
          </cell>
          <cell r="K734">
            <v>946</v>
          </cell>
          <cell r="L734">
            <v>3.2082452431289639</v>
          </cell>
          <cell r="M734" t="str">
            <v>Mililitros</v>
          </cell>
        </row>
        <row r="735">
          <cell r="A735" t="str">
            <v>102000028</v>
          </cell>
          <cell r="B735">
            <v>5357</v>
          </cell>
          <cell r="C735" t="str">
            <v>JUGO DE NARANJA NATURAL (UND:3.785 L)</v>
          </cell>
          <cell r="D735" t="str">
            <v>102000028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15/06/2020</v>
          </cell>
          <cell r="I735">
            <v>1</v>
          </cell>
          <cell r="J735">
            <v>16182647.199999999</v>
          </cell>
          <cell r="K735">
            <v>3785</v>
          </cell>
          <cell r="L735">
            <v>2.642007926023778E-4</v>
          </cell>
          <cell r="M735" t="str">
            <v>Gramos</v>
          </cell>
        </row>
        <row r="736">
          <cell r="A736" t="str">
            <v>102000035</v>
          </cell>
          <cell r="B736">
            <v>12925</v>
          </cell>
          <cell r="C736" t="str">
            <v>JUGO LIMON (UND=930 ml)</v>
          </cell>
          <cell r="D736" t="str">
            <v>102000035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10/06/2020</v>
          </cell>
          <cell r="I736">
            <v>1425</v>
          </cell>
          <cell r="J736">
            <v>3010892</v>
          </cell>
          <cell r="K736">
            <v>930</v>
          </cell>
          <cell r="L736">
            <v>1.532258064516129</v>
          </cell>
          <cell r="M736" t="str">
            <v>Gramos</v>
          </cell>
        </row>
        <row r="737">
          <cell r="A737" t="str">
            <v>102000036</v>
          </cell>
          <cell r="B737">
            <v>14844</v>
          </cell>
          <cell r="C737" t="str">
            <v>CAFE INSTANTANEO CLASICO (UND:1 K)</v>
          </cell>
          <cell r="D737" t="str">
            <v>102000036</v>
          </cell>
          <cell r="E737" t="str">
            <v>MATERIAS PRIMAS PLANTA</v>
          </cell>
          <cell r="F737" t="str">
            <v>1 UND</v>
          </cell>
          <cell r="G737">
            <v>500</v>
          </cell>
          <cell r="H737" t="str">
            <v>11/06/2020</v>
          </cell>
          <cell r="I737">
            <v>17111</v>
          </cell>
          <cell r="J737">
            <v>803681</v>
          </cell>
          <cell r="K737">
            <v>1000</v>
          </cell>
          <cell r="L737">
            <v>14.54435</v>
          </cell>
          <cell r="M737" t="str">
            <v>Gramos</v>
          </cell>
        </row>
        <row r="738">
          <cell r="A738" t="str">
            <v>102000037</v>
          </cell>
          <cell r="B738">
            <v>15159</v>
          </cell>
          <cell r="C738" t="str">
            <v xml:space="preserve">TE FRIO MELOCOTON (CAJA: 6 PAQ) </v>
          </cell>
          <cell r="D738" t="str">
            <v>102000037</v>
          </cell>
          <cell r="E738" t="str">
            <v>MATERIAS PRIMAS PLANTA</v>
          </cell>
          <cell r="F738" t="str">
            <v>1 CAJA</v>
          </cell>
          <cell r="G738">
            <v>500</v>
          </cell>
          <cell r="H738" t="str">
            <v>15/06/2020</v>
          </cell>
          <cell r="I738">
            <v>9553</v>
          </cell>
          <cell r="J738">
            <v>983959</v>
          </cell>
          <cell r="K738">
            <v>1000</v>
          </cell>
          <cell r="L738" t="e">
            <v>#DIV/0!</v>
          </cell>
          <cell r="M738" t="str">
            <v>Gramos</v>
          </cell>
        </row>
        <row r="739">
          <cell r="A739" t="str">
            <v>102000038</v>
          </cell>
          <cell r="B739">
            <v>15160</v>
          </cell>
          <cell r="C739" t="str">
            <v>TE VERDE DE MANZANA (CAJA: 8 PAQ)</v>
          </cell>
          <cell r="D739" t="str">
            <v>102000038</v>
          </cell>
          <cell r="E739" t="str">
            <v>MATERIAS PRIMAS PLANTA</v>
          </cell>
          <cell r="F739" t="str">
            <v>1 CAJA</v>
          </cell>
          <cell r="G739">
            <v>500</v>
          </cell>
          <cell r="H739" t="str">
            <v>15/06/2020</v>
          </cell>
          <cell r="I739">
            <v>11819</v>
          </cell>
          <cell r="J739">
            <v>720959</v>
          </cell>
          <cell r="K739">
            <v>1000</v>
          </cell>
          <cell r="L739" t="e">
            <v>#DIV/0!</v>
          </cell>
          <cell r="M739" t="str">
            <v>Gramos</v>
          </cell>
        </row>
        <row r="740">
          <cell r="A740" t="str">
            <v>102000039</v>
          </cell>
          <cell r="B740">
            <v>15504</v>
          </cell>
          <cell r="C740" t="str">
            <v>ROMPOPE SPOON (UND:510 G)</v>
          </cell>
          <cell r="D740" t="str">
            <v>102000039</v>
          </cell>
          <cell r="E740" t="str">
            <v>MATERIAS PRIMAS PLANTA</v>
          </cell>
          <cell r="F740" t="str">
            <v>1 UND</v>
          </cell>
          <cell r="G740">
            <v>500</v>
          </cell>
          <cell r="H740" t="str">
            <v>20/12/2019</v>
          </cell>
          <cell r="I740">
            <v>2460</v>
          </cell>
          <cell r="J740">
            <v>2063940</v>
          </cell>
          <cell r="K740">
            <v>510</v>
          </cell>
          <cell r="L740">
            <v>4.8235294117647056</v>
          </cell>
          <cell r="M740" t="str">
            <v>Gramos</v>
          </cell>
        </row>
        <row r="741">
          <cell r="A741" t="str">
            <v>102000040</v>
          </cell>
          <cell r="B741">
            <v>15624</v>
          </cell>
          <cell r="C741" t="str">
            <v>TE MATCHA NARANJA (PAQ: 20/50 G)</v>
          </cell>
          <cell r="D741" t="str">
            <v>102000040</v>
          </cell>
          <cell r="E741" t="str">
            <v>MATERIAS PRIMAS PLANTA</v>
          </cell>
          <cell r="F741" t="str">
            <v>1 PAQ</v>
          </cell>
          <cell r="G741">
            <v>500</v>
          </cell>
          <cell r="H741" t="str">
            <v>18/03/2020</v>
          </cell>
          <cell r="I741">
            <v>3300</v>
          </cell>
          <cell r="J741">
            <v>303600</v>
          </cell>
          <cell r="K741">
            <v>156</v>
          </cell>
          <cell r="L741" t="e">
            <v>#DIV/0!</v>
          </cell>
          <cell r="M741" t="str">
            <v>Gramos</v>
          </cell>
        </row>
        <row r="742">
          <cell r="A742" t="str">
            <v>102000041</v>
          </cell>
          <cell r="B742">
            <v>15625</v>
          </cell>
          <cell r="C742" t="str">
            <v>TE FRIO LIMON (PAQ:500 G)</v>
          </cell>
          <cell r="D742" t="str">
            <v>102000041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19/05/2020</v>
          </cell>
          <cell r="I742">
            <v>1</v>
          </cell>
          <cell r="J742">
            <v>1689600</v>
          </cell>
          <cell r="K742">
            <v>500</v>
          </cell>
          <cell r="L742">
            <v>2E-3</v>
          </cell>
          <cell r="M742" t="str">
            <v>Gramos</v>
          </cell>
        </row>
        <row r="743">
          <cell r="A743" t="str">
            <v>102000046</v>
          </cell>
          <cell r="B743">
            <v>15630</v>
          </cell>
          <cell r="C743" t="str">
            <v>BEBIDA TE CHAI (PAQ: 300 G)</v>
          </cell>
          <cell r="D743" t="str">
            <v>102000046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05/06/2020</v>
          </cell>
          <cell r="I743">
            <v>1</v>
          </cell>
          <cell r="J743">
            <v>738390</v>
          </cell>
          <cell r="K743">
            <v>300</v>
          </cell>
          <cell r="L743">
            <v>3.3333333333333335E-3</v>
          </cell>
          <cell r="M743" t="str">
            <v>Gramos</v>
          </cell>
        </row>
        <row r="744">
          <cell r="A744" t="str">
            <v>102000048</v>
          </cell>
          <cell r="B744">
            <v>15881</v>
          </cell>
          <cell r="C744" t="str">
            <v>PIPA (UND)</v>
          </cell>
          <cell r="D744" t="str">
            <v>102000048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19/03/2020</v>
          </cell>
          <cell r="I744">
            <v>675</v>
          </cell>
          <cell r="J744">
            <v>557550</v>
          </cell>
          <cell r="K744">
            <v>500</v>
          </cell>
          <cell r="L744" t="e">
            <v>#DIV/0!</v>
          </cell>
          <cell r="M744" t="str">
            <v>Gramos</v>
          </cell>
        </row>
        <row r="745">
          <cell r="A745" t="str">
            <v>102000049</v>
          </cell>
          <cell r="B745">
            <v>16321</v>
          </cell>
          <cell r="C745" t="str">
            <v>KAHLUA LICOR DE CAFÉ (UND: 750 ML)</v>
          </cell>
          <cell r="D745" t="str">
            <v>102000049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01/06/2020</v>
          </cell>
          <cell r="I745">
            <v>7457</v>
          </cell>
          <cell r="J745">
            <v>5891030</v>
          </cell>
          <cell r="K745">
            <v>750</v>
          </cell>
          <cell r="L745">
            <v>9.9426666666666659</v>
          </cell>
          <cell r="M745" t="str">
            <v>Mililitros</v>
          </cell>
        </row>
        <row r="746">
          <cell r="A746" t="str">
            <v>102000051</v>
          </cell>
          <cell r="B746">
            <v>16466</v>
          </cell>
          <cell r="C746" t="str">
            <v>SIROPE CHOCOLATE HERSHEYS (UND:7.5 LBS)</v>
          </cell>
          <cell r="D746" t="str">
            <v>102000051</v>
          </cell>
          <cell r="E746" t="str">
            <v>MATERIAS PRIMAS PLANTA</v>
          </cell>
          <cell r="F746" t="str">
            <v>1 UND</v>
          </cell>
          <cell r="G746">
            <v>500</v>
          </cell>
          <cell r="H746" t="str">
            <v>05/05/2020</v>
          </cell>
          <cell r="I746">
            <v>7149</v>
          </cell>
          <cell r="J746">
            <v>323645</v>
          </cell>
          <cell r="K746">
            <v>2000</v>
          </cell>
          <cell r="L746" t="e">
            <v>#DIV/0!</v>
          </cell>
          <cell r="M746" t="str">
            <v>Gramos</v>
          </cell>
        </row>
        <row r="747">
          <cell r="A747" t="str">
            <v>102000052</v>
          </cell>
          <cell r="B747">
            <v>16488</v>
          </cell>
          <cell r="C747" t="str">
            <v>JUGO DE NARANJA 100% NATURAL (UND)</v>
          </cell>
          <cell r="D747" t="str">
            <v>102000052</v>
          </cell>
          <cell r="E747" t="str">
            <v>MATERIAS PRIMAS PLANTA</v>
          </cell>
          <cell r="F747" t="str">
            <v>1 UND</v>
          </cell>
          <cell r="G747">
            <v>500</v>
          </cell>
          <cell r="H747" t="str">
            <v>04/05/2020</v>
          </cell>
          <cell r="I747">
            <v>730.37</v>
          </cell>
          <cell r="J747">
            <v>105173.28</v>
          </cell>
          <cell r="K747">
            <v>354</v>
          </cell>
          <cell r="L747" t="e">
            <v>#DIV/0!</v>
          </cell>
          <cell r="M747" t="str">
            <v>Gramos</v>
          </cell>
        </row>
        <row r="748">
          <cell r="A748" t="str">
            <v>103000001</v>
          </cell>
          <cell r="B748">
            <v>5358</v>
          </cell>
          <cell r="C748" t="str">
            <v>SALMON EN MEDALLON KILO</v>
          </cell>
          <cell r="D748" t="str">
            <v>103000001</v>
          </cell>
          <cell r="E748" t="str">
            <v>MATERIAS PRIMAS PLANTA</v>
          </cell>
          <cell r="F748" t="str">
            <v>1 KILO</v>
          </cell>
          <cell r="G748">
            <v>500</v>
          </cell>
          <cell r="H748" t="str">
            <v>15/06/2020</v>
          </cell>
          <cell r="I748">
            <v>8986.9500000000007</v>
          </cell>
          <cell r="J748">
            <v>7082615.2949999999</v>
          </cell>
          <cell r="K748">
            <v>1000</v>
          </cell>
          <cell r="L748">
            <v>8.9869500000000002</v>
          </cell>
          <cell r="M748" t="str">
            <v>Gramos</v>
          </cell>
        </row>
        <row r="749">
          <cell r="A749" t="str">
            <v>103000021</v>
          </cell>
          <cell r="B749">
            <v>5378</v>
          </cell>
          <cell r="C749" t="str">
            <v>CARNE OSOBUCO PICADO (KILO)</v>
          </cell>
          <cell r="D749" t="str">
            <v>103000021</v>
          </cell>
          <cell r="E749" t="str">
            <v>MATERIAS PRIMAS PLANTA</v>
          </cell>
          <cell r="F749" t="str">
            <v>1 KILO</v>
          </cell>
          <cell r="G749">
            <v>500</v>
          </cell>
          <cell r="H749" t="str">
            <v>06/06/2020</v>
          </cell>
          <cell r="I749">
            <v>2195</v>
          </cell>
          <cell r="J749">
            <v>32925</v>
          </cell>
          <cell r="K749">
            <v>1000</v>
          </cell>
          <cell r="L749">
            <v>2.1949999999999998</v>
          </cell>
          <cell r="M749" t="str">
            <v>Gramos</v>
          </cell>
        </row>
        <row r="750">
          <cell r="A750" t="str">
            <v>103000027</v>
          </cell>
          <cell r="B750">
            <v>13164</v>
          </cell>
          <cell r="C750" t="str">
            <v>CHORIZO PASTA KILO</v>
          </cell>
          <cell r="D750" t="str">
            <v>103000027</v>
          </cell>
          <cell r="E750" t="str">
            <v>MATERIAS PRIMAS PLANTA</v>
          </cell>
          <cell r="F750" t="str">
            <v>1 KILO</v>
          </cell>
          <cell r="G750">
            <v>500</v>
          </cell>
          <cell r="H750" t="str">
            <v>13/06/2020</v>
          </cell>
          <cell r="I750">
            <v>2050</v>
          </cell>
          <cell r="J750">
            <v>2145735</v>
          </cell>
          <cell r="K750">
            <v>1000</v>
          </cell>
          <cell r="L750">
            <v>2.0499999999999998</v>
          </cell>
          <cell r="M750" t="str">
            <v>Gramos</v>
          </cell>
        </row>
        <row r="751">
          <cell r="A751" t="str">
            <v>103000035</v>
          </cell>
          <cell r="B751">
            <v>14621</v>
          </cell>
          <cell r="C751" t="str">
            <v>ALBONDIGA ITAL COC 1.5 ONZ (1/4.53K)</v>
          </cell>
          <cell r="D751" t="str">
            <v>103000035</v>
          </cell>
          <cell r="E751" t="str">
            <v>MATERIAS PRIMAS PLANTA</v>
          </cell>
          <cell r="F751" t="str">
            <v>1 KILO</v>
          </cell>
          <cell r="G751">
            <v>500</v>
          </cell>
          <cell r="H751" t="str">
            <v>11/02/2020</v>
          </cell>
          <cell r="I751">
            <v>1.3172185430463601</v>
          </cell>
          <cell r="J751">
            <v>55223.88</v>
          </cell>
          <cell r="K751">
            <v>1000</v>
          </cell>
          <cell r="L751">
            <v>1.31721854304636E-3</v>
          </cell>
          <cell r="M751" t="str">
            <v>Gramos</v>
          </cell>
        </row>
        <row r="752">
          <cell r="A752" t="str">
            <v>103000036</v>
          </cell>
          <cell r="B752">
            <v>5393</v>
          </cell>
          <cell r="C752" t="str">
            <v>FILET TILAPIA (5-7 ONZ P/KILO)</v>
          </cell>
          <cell r="D752" t="str">
            <v>103000036</v>
          </cell>
          <cell r="E752" t="str">
            <v>MATERIAS PRIMAS PLANTA</v>
          </cell>
          <cell r="F752" t="str">
            <v>1 KILO</v>
          </cell>
          <cell r="G752">
            <v>500</v>
          </cell>
          <cell r="H752" t="str">
            <v>30/04/2020</v>
          </cell>
          <cell r="I752">
            <v>2588.6913043478298</v>
          </cell>
          <cell r="J752">
            <v>329971.48000000103</v>
          </cell>
          <cell r="K752">
            <v>1000</v>
          </cell>
          <cell r="L752">
            <v>2.5886913043478299</v>
          </cell>
          <cell r="M752" t="str">
            <v>Gramos</v>
          </cell>
        </row>
        <row r="753">
          <cell r="A753" t="str">
            <v>105000001</v>
          </cell>
          <cell r="B753">
            <v>5405</v>
          </cell>
          <cell r="C753" t="str">
            <v>CURRY POLVO (UND:454 G)</v>
          </cell>
          <cell r="D753" t="str">
            <v>105000001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28/04/2020</v>
          </cell>
          <cell r="I753">
            <v>2316</v>
          </cell>
          <cell r="J753">
            <v>39395</v>
          </cell>
          <cell r="K753">
            <v>454</v>
          </cell>
          <cell r="L753">
            <v>5.1013215859030838</v>
          </cell>
          <cell r="M753" t="str">
            <v>Gramos</v>
          </cell>
        </row>
        <row r="754">
          <cell r="A754" t="str">
            <v>105000002</v>
          </cell>
          <cell r="B754">
            <v>5399</v>
          </cell>
          <cell r="C754" t="str">
            <v>OREGANO (UND: 156 G)</v>
          </cell>
          <cell r="D754" t="str">
            <v>105000002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28/05/2020</v>
          </cell>
          <cell r="I754">
            <v>1792</v>
          </cell>
          <cell r="J754">
            <v>181144</v>
          </cell>
          <cell r="K754">
            <v>156</v>
          </cell>
          <cell r="L754">
            <v>11.487179487179487</v>
          </cell>
          <cell r="M754" t="str">
            <v>Gramos</v>
          </cell>
        </row>
        <row r="755">
          <cell r="A755" t="str">
            <v>105000003</v>
          </cell>
          <cell r="B755">
            <v>5400</v>
          </cell>
          <cell r="C755" t="str">
            <v>PEREJIL SECO (UND:57 G)</v>
          </cell>
          <cell r="D755" t="str">
            <v>105000003</v>
          </cell>
          <cell r="E755" t="str">
            <v>MATERIAS PRIMAS PLANTA</v>
          </cell>
          <cell r="F755" t="str">
            <v>1 UND</v>
          </cell>
          <cell r="G755">
            <v>500</v>
          </cell>
          <cell r="H755" t="str">
            <v>01/06/2020</v>
          </cell>
          <cell r="I755">
            <v>1639</v>
          </cell>
          <cell r="J755">
            <v>108901</v>
          </cell>
          <cell r="K755">
            <v>57</v>
          </cell>
          <cell r="L755">
            <v>28.754385964912281</v>
          </cell>
          <cell r="M755" t="str">
            <v>Gramos</v>
          </cell>
        </row>
        <row r="756">
          <cell r="A756" t="str">
            <v>105000007</v>
          </cell>
          <cell r="B756">
            <v>5407</v>
          </cell>
          <cell r="C756" t="str">
            <v>PIMIENTA NEGRA MOLIDA (UND:510 G)</v>
          </cell>
          <cell r="D756" t="str">
            <v>105000007</v>
          </cell>
          <cell r="E756" t="str">
            <v>MATERIAS PRIMAS PLANTA</v>
          </cell>
          <cell r="F756" t="str">
            <v>1 UND</v>
          </cell>
          <cell r="G756">
            <v>500</v>
          </cell>
          <cell r="H756" t="str">
            <v>19/03/2020</v>
          </cell>
          <cell r="I756">
            <v>6975</v>
          </cell>
          <cell r="J756">
            <v>118355</v>
          </cell>
          <cell r="K756">
            <v>510</v>
          </cell>
          <cell r="L756">
            <v>13.676470588235293</v>
          </cell>
          <cell r="M756" t="str">
            <v>Gramos</v>
          </cell>
        </row>
        <row r="757">
          <cell r="A757" t="str">
            <v>105000008</v>
          </cell>
          <cell r="B757">
            <v>7070</v>
          </cell>
          <cell r="C757" t="str">
            <v>CANELA ASTILLA (PAQ:500g)</v>
          </cell>
          <cell r="D757" t="str">
            <v>105000008</v>
          </cell>
          <cell r="E757" t="str">
            <v>MATERIAS PRIMAS PLANTA</v>
          </cell>
          <cell r="F757" t="str">
            <v>1 PAQUETE</v>
          </cell>
          <cell r="G757">
            <v>500</v>
          </cell>
          <cell r="H757" t="str">
            <v>05/06/2020</v>
          </cell>
          <cell r="I757">
            <v>3475</v>
          </cell>
          <cell r="J757">
            <v>76450</v>
          </cell>
          <cell r="K757">
            <v>500</v>
          </cell>
          <cell r="L757">
            <v>6.95</v>
          </cell>
          <cell r="M757" t="str">
            <v>Gramos</v>
          </cell>
        </row>
        <row r="758">
          <cell r="A758" t="str">
            <v>105000009</v>
          </cell>
          <cell r="B758">
            <v>5412</v>
          </cell>
          <cell r="C758" t="str">
            <v>ACHIOTE (UND:850g)</v>
          </cell>
          <cell r="D758" t="str">
            <v>105000009</v>
          </cell>
          <cell r="E758" t="str">
            <v>MATERIAS PRIMAS PLANTA</v>
          </cell>
          <cell r="F758" t="str">
            <v>1 UND</v>
          </cell>
          <cell r="G758">
            <v>500</v>
          </cell>
          <cell r="H758" t="str">
            <v>05/06/2020</v>
          </cell>
          <cell r="I758">
            <v>3137</v>
          </cell>
          <cell r="J758">
            <v>884634</v>
          </cell>
          <cell r="K758">
            <v>850</v>
          </cell>
          <cell r="L758">
            <v>3.6905882352941175</v>
          </cell>
          <cell r="M758" t="str">
            <v>Gramos</v>
          </cell>
        </row>
        <row r="759">
          <cell r="A759" t="str">
            <v>105000029</v>
          </cell>
          <cell r="B759">
            <v>10237</v>
          </cell>
          <cell r="C759" t="str">
            <v>CONSOME CONCEN. DE RES (UND:2 K)</v>
          </cell>
          <cell r="D759" t="str">
            <v>105000029</v>
          </cell>
          <cell r="E759" t="str">
            <v>MATERIAS PRIMAS PLANTA</v>
          </cell>
          <cell r="F759" t="str">
            <v>1 UND</v>
          </cell>
          <cell r="G759">
            <v>500</v>
          </cell>
          <cell r="H759" t="str">
            <v>28/05/2020</v>
          </cell>
          <cell r="I759">
            <v>5988</v>
          </cell>
          <cell r="J759">
            <v>497922</v>
          </cell>
          <cell r="K759">
            <v>2000</v>
          </cell>
          <cell r="L759">
            <v>2.9940000000000002</v>
          </cell>
          <cell r="M759" t="str">
            <v>Gramos</v>
          </cell>
        </row>
        <row r="760">
          <cell r="A760" t="str">
            <v>105000046</v>
          </cell>
          <cell r="B760">
            <v>15114</v>
          </cell>
          <cell r="C760" t="str">
            <v>JENGIBRE MOLIDO (UND:354 G)</v>
          </cell>
          <cell r="D760" t="str">
            <v>105000046</v>
          </cell>
          <cell r="E760" t="str">
            <v>MATERIAS PRIMAS PLANTA</v>
          </cell>
          <cell r="F760" t="str">
            <v>1 UND</v>
          </cell>
          <cell r="G760">
            <v>500</v>
          </cell>
          <cell r="H760" t="str">
            <v>07/05/2020</v>
          </cell>
          <cell r="I760">
            <v>6089</v>
          </cell>
          <cell r="J760">
            <v>89150</v>
          </cell>
          <cell r="K760">
            <v>354</v>
          </cell>
          <cell r="L760">
            <v>17.200564971751412</v>
          </cell>
          <cell r="M760" t="str">
            <v>Gramos</v>
          </cell>
        </row>
        <row r="761">
          <cell r="A761" t="str">
            <v>105000047</v>
          </cell>
          <cell r="B761">
            <v>15115</v>
          </cell>
          <cell r="C761" t="str">
            <v>CLAVOS DE OLOR MOLIDO (UND:453G)</v>
          </cell>
          <cell r="D761" t="str">
            <v>105000047</v>
          </cell>
          <cell r="E761" t="str">
            <v>MATERIAS PRIMAS PLANTA</v>
          </cell>
          <cell r="F761" t="str">
            <v>1 UND</v>
          </cell>
          <cell r="G761">
            <v>500</v>
          </cell>
          <cell r="H761" t="str">
            <v>10/12/2019</v>
          </cell>
          <cell r="I761">
            <v>13229</v>
          </cell>
          <cell r="J761">
            <v>66145</v>
          </cell>
          <cell r="K761">
            <v>453</v>
          </cell>
          <cell r="L761">
            <v>29.203090507726269</v>
          </cell>
          <cell r="M761" t="str">
            <v>Gramos</v>
          </cell>
        </row>
        <row r="762">
          <cell r="A762" t="str">
            <v>105000048</v>
          </cell>
          <cell r="B762">
            <v>16318</v>
          </cell>
          <cell r="C762" t="str">
            <v>AJO EN POLVO BADIA (UND:1.8 K)</v>
          </cell>
          <cell r="D762" t="str">
            <v>105000048</v>
          </cell>
          <cell r="E762" t="str">
            <v>MATERIAS PRIMAS PLANTA</v>
          </cell>
          <cell r="F762" t="str">
            <v>1 UND</v>
          </cell>
          <cell r="G762">
            <v>500</v>
          </cell>
          <cell r="H762" t="str">
            <v>24/03/2020</v>
          </cell>
          <cell r="I762">
            <v>11521</v>
          </cell>
          <cell r="J762">
            <v>11521</v>
          </cell>
          <cell r="K762">
            <v>1800</v>
          </cell>
          <cell r="L762">
            <v>6.400555555555556</v>
          </cell>
          <cell r="M762" t="str">
            <v>Gramos</v>
          </cell>
        </row>
        <row r="763">
          <cell r="A763" t="str">
            <v>105000049</v>
          </cell>
          <cell r="B763">
            <v>16484</v>
          </cell>
          <cell r="C763" t="str">
            <v>PIMIENTA EN SOBRES (PAQ:1000 UND)</v>
          </cell>
          <cell r="D763" t="str">
            <v>105000049</v>
          </cell>
          <cell r="E763" t="str">
            <v>MATERIAS PRIMAS PLANTA</v>
          </cell>
          <cell r="F763" t="str">
            <v>1 PAQUETE</v>
          </cell>
          <cell r="G763">
            <v>500</v>
          </cell>
          <cell r="H763" t="str">
            <v>06/05/2020</v>
          </cell>
          <cell r="I763">
            <v>4780</v>
          </cell>
          <cell r="J763">
            <v>109940</v>
          </cell>
          <cell r="K763">
            <v>1000</v>
          </cell>
          <cell r="L763">
            <v>4.78</v>
          </cell>
          <cell r="M763" t="str">
            <v>Gramos</v>
          </cell>
        </row>
        <row r="764">
          <cell r="A764" t="str">
            <v>105000050</v>
          </cell>
          <cell r="B764">
            <v>16486</v>
          </cell>
          <cell r="C764" t="str">
            <v>SAL EN SOBRES (PAQ:1000 UND)</v>
          </cell>
          <cell r="D764" t="str">
            <v>105000050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12/06/2020</v>
          </cell>
          <cell r="I764">
            <v>1</v>
          </cell>
          <cell r="J764">
            <v>106008</v>
          </cell>
          <cell r="K764">
            <v>1000</v>
          </cell>
          <cell r="L764">
            <v>1E-3</v>
          </cell>
          <cell r="M764" t="str">
            <v>Gramos</v>
          </cell>
        </row>
        <row r="765">
          <cell r="A765" t="str">
            <v>106000001</v>
          </cell>
          <cell r="B765">
            <v>5415</v>
          </cell>
          <cell r="C765" t="str">
            <v>HIGOS EN ALMIBAR (UND:23 K)</v>
          </cell>
          <cell r="D765" t="str">
            <v>106000001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11/12/2019</v>
          </cell>
          <cell r="I765">
            <v>56448</v>
          </cell>
          <cell r="J765">
            <v>2991744</v>
          </cell>
          <cell r="K765">
            <v>23000</v>
          </cell>
          <cell r="L765">
            <v>2.4542608695652173</v>
          </cell>
          <cell r="M765" t="str">
            <v>Gramos</v>
          </cell>
        </row>
        <row r="766">
          <cell r="A766" t="str">
            <v>106000007</v>
          </cell>
          <cell r="B766">
            <v>16293</v>
          </cell>
          <cell r="C766" t="str">
            <v>CHIVERRE CONSERVA (UND:25 K)</v>
          </cell>
          <cell r="D766" t="str">
            <v>106000007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12/03/2020</v>
          </cell>
          <cell r="I766">
            <v>62150</v>
          </cell>
          <cell r="J766">
            <v>62150</v>
          </cell>
          <cell r="K766">
            <v>25000</v>
          </cell>
          <cell r="L766">
            <v>2.4860000000000002</v>
          </cell>
          <cell r="M766" t="str">
            <v>Gramos</v>
          </cell>
        </row>
        <row r="767">
          <cell r="A767" t="str">
            <v>107000012</v>
          </cell>
          <cell r="B767">
            <v>8693</v>
          </cell>
          <cell r="C767" t="str">
            <v>CONFITILLO CORAZON MAVALERIO (PAQ:150G)</v>
          </cell>
          <cell r="D767" t="str">
            <v>107000012</v>
          </cell>
          <cell r="E767" t="str">
            <v>MATERIAS PRIMAS PLANTA</v>
          </cell>
          <cell r="F767" t="str">
            <v>1 PAQ</v>
          </cell>
          <cell r="G767">
            <v>500</v>
          </cell>
          <cell r="H767" t="str">
            <v>13/02/2020</v>
          </cell>
          <cell r="I767">
            <v>6.4203333333333301</v>
          </cell>
          <cell r="J767">
            <v>40798.300000000003</v>
          </cell>
          <cell r="K767">
            <v>150</v>
          </cell>
          <cell r="L767">
            <v>4.28022222222222E-2</v>
          </cell>
          <cell r="M767" t="str">
            <v>Gramos</v>
          </cell>
        </row>
        <row r="768">
          <cell r="A768" t="str">
            <v>109000106</v>
          </cell>
          <cell r="B768">
            <v>9364</v>
          </cell>
          <cell r="C768" t="str">
            <v>FRESAS CONGEL  BEGRO (PAQ: 1 K)</v>
          </cell>
          <cell r="D768" t="str">
            <v>109000106</v>
          </cell>
          <cell r="E768" t="str">
            <v>MATERIAS PRIMAS PLANTA</v>
          </cell>
          <cell r="F768" t="str">
            <v>1 PAQ</v>
          </cell>
          <cell r="G768">
            <v>500</v>
          </cell>
          <cell r="H768" t="str">
            <v>12/06/2020</v>
          </cell>
          <cell r="I768">
            <v>1890</v>
          </cell>
          <cell r="J768">
            <v>1606500</v>
          </cell>
          <cell r="K768">
            <v>1000</v>
          </cell>
          <cell r="L768">
            <v>1.89</v>
          </cell>
          <cell r="M768" t="str">
            <v>Mililitros</v>
          </cell>
        </row>
        <row r="769">
          <cell r="A769" t="str">
            <v>109000121</v>
          </cell>
          <cell r="B769">
            <v>15410</v>
          </cell>
          <cell r="C769" t="str">
            <v>TOMATE DESHIDRATADO SECO (UND: 800 G)</v>
          </cell>
          <cell r="D769" t="str">
            <v>109000121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14/01/2020</v>
          </cell>
          <cell r="I769">
            <v>7576.9679999999998</v>
          </cell>
          <cell r="J769">
            <v>318232.65600000002</v>
          </cell>
          <cell r="K769">
            <v>800</v>
          </cell>
          <cell r="L769">
            <v>9.4712099999999992</v>
          </cell>
          <cell r="M769" t="str">
            <v>Gramos</v>
          </cell>
        </row>
        <row r="770">
          <cell r="A770" t="str">
            <v>109000122</v>
          </cell>
          <cell r="B770">
            <v>15868</v>
          </cell>
          <cell r="C770" t="str">
            <v>RELLENO PULPA DE PIÑA (KILO)</v>
          </cell>
          <cell r="D770" t="str">
            <v>109000122</v>
          </cell>
          <cell r="E770" t="str">
            <v>MATERIAS PRIMAS PLANTA</v>
          </cell>
          <cell r="F770" t="str">
            <v>1 KILOGramos</v>
          </cell>
          <cell r="G770">
            <v>500</v>
          </cell>
          <cell r="H770" t="str">
            <v>27/05/2020</v>
          </cell>
          <cell r="I770">
            <v>1655</v>
          </cell>
          <cell r="J770">
            <v>334641</v>
          </cell>
          <cell r="K770">
            <v>1000</v>
          </cell>
          <cell r="L770">
            <v>1.655</v>
          </cell>
          <cell r="M770" t="str">
            <v>Gramos</v>
          </cell>
        </row>
        <row r="771">
          <cell r="A771" t="str">
            <v>109000123</v>
          </cell>
          <cell r="B771">
            <v>15869</v>
          </cell>
          <cell r="C771" t="str">
            <v>RELLENO PULPA DE GUANABANA (KILO)</v>
          </cell>
          <cell r="D771" t="str">
            <v>109000123</v>
          </cell>
          <cell r="E771" t="str">
            <v>MATERIAS PRIMAS PLANTA</v>
          </cell>
          <cell r="F771" t="str">
            <v>1 KILOGramos</v>
          </cell>
          <cell r="G771">
            <v>500</v>
          </cell>
          <cell r="H771" t="str">
            <v>20/05/2020</v>
          </cell>
          <cell r="I771">
            <v>2995</v>
          </cell>
          <cell r="J771">
            <v>802540.2</v>
          </cell>
          <cell r="K771">
            <v>1000</v>
          </cell>
          <cell r="L771">
            <v>2.9950000000000001</v>
          </cell>
          <cell r="M771" t="str">
            <v>Gramos</v>
          </cell>
        </row>
        <row r="772">
          <cell r="A772" t="str">
            <v>109000124</v>
          </cell>
          <cell r="B772">
            <v>15927</v>
          </cell>
          <cell r="C772" t="str">
            <v>PITAHAYA INPAK (PAQ: 3 KILOS)</v>
          </cell>
          <cell r="D772" t="str">
            <v>109000124</v>
          </cell>
          <cell r="E772" t="str">
            <v>MATERIAS PRIMAS PLANTA</v>
          </cell>
          <cell r="F772" t="str">
            <v>1 PAQUETE</v>
          </cell>
          <cell r="G772">
            <v>500</v>
          </cell>
          <cell r="H772" t="str">
            <v>30/01/2020</v>
          </cell>
          <cell r="I772">
            <v>19402</v>
          </cell>
          <cell r="J772">
            <v>291030</v>
          </cell>
          <cell r="K772">
            <v>3000</v>
          </cell>
          <cell r="L772">
            <v>6.4673333333333334</v>
          </cell>
          <cell r="M772" t="str">
            <v>Gramos</v>
          </cell>
        </row>
        <row r="773">
          <cell r="A773" t="str">
            <v>109000125</v>
          </cell>
          <cell r="B773">
            <v>15928</v>
          </cell>
          <cell r="C773" t="str">
            <v>MARACUYA ( PAQ: 3 KILOS)</v>
          </cell>
          <cell r="D773" t="str">
            <v>0159281</v>
          </cell>
          <cell r="E773" t="str">
            <v>MATERIAS PRIMAS PLANTA</v>
          </cell>
          <cell r="F773" t="str">
            <v>1 PAQUETE</v>
          </cell>
          <cell r="G773">
            <v>500</v>
          </cell>
          <cell r="H773" t="str">
            <v>30/01/2020</v>
          </cell>
          <cell r="I773">
            <v>10180</v>
          </cell>
          <cell r="J773">
            <v>203600</v>
          </cell>
          <cell r="K773">
            <v>3000</v>
          </cell>
          <cell r="L773">
            <v>3.3933333333333335</v>
          </cell>
          <cell r="M773" t="str">
            <v>Gramos</v>
          </cell>
        </row>
        <row r="774">
          <cell r="A774" t="str">
            <v>109000127</v>
          </cell>
          <cell r="B774">
            <v>16666</v>
          </cell>
          <cell r="C774" t="str">
            <v>MELOCOTON EN CUBOS COUNTREE (UND:3 K)</v>
          </cell>
          <cell r="D774" t="str">
            <v>109000127</v>
          </cell>
          <cell r="E774" t="str">
            <v>MATERIAS PRIMAS PLANTA</v>
          </cell>
          <cell r="F774" t="str">
            <v>1 UND</v>
          </cell>
          <cell r="G774">
            <v>500</v>
          </cell>
          <cell r="H774" t="str">
            <v>15/06/2020</v>
          </cell>
          <cell r="I774">
            <v>2689</v>
          </cell>
          <cell r="J774">
            <v>1301476</v>
          </cell>
          <cell r="K774">
            <v>1800</v>
          </cell>
          <cell r="L774">
            <v>1.4938888888888888</v>
          </cell>
          <cell r="M774" t="str">
            <v>Gramos</v>
          </cell>
        </row>
        <row r="775">
          <cell r="A775" t="str">
            <v>111000002</v>
          </cell>
          <cell r="B775">
            <v>5522</v>
          </cell>
          <cell r="C775" t="str">
            <v xml:space="preserve">ACEITE DE SESAMO (UND:1656 ml) </v>
          </cell>
          <cell r="D775" t="str">
            <v>111000002</v>
          </cell>
          <cell r="E775" t="str">
            <v>MATERIAS PRIMAS PLANTA</v>
          </cell>
          <cell r="F775" t="str">
            <v>1 UND</v>
          </cell>
          <cell r="G775">
            <v>500</v>
          </cell>
          <cell r="H775" t="str">
            <v>10/06/2020</v>
          </cell>
          <cell r="I775">
            <v>13050.9</v>
          </cell>
          <cell r="J775">
            <v>-273635</v>
          </cell>
          <cell r="K775">
            <v>1656</v>
          </cell>
          <cell r="L775">
            <v>7.8809782608695649</v>
          </cell>
          <cell r="M775" t="str">
            <v>Gramos</v>
          </cell>
        </row>
        <row r="776">
          <cell r="A776" t="str">
            <v>112000004</v>
          </cell>
          <cell r="B776">
            <v>5537</v>
          </cell>
          <cell r="C776" t="str">
            <v>GALLETA OREO TROZOS (PAQ:1.13 K)</v>
          </cell>
          <cell r="D776" t="str">
            <v>112000004</v>
          </cell>
          <cell r="E776" t="str">
            <v>MATERIAS PRIMAS PLANTA</v>
          </cell>
          <cell r="F776" t="str">
            <v>1 PAQUETE</v>
          </cell>
          <cell r="G776">
            <v>500</v>
          </cell>
          <cell r="H776" t="str">
            <v>12/05/2020</v>
          </cell>
          <cell r="I776">
            <v>5960</v>
          </cell>
          <cell r="J776">
            <v>59600</v>
          </cell>
          <cell r="K776">
            <v>1130</v>
          </cell>
          <cell r="L776">
            <v>5.2743362831858409</v>
          </cell>
          <cell r="M776" t="str">
            <v>Gramos</v>
          </cell>
        </row>
        <row r="777">
          <cell r="A777" t="str">
            <v>112000009</v>
          </cell>
          <cell r="B777">
            <v>5542</v>
          </cell>
          <cell r="C777" t="str">
            <v>MASECA GRANEL (SACO:20 K)</v>
          </cell>
          <cell r="D777" t="str">
            <v>112000009</v>
          </cell>
          <cell r="E777" t="str">
            <v>MATERIAS PRIMAS PLANTA</v>
          </cell>
          <cell r="F777" t="str">
            <v xml:space="preserve">1 SACO </v>
          </cell>
          <cell r="G777">
            <v>500</v>
          </cell>
          <cell r="H777" t="str">
            <v>15/01/2020</v>
          </cell>
          <cell r="I777">
            <v>10747</v>
          </cell>
          <cell r="J777">
            <v>451374</v>
          </cell>
          <cell r="K777">
            <v>20000</v>
          </cell>
          <cell r="L777">
            <v>0.53734999999999999</v>
          </cell>
          <cell r="M777" t="str">
            <v>Gramos</v>
          </cell>
        </row>
        <row r="778">
          <cell r="A778" t="str">
            <v>112000047</v>
          </cell>
          <cell r="B778">
            <v>7074</v>
          </cell>
          <cell r="C778" t="str">
            <v>EMPANIZADOR PANKO (PAQ: 3 K)</v>
          </cell>
          <cell r="D778" t="str">
            <v>112000047</v>
          </cell>
          <cell r="E778" t="str">
            <v>MATERIAS PRIMAS PLANTA</v>
          </cell>
          <cell r="F778" t="str">
            <v>1 PAQUETE</v>
          </cell>
          <cell r="G778">
            <v>500</v>
          </cell>
          <cell r="H778" t="str">
            <v>28/02/2020</v>
          </cell>
          <cell r="I778">
            <v>12119</v>
          </cell>
          <cell r="J778">
            <v>908925</v>
          </cell>
          <cell r="K778">
            <v>3000</v>
          </cell>
          <cell r="L778">
            <v>4.0396666666666663</v>
          </cell>
          <cell r="M778" t="str">
            <v>Gramos</v>
          </cell>
        </row>
        <row r="779">
          <cell r="A779" t="str">
            <v>112000061</v>
          </cell>
          <cell r="B779">
            <v>14101</v>
          </cell>
          <cell r="C779" t="str">
            <v>PAN MUFFIN 70G (PAQ:6 UND)</v>
          </cell>
          <cell r="D779" t="str">
            <v>112000061</v>
          </cell>
          <cell r="E779" t="str">
            <v>MATERIAS PRIMAS PLANTA</v>
          </cell>
          <cell r="F779" t="str">
            <v>1 PAQUETE</v>
          </cell>
          <cell r="G779">
            <v>500</v>
          </cell>
          <cell r="H779" t="str">
            <v>15/06/2020</v>
          </cell>
          <cell r="I779">
            <v>1140</v>
          </cell>
          <cell r="J779">
            <v>247380</v>
          </cell>
          <cell r="K779">
            <v>6</v>
          </cell>
          <cell r="L779">
            <v>190</v>
          </cell>
          <cell r="M779" t="str">
            <v>Gramos</v>
          </cell>
        </row>
        <row r="780">
          <cell r="A780" t="str">
            <v>112000065</v>
          </cell>
          <cell r="B780">
            <v>15821</v>
          </cell>
          <cell r="C780" t="str">
            <v>PANINI PARRILADA 8" (PAQ:10 UND)</v>
          </cell>
          <cell r="D780" t="str">
            <v>112000065</v>
          </cell>
          <cell r="E780" t="str">
            <v>MATERIAS PRIMAS PLANTA</v>
          </cell>
          <cell r="F780" t="str">
            <v>1 PAQUETE</v>
          </cell>
          <cell r="G780">
            <v>500</v>
          </cell>
          <cell r="H780" t="str">
            <v>13/01/2020</v>
          </cell>
          <cell r="I780">
            <v>203.1</v>
          </cell>
          <cell r="J780">
            <v>406200</v>
          </cell>
          <cell r="K780">
            <v>10</v>
          </cell>
          <cell r="L780">
            <v>20.309999999999999</v>
          </cell>
          <cell r="M780" t="str">
            <v>Gramos</v>
          </cell>
        </row>
        <row r="781">
          <cell r="A781" t="str">
            <v>114000002</v>
          </cell>
          <cell r="B781">
            <v>5584</v>
          </cell>
          <cell r="C781" t="str">
            <v>LECHE HOMOGENIZ TB 3.5%  (CAJA:12 UND)</v>
          </cell>
          <cell r="D781" t="str">
            <v>0310108</v>
          </cell>
          <cell r="E781" t="str">
            <v>MATERIAS PRIMAS PLANTA</v>
          </cell>
          <cell r="F781" t="str">
            <v>1 CAJA</v>
          </cell>
          <cell r="G781">
            <v>500</v>
          </cell>
          <cell r="H781" t="str">
            <v>08/06/2020</v>
          </cell>
          <cell r="I781">
            <v>7866.74</v>
          </cell>
          <cell r="J781">
            <v>1165972.02</v>
          </cell>
          <cell r="K781">
            <v>12000</v>
          </cell>
          <cell r="L781">
            <v>0.6555616666666666</v>
          </cell>
          <cell r="M781" t="str">
            <v>Mililitros</v>
          </cell>
        </row>
        <row r="782">
          <cell r="A782" t="str">
            <v>114000017</v>
          </cell>
          <cell r="B782">
            <v>5599</v>
          </cell>
          <cell r="C782" t="str">
            <v>BETTERCREAM CHOCOLATE (UND:4 Kg)</v>
          </cell>
          <cell r="D782" t="str">
            <v>114000017</v>
          </cell>
          <cell r="E782" t="str">
            <v>MATERIAS PRIMAS PLANTA</v>
          </cell>
          <cell r="F782" t="str">
            <v>1 UND</v>
          </cell>
          <cell r="G782">
            <v>500</v>
          </cell>
          <cell r="H782" t="str">
            <v>12/06/2020</v>
          </cell>
          <cell r="I782">
            <v>7955</v>
          </cell>
          <cell r="J782">
            <v>2293166</v>
          </cell>
          <cell r="K782">
            <v>4000</v>
          </cell>
          <cell r="L782">
            <v>1.98875</v>
          </cell>
          <cell r="M782" t="str">
            <v>Gramos</v>
          </cell>
        </row>
        <row r="783">
          <cell r="A783" t="str">
            <v>116000009</v>
          </cell>
          <cell r="B783">
            <v>9534</v>
          </cell>
          <cell r="C783" t="str">
            <v>PRESERVANTE OPTIFORM PD4 (UND:25K)</v>
          </cell>
          <cell r="D783" t="str">
            <v>116000009</v>
          </cell>
          <cell r="E783" t="str">
            <v>MATERIAS PRIMAS PLANTA</v>
          </cell>
          <cell r="F783" t="str">
            <v>1 UND</v>
          </cell>
          <cell r="G783">
            <v>500</v>
          </cell>
          <cell r="H783" t="str">
            <v>05/06/2020</v>
          </cell>
          <cell r="I783">
            <v>46561.599999999999</v>
          </cell>
          <cell r="J783">
            <v>92339.199999999997</v>
          </cell>
          <cell r="K783">
            <v>25000</v>
          </cell>
          <cell r="L783">
            <v>1.8624639999999999</v>
          </cell>
          <cell r="M783" t="str">
            <v>Gramos</v>
          </cell>
        </row>
        <row r="784">
          <cell r="A784" t="str">
            <v>118000004</v>
          </cell>
          <cell r="B784">
            <v>5655</v>
          </cell>
          <cell r="C784" t="str">
            <v>VAINILLA OSCURA (UND: 3.78 L)</v>
          </cell>
          <cell r="D784" t="str">
            <v>118000004</v>
          </cell>
          <cell r="E784" t="str">
            <v>MATERIAS PRIMAS PLANTA</v>
          </cell>
          <cell r="F784" t="str">
            <v>1 UND</v>
          </cell>
          <cell r="G784">
            <v>500</v>
          </cell>
          <cell r="H784" t="str">
            <v>03/06/2020</v>
          </cell>
          <cell r="I784">
            <v>3900</v>
          </cell>
          <cell r="J784">
            <v>42900</v>
          </cell>
          <cell r="K784">
            <v>3780</v>
          </cell>
          <cell r="L784">
            <v>1.0317460317460319</v>
          </cell>
          <cell r="M784" t="str">
            <v>Mililitros</v>
          </cell>
        </row>
        <row r="785">
          <cell r="A785" t="str">
            <v>118000007</v>
          </cell>
          <cell r="B785">
            <v>7062</v>
          </cell>
          <cell r="C785" t="str">
            <v>SABORIZANTE MELO (KILO)</v>
          </cell>
          <cell r="D785" t="str">
            <v>118000007</v>
          </cell>
          <cell r="E785" t="str">
            <v>MATERIAS PRIMAS PLANTA</v>
          </cell>
          <cell r="F785" t="str">
            <v xml:space="preserve">1 KILO </v>
          </cell>
          <cell r="G785">
            <v>500</v>
          </cell>
          <cell r="H785" t="str">
            <v>07/02/2020</v>
          </cell>
          <cell r="I785">
            <v>7795.36</v>
          </cell>
          <cell r="J785">
            <v>7795.36</v>
          </cell>
          <cell r="K785">
            <v>1000</v>
          </cell>
          <cell r="L785">
            <v>7.7953599999999996</v>
          </cell>
          <cell r="M785" t="str">
            <v>Gramos</v>
          </cell>
        </row>
        <row r="786">
          <cell r="A786" t="str">
            <v>118000014</v>
          </cell>
          <cell r="B786">
            <v>9606</v>
          </cell>
          <cell r="C786" t="str">
            <v>SABORIZANTE MENTA (KILO)</v>
          </cell>
          <cell r="D786" t="str">
            <v>118000014</v>
          </cell>
          <cell r="E786" t="str">
            <v>MATERIAS PRIMAS PLANTA</v>
          </cell>
          <cell r="F786" t="str">
            <v xml:space="preserve">1 KILO </v>
          </cell>
          <cell r="G786">
            <v>500</v>
          </cell>
          <cell r="H786" t="str">
            <v>07/02/2020</v>
          </cell>
          <cell r="I786">
            <v>19158.57</v>
          </cell>
          <cell r="J786">
            <v>38317.14</v>
          </cell>
          <cell r="K786">
            <v>1000</v>
          </cell>
          <cell r="L786">
            <v>19.158570000000001</v>
          </cell>
          <cell r="M786" t="str">
            <v>Gramos</v>
          </cell>
        </row>
        <row r="787">
          <cell r="A787" t="str">
            <v>118000017</v>
          </cell>
          <cell r="B787">
            <v>16320</v>
          </cell>
          <cell r="C787" t="str">
            <v>SABORIZANTE RON (UND)</v>
          </cell>
          <cell r="D787" t="str">
            <v>118000017</v>
          </cell>
          <cell r="E787" t="str">
            <v>MATERIAS PRIMAS PLANTA</v>
          </cell>
          <cell r="F787" t="str">
            <v>1 UNIDAD</v>
          </cell>
          <cell r="G787">
            <v>500</v>
          </cell>
          <cell r="H787" t="str">
            <v>29/05/2020</v>
          </cell>
          <cell r="I787">
            <v>8584.0499999999993</v>
          </cell>
          <cell r="J787">
            <v>16368.96</v>
          </cell>
          <cell r="K787">
            <v>25000</v>
          </cell>
          <cell r="L787" t="e">
            <v>#DIV/0!</v>
          </cell>
          <cell r="M787" t="str">
            <v>Gramos</v>
          </cell>
        </row>
        <row r="788">
          <cell r="A788" t="str">
            <v>119000002</v>
          </cell>
          <cell r="B788">
            <v>5658</v>
          </cell>
          <cell r="C788" t="str">
            <v>MACADAMIA PICADA #8 (CAJA 11,34 K)</v>
          </cell>
          <cell r="D788" t="str">
            <v>119000002</v>
          </cell>
          <cell r="E788" t="str">
            <v>MATERIAS PRIMAS PLANTA</v>
          </cell>
          <cell r="F788" t="str">
            <v>1 CAJA</v>
          </cell>
          <cell r="G788">
            <v>500</v>
          </cell>
          <cell r="H788" t="str">
            <v>28/03/2020</v>
          </cell>
          <cell r="I788">
            <v>94303</v>
          </cell>
          <cell r="J788">
            <v>282909</v>
          </cell>
          <cell r="K788">
            <v>11134</v>
          </cell>
          <cell r="L788">
            <v>8.4698221663373445</v>
          </cell>
          <cell r="M788" t="str">
            <v>Gramos</v>
          </cell>
        </row>
        <row r="789">
          <cell r="A789" t="str">
            <v>119000012</v>
          </cell>
          <cell r="B789">
            <v>5668</v>
          </cell>
          <cell r="C789" t="str">
            <v>MACADAMIA ENTERA (PAQ=1 KILO)</v>
          </cell>
          <cell r="D789" t="str">
            <v>119000012</v>
          </cell>
          <cell r="E789" t="str">
            <v>MATERIAS PRIMAS PLANTA</v>
          </cell>
          <cell r="F789" t="str">
            <v>1 PAQUETE</v>
          </cell>
          <cell r="G789">
            <v>500</v>
          </cell>
          <cell r="H789" t="str">
            <v>15/06/2020</v>
          </cell>
          <cell r="I789">
            <v>18522.560000000001</v>
          </cell>
          <cell r="J789">
            <v>12423172.800000001</v>
          </cell>
          <cell r="K789">
            <v>1000</v>
          </cell>
          <cell r="L789">
            <v>18.522560000000002</v>
          </cell>
          <cell r="M789" t="str">
            <v>Und</v>
          </cell>
        </row>
        <row r="790">
          <cell r="A790" t="str">
            <v>119000026</v>
          </cell>
          <cell r="B790">
            <v>14850</v>
          </cell>
          <cell r="C790" t="str">
            <v>SEMILLA DE AMAPOLA (UND: 566 G)</v>
          </cell>
          <cell r="D790" t="str">
            <v>119000026</v>
          </cell>
          <cell r="E790" t="str">
            <v>MATERIAS PRIMAS PLANTA</v>
          </cell>
          <cell r="F790" t="str">
            <v>1 Uds.</v>
          </cell>
          <cell r="G790">
            <v>500</v>
          </cell>
          <cell r="H790" t="str">
            <v>15/06/2020</v>
          </cell>
          <cell r="I790">
            <v>5138</v>
          </cell>
          <cell r="J790">
            <v>51068</v>
          </cell>
          <cell r="K790">
            <v>566</v>
          </cell>
          <cell r="L790">
            <v>9.0777385159010606</v>
          </cell>
          <cell r="M790" t="str">
            <v>Gramos</v>
          </cell>
        </row>
        <row r="791">
          <cell r="A791" t="str">
            <v>120000012</v>
          </cell>
          <cell r="B791">
            <v>10290</v>
          </cell>
          <cell r="C791" t="str">
            <v>ARO CHOCOLATE BLANCO (CAJA:150 UND)</v>
          </cell>
          <cell r="D791" t="str">
            <v>120000012</v>
          </cell>
          <cell r="E791" t="str">
            <v>MATERIAS PRIMAS PLANTA</v>
          </cell>
          <cell r="F791" t="str">
            <v>1 CAJA</v>
          </cell>
          <cell r="G791">
            <v>500</v>
          </cell>
          <cell r="H791" t="str">
            <v>03/12/2019</v>
          </cell>
          <cell r="I791">
            <v>12951</v>
          </cell>
          <cell r="J791">
            <v>-12951</v>
          </cell>
          <cell r="K791">
            <v>150</v>
          </cell>
          <cell r="L791">
            <v>86.34</v>
          </cell>
          <cell r="M791" t="str">
            <v>Gramos</v>
          </cell>
        </row>
        <row r="792">
          <cell r="A792" t="str">
            <v>120000017</v>
          </cell>
          <cell r="B792">
            <v>14824</v>
          </cell>
          <cell r="C792" t="str">
            <v>GALLETA DE CHOCOLATE (PAQ:3 UND)</v>
          </cell>
          <cell r="D792" t="str">
            <v>120000017</v>
          </cell>
          <cell r="E792" t="str">
            <v>MATERIAS PRIMAS PLANTA</v>
          </cell>
          <cell r="F792" t="str">
            <v>1 PAQ</v>
          </cell>
          <cell r="G792">
            <v>500</v>
          </cell>
          <cell r="H792" t="str">
            <v>13/05/2020</v>
          </cell>
          <cell r="I792">
            <v>623.1</v>
          </cell>
          <cell r="J792">
            <v>165121.5</v>
          </cell>
          <cell r="K792">
            <v>126</v>
          </cell>
          <cell r="L792" t="e">
            <v>#DIV/0!</v>
          </cell>
          <cell r="M792" t="str">
            <v>Gramos</v>
          </cell>
        </row>
        <row r="793">
          <cell r="A793" t="str">
            <v>120000018</v>
          </cell>
          <cell r="B793">
            <v>14825</v>
          </cell>
          <cell r="C793" t="str">
            <v>GALLETA DE CRAMBERRY (PAQ:5 UND)</v>
          </cell>
          <cell r="D793" t="str">
            <v>120000018</v>
          </cell>
          <cell r="E793" t="str">
            <v>MATERIAS PRIMAS PLANTA</v>
          </cell>
          <cell r="F793" t="str">
            <v>1 PAQ</v>
          </cell>
          <cell r="G793">
            <v>500</v>
          </cell>
          <cell r="H793" t="str">
            <v>13/05/2020</v>
          </cell>
          <cell r="I793">
            <v>573.1</v>
          </cell>
          <cell r="J793">
            <v>130093.7</v>
          </cell>
          <cell r="K793">
            <v>2500</v>
          </cell>
          <cell r="L793" t="e">
            <v>#DIV/0!</v>
          </cell>
          <cell r="M793" t="str">
            <v>Gramos</v>
          </cell>
        </row>
        <row r="794">
          <cell r="A794" t="str">
            <v>120000019</v>
          </cell>
          <cell r="B794">
            <v>14826</v>
          </cell>
          <cell r="C794" t="str">
            <v>GALLETA DE CANELA (PAQ:4 UND)</v>
          </cell>
          <cell r="D794" t="str">
            <v>120000019</v>
          </cell>
          <cell r="E794" t="str">
            <v>MATERIAS PRIMAS PLANTA</v>
          </cell>
          <cell r="F794" t="str">
            <v>1 PAQ</v>
          </cell>
          <cell r="G794">
            <v>500</v>
          </cell>
          <cell r="H794" t="str">
            <v>05/06/2020</v>
          </cell>
          <cell r="I794">
            <v>1</v>
          </cell>
          <cell r="J794">
            <v>126655.1</v>
          </cell>
          <cell r="K794">
            <v>1</v>
          </cell>
          <cell r="L794" t="e">
            <v>#DIV/0!</v>
          </cell>
          <cell r="M794" t="str">
            <v>Gramos</v>
          </cell>
        </row>
        <row r="795">
          <cell r="A795" t="str">
            <v>120000022</v>
          </cell>
          <cell r="B795">
            <v>15912</v>
          </cell>
          <cell r="C795" t="str">
            <v>GALLETA OREO ( PAQ: 126 G)</v>
          </cell>
          <cell r="D795" t="str">
            <v>120000022</v>
          </cell>
          <cell r="E795" t="str">
            <v>MATERIAS PRIMAS PLANTA</v>
          </cell>
          <cell r="F795" t="str">
            <v>1 PAQUETE</v>
          </cell>
          <cell r="G795">
            <v>500</v>
          </cell>
          <cell r="H795" t="str">
            <v>21/05/2020</v>
          </cell>
          <cell r="I795">
            <v>510</v>
          </cell>
          <cell r="J795">
            <v>85170</v>
          </cell>
          <cell r="K795">
            <v>126</v>
          </cell>
          <cell r="L795">
            <v>4.0476190476190474</v>
          </cell>
          <cell r="M795" t="str">
            <v>Gramos</v>
          </cell>
        </row>
        <row r="796">
          <cell r="A796" t="str">
            <v>120000023</v>
          </cell>
          <cell r="B796">
            <v>16424</v>
          </cell>
          <cell r="C796" t="str">
            <v>HELADO VAINILLA CARAMELO 1/4 GALON</v>
          </cell>
          <cell r="D796" t="str">
            <v>120000023</v>
          </cell>
          <cell r="E796" t="str">
            <v>MATERIAS PRIMAS PLANTA</v>
          </cell>
          <cell r="F796" t="str">
            <v>1 UND</v>
          </cell>
          <cell r="G796">
            <v>500</v>
          </cell>
          <cell r="H796" t="str">
            <v>16/04/2020</v>
          </cell>
          <cell r="I796">
            <v>2348</v>
          </cell>
          <cell r="J796">
            <v>2297434.79</v>
          </cell>
          <cell r="K796">
            <v>1</v>
          </cell>
          <cell r="L796" t="e">
            <v>#DIV/0!</v>
          </cell>
          <cell r="M796" t="str">
            <v>Gramos</v>
          </cell>
        </row>
        <row r="797">
          <cell r="A797" t="str">
            <v>203000096</v>
          </cell>
          <cell r="B797">
            <v>12763</v>
          </cell>
          <cell r="C797" t="str">
            <v>TARJETA CARTULINA CUCHARA BELGA</v>
          </cell>
          <cell r="D797" t="str">
            <v>203000096</v>
          </cell>
          <cell r="E797" t="str">
            <v>MATERIAS PRIMAS PLANTA</v>
          </cell>
          <cell r="F797" t="str">
            <v>1 UND</v>
          </cell>
          <cell r="G797">
            <v>500</v>
          </cell>
          <cell r="H797" t="str">
            <v>03/02/2020</v>
          </cell>
          <cell r="I797">
            <v>50.189086666000001</v>
          </cell>
          <cell r="J797">
            <v>150567.25999799999</v>
          </cell>
          <cell r="K797">
            <v>1000</v>
          </cell>
          <cell r="L797" t="e">
            <v>#DIV/0!</v>
          </cell>
          <cell r="M797" t="str">
            <v>Gramos</v>
          </cell>
        </row>
        <row r="798">
          <cell r="A798" t="str">
            <v>207000001</v>
          </cell>
          <cell r="B798">
            <v>11323</v>
          </cell>
          <cell r="C798" t="str">
            <v>BATIDO DE PIÑA,PEPINO Y ALBAHACA (UND)</v>
          </cell>
          <cell r="D798" t="str">
            <v>207000001</v>
          </cell>
          <cell r="E798" t="str">
            <v>MATERIAS PRIMAS PLANTA</v>
          </cell>
          <cell r="F798" t="str">
            <v>1 UND</v>
          </cell>
          <cell r="G798">
            <v>500</v>
          </cell>
          <cell r="H798" t="str">
            <v>05/06/2020</v>
          </cell>
          <cell r="I798">
            <v>515</v>
          </cell>
          <cell r="J798">
            <v>798250</v>
          </cell>
          <cell r="K798">
            <v>15000</v>
          </cell>
          <cell r="L798" t="e">
            <v>#DIV/0!</v>
          </cell>
          <cell r="M798" t="str">
            <v>Centimetros</v>
          </cell>
        </row>
        <row r="799">
          <cell r="A799" t="str">
            <v>207000002</v>
          </cell>
          <cell r="B799">
            <v>11324</v>
          </cell>
          <cell r="C799" t="str">
            <v>BATIDO DE MORA Y JENJIBRE (UND)</v>
          </cell>
          <cell r="D799" t="str">
            <v>207000002</v>
          </cell>
          <cell r="E799" t="str">
            <v>MATERIAS PRIMAS PLANTA</v>
          </cell>
          <cell r="F799" t="str">
            <v>1 UND</v>
          </cell>
          <cell r="G799">
            <v>500</v>
          </cell>
          <cell r="H799" t="str">
            <v>05/06/2020</v>
          </cell>
          <cell r="I799">
            <v>515</v>
          </cell>
          <cell r="J799">
            <v>857990</v>
          </cell>
          <cell r="K799">
            <v>20000</v>
          </cell>
          <cell r="L799" t="e">
            <v>#DIV/0!</v>
          </cell>
          <cell r="M799" t="str">
            <v>Centimetros</v>
          </cell>
        </row>
        <row r="800">
          <cell r="A800" t="str">
            <v>207000003</v>
          </cell>
          <cell r="B800">
            <v>11325</v>
          </cell>
          <cell r="C800" t="str">
            <v>BATIDO MANGO, NARANJA Y MARACUYA (UND)</v>
          </cell>
          <cell r="D800" t="str">
            <v>207000003</v>
          </cell>
          <cell r="E800" t="str">
            <v>MATERIAS PRIMAS PLANTA</v>
          </cell>
          <cell r="F800" t="str">
            <v>1 UND</v>
          </cell>
          <cell r="G800">
            <v>500</v>
          </cell>
          <cell r="H800" t="str">
            <v>13/06/2020</v>
          </cell>
          <cell r="I800">
            <v>1</v>
          </cell>
          <cell r="J800">
            <v>1121670</v>
          </cell>
          <cell r="K800">
            <v>50</v>
          </cell>
          <cell r="L800" t="e">
            <v>#DIV/0!</v>
          </cell>
          <cell r="M800" t="str">
            <v>Und</v>
          </cell>
        </row>
        <row r="801">
          <cell r="A801" t="str">
            <v>401000002</v>
          </cell>
          <cell r="B801">
            <v>5679</v>
          </cell>
          <cell r="C801" t="str">
            <v>BOLSA TRANSPARENTE 6X6X4 KILO</v>
          </cell>
          <cell r="D801" t="str">
            <v>401000002</v>
          </cell>
          <cell r="E801" t="str">
            <v>EMPAQUES PLANTA</v>
          </cell>
          <cell r="F801" t="str">
            <v>1 KILO</v>
          </cell>
          <cell r="G801">
            <v>500</v>
          </cell>
          <cell r="H801" t="str">
            <v>04/05/2020</v>
          </cell>
          <cell r="I801">
            <v>1400</v>
          </cell>
          <cell r="J801">
            <v>439600</v>
          </cell>
          <cell r="K801">
            <v>430</v>
          </cell>
          <cell r="L801">
            <v>3.2558139534883721</v>
          </cell>
          <cell r="M801" t="str">
            <v>Gramos</v>
          </cell>
        </row>
        <row r="802">
          <cell r="A802" t="str">
            <v>401000003</v>
          </cell>
          <cell r="B802">
            <v>5680</v>
          </cell>
          <cell r="C802" t="str">
            <v>BOLSA TRANSPARENTE 6X8X4 KILO</v>
          </cell>
          <cell r="D802" t="str">
            <v>401000003</v>
          </cell>
          <cell r="E802" t="str">
            <v>EMPAQUES PLANTA</v>
          </cell>
          <cell r="F802" t="str">
            <v>1 KILO</v>
          </cell>
          <cell r="G802">
            <v>500</v>
          </cell>
          <cell r="H802" t="str">
            <v>23/03/2020</v>
          </cell>
          <cell r="I802">
            <v>1400</v>
          </cell>
          <cell r="J802">
            <v>175000</v>
          </cell>
          <cell r="K802">
            <v>340</v>
          </cell>
          <cell r="L802">
            <v>4.117647058823529</v>
          </cell>
          <cell r="M802" t="str">
            <v>Und</v>
          </cell>
        </row>
        <row r="803">
          <cell r="A803" t="str">
            <v>401000004</v>
          </cell>
          <cell r="B803">
            <v>5681</v>
          </cell>
          <cell r="C803" t="str">
            <v>BOLSA TRANSPARENTE 7X9X4 KILO</v>
          </cell>
          <cell r="D803" t="str">
            <v>401000004</v>
          </cell>
          <cell r="E803" t="str">
            <v>EMPAQUES PLANTA</v>
          </cell>
          <cell r="F803" t="str">
            <v>1 KILO</v>
          </cell>
          <cell r="G803">
            <v>500</v>
          </cell>
          <cell r="H803" t="str">
            <v>27/01/2020</v>
          </cell>
          <cell r="I803">
            <v>1400</v>
          </cell>
          <cell r="J803">
            <v>105000</v>
          </cell>
          <cell r="K803">
            <v>250</v>
          </cell>
          <cell r="L803">
            <v>5.6</v>
          </cell>
          <cell r="M803" t="str">
            <v>Gramos</v>
          </cell>
        </row>
        <row r="804">
          <cell r="A804" t="str">
            <v>401000005</v>
          </cell>
          <cell r="B804">
            <v>5682</v>
          </cell>
          <cell r="C804" t="str">
            <v>BOLSA TRANSPARENTE 8X10X4 KILO</v>
          </cell>
          <cell r="D804" t="str">
            <v>401000005</v>
          </cell>
          <cell r="E804" t="str">
            <v>EMPAQUES PLANTA</v>
          </cell>
          <cell r="F804" t="str">
            <v>1 KILO</v>
          </cell>
          <cell r="G804">
            <v>500</v>
          </cell>
          <cell r="H804" t="str">
            <v>07/02/2020</v>
          </cell>
          <cell r="I804">
            <v>1400</v>
          </cell>
          <cell r="J804">
            <v>114940</v>
          </cell>
          <cell r="K804">
            <v>196</v>
          </cell>
          <cell r="L804">
            <v>7.1428571428571432</v>
          </cell>
          <cell r="M804" t="str">
            <v>Gramos</v>
          </cell>
        </row>
        <row r="805">
          <cell r="A805" t="str">
            <v>401000006</v>
          </cell>
          <cell r="B805">
            <v>5683</v>
          </cell>
          <cell r="C805" t="str">
            <v>BOLSA TRANSPARENTE 10X12X4 KILO</v>
          </cell>
          <cell r="D805" t="str">
            <v>401000006</v>
          </cell>
          <cell r="E805" t="str">
            <v>EMPAQUES PLANTA</v>
          </cell>
          <cell r="F805" t="str">
            <v>1 KILO</v>
          </cell>
          <cell r="G805">
            <v>500</v>
          </cell>
          <cell r="H805" t="str">
            <v>27/01/2020</v>
          </cell>
          <cell r="I805">
            <v>1400</v>
          </cell>
          <cell r="J805">
            <v>70000</v>
          </cell>
          <cell r="K805">
            <v>126</v>
          </cell>
          <cell r="L805">
            <v>11.111111111111111</v>
          </cell>
          <cell r="M805" t="str">
            <v>Gramos</v>
          </cell>
        </row>
        <row r="806">
          <cell r="A806" t="str">
            <v>503000036</v>
          </cell>
          <cell r="B806">
            <v>14741</v>
          </cell>
          <cell r="C806" t="str">
            <v>BICARBONATO DE SODIO (PAQ:2.5 K)</v>
          </cell>
          <cell r="D806" t="str">
            <v>503000036</v>
          </cell>
          <cell r="E806" t="str">
            <v>MATERIAS PRIMAS PLANTA</v>
          </cell>
          <cell r="F806" t="str">
            <v>1 PAQUETE</v>
          </cell>
          <cell r="G806">
            <v>500</v>
          </cell>
          <cell r="H806" t="str">
            <v>21/03/2020</v>
          </cell>
          <cell r="I806">
            <v>1766.45</v>
          </cell>
          <cell r="J806">
            <v>14131.6</v>
          </cell>
          <cell r="K806">
            <v>2500</v>
          </cell>
          <cell r="L806">
            <v>0.70657999999999999</v>
          </cell>
          <cell r="M806" t="str">
            <v>Gramos</v>
          </cell>
        </row>
        <row r="807">
          <cell r="A807" t="str">
            <v>510000013</v>
          </cell>
          <cell r="B807">
            <v>8045</v>
          </cell>
          <cell r="C807" t="str">
            <v>ORLA 13" C163 (UND)</v>
          </cell>
          <cell r="D807" t="str">
            <v>510000013</v>
          </cell>
          <cell r="E807" t="str">
            <v>EMPAQUES PLANTA</v>
          </cell>
          <cell r="F807" t="str">
            <v>1 UND</v>
          </cell>
          <cell r="G807">
            <v>500</v>
          </cell>
          <cell r="H807" t="str">
            <v>17/03/2020</v>
          </cell>
          <cell r="I807">
            <v>230</v>
          </cell>
          <cell r="J807">
            <v>52750</v>
          </cell>
          <cell r="K807">
            <v>1</v>
          </cell>
          <cell r="L807">
            <v>230</v>
          </cell>
          <cell r="M807" t="str">
            <v>Centimetros</v>
          </cell>
        </row>
        <row r="808">
          <cell r="A808" t="str">
            <v>510000014</v>
          </cell>
          <cell r="B808">
            <v>15367</v>
          </cell>
          <cell r="C808" t="str">
            <v>BASE CARTON ALUMINIO REDONDA # 12 (UND)</v>
          </cell>
          <cell r="D808" t="str">
            <v>510000014</v>
          </cell>
          <cell r="E808" t="str">
            <v>EMPAQUES PLANTA</v>
          </cell>
          <cell r="F808" t="str">
            <v>1 UND</v>
          </cell>
          <cell r="G808">
            <v>500</v>
          </cell>
          <cell r="H808" t="str">
            <v>28/01/2020</v>
          </cell>
          <cell r="I808">
            <v>275</v>
          </cell>
          <cell r="J808">
            <v>825000</v>
          </cell>
          <cell r="K808">
            <v>1</v>
          </cell>
          <cell r="L808">
            <v>275</v>
          </cell>
          <cell r="M808" t="str">
            <v>Mililitros</v>
          </cell>
        </row>
        <row r="809">
          <cell r="A809" t="str">
            <v>510000015</v>
          </cell>
          <cell r="B809">
            <v>15384</v>
          </cell>
          <cell r="C809" t="str">
            <v>BASE RECTAGULAR GRANDE (UND)</v>
          </cell>
          <cell r="D809" t="str">
            <v>510000015</v>
          </cell>
          <cell r="E809" t="str">
            <v>EMPAQUES PLANTA</v>
          </cell>
          <cell r="F809" t="str">
            <v xml:space="preserve">1 UND </v>
          </cell>
          <cell r="G809">
            <v>500</v>
          </cell>
          <cell r="H809" t="str">
            <v>28/01/2020</v>
          </cell>
          <cell r="I809">
            <v>220</v>
          </cell>
          <cell r="J809">
            <v>330000</v>
          </cell>
          <cell r="K809">
            <v>1</v>
          </cell>
          <cell r="L809">
            <v>220</v>
          </cell>
          <cell r="M809" t="str">
            <v>Mililitros</v>
          </cell>
        </row>
        <row r="810">
          <cell r="A810" t="str">
            <v>510000016</v>
          </cell>
          <cell r="B810">
            <v>15385</v>
          </cell>
          <cell r="C810" t="str">
            <v>CARTON RECTA PEQ 1/2 QUEQUE CRISTAL(UND)</v>
          </cell>
          <cell r="D810" t="str">
            <v>510000016</v>
          </cell>
          <cell r="E810" t="str">
            <v>EMPAQUES PLANTA</v>
          </cell>
          <cell r="F810" t="str">
            <v>1 UND</v>
          </cell>
          <cell r="G810">
            <v>500</v>
          </cell>
          <cell r="H810" t="str">
            <v>28/01/2020</v>
          </cell>
          <cell r="I810">
            <v>180</v>
          </cell>
          <cell r="J810">
            <v>1080000</v>
          </cell>
          <cell r="K810">
            <v>70</v>
          </cell>
          <cell r="L810" t="e">
            <v>#DIV/0!</v>
          </cell>
          <cell r="M810" t="str">
            <v>Und</v>
          </cell>
        </row>
        <row r="811">
          <cell r="A811" t="str">
            <v>512000001</v>
          </cell>
          <cell r="B811">
            <v>5845</v>
          </cell>
          <cell r="C811" t="str">
            <v>PLASTICO P PALETIZAR 18X1500</v>
          </cell>
          <cell r="D811" t="str">
            <v>512000001</v>
          </cell>
          <cell r="E811" t="str">
            <v>EMPAQUES PLANTA</v>
          </cell>
          <cell r="F811" t="str">
            <v>1 UND</v>
          </cell>
          <cell r="G811">
            <v>500</v>
          </cell>
          <cell r="H811" t="str">
            <v>12/06/2020</v>
          </cell>
          <cell r="I811">
            <v>4800</v>
          </cell>
          <cell r="J811">
            <v>609600</v>
          </cell>
          <cell r="K811">
            <v>2500</v>
          </cell>
          <cell r="L811" t="e">
            <v>#DIV/0!</v>
          </cell>
          <cell r="M811" t="str">
            <v>Gramos</v>
          </cell>
        </row>
        <row r="812">
          <cell r="A812" t="str">
            <v>512000002</v>
          </cell>
          <cell r="B812">
            <v>5846</v>
          </cell>
          <cell r="C812" t="str">
            <v>PLASTICO  AUTOAD (UND: 18 * 2000 M)</v>
          </cell>
          <cell r="D812" t="str">
            <v>51200002</v>
          </cell>
          <cell r="E812" t="str">
            <v>EMPAQUES PLANTA</v>
          </cell>
          <cell r="F812" t="str">
            <v>1 UND</v>
          </cell>
          <cell r="G812">
            <v>500</v>
          </cell>
          <cell r="H812" t="str">
            <v>12/06/2020</v>
          </cell>
          <cell r="I812">
            <v>9965</v>
          </cell>
          <cell r="J812">
            <v>3275242</v>
          </cell>
          <cell r="K812">
            <v>20000</v>
          </cell>
          <cell r="L812">
            <v>0.49825000000000003</v>
          </cell>
          <cell r="M812" t="str">
            <v>Centimetros</v>
          </cell>
        </row>
        <row r="813">
          <cell r="A813" t="str">
            <v>515000012</v>
          </cell>
          <cell r="B813">
            <v>5874</v>
          </cell>
          <cell r="C813" t="str">
            <v>VASO CARTON NESCAFE 8OZ (PAQ:50 UND)</v>
          </cell>
          <cell r="D813" t="str">
            <v>515000012</v>
          </cell>
          <cell r="E813" t="str">
            <v>EMPAQUES PLANTA</v>
          </cell>
          <cell r="F813" t="str">
            <v>1 PAQUETE</v>
          </cell>
          <cell r="G813">
            <v>500</v>
          </cell>
          <cell r="H813" t="str">
            <v>22/02/2020</v>
          </cell>
          <cell r="I813">
            <v>1666</v>
          </cell>
          <cell r="J813">
            <v>6664</v>
          </cell>
          <cell r="K813">
            <v>50</v>
          </cell>
          <cell r="L813">
            <v>33.32</v>
          </cell>
          <cell r="M813" t="str">
            <v>Gramos</v>
          </cell>
        </row>
        <row r="814">
          <cell r="A814" t="str">
            <v>516000002</v>
          </cell>
          <cell r="B814">
            <v>8074</v>
          </cell>
          <cell r="C814" t="str">
            <v>LAMINA ACETATO (UND)</v>
          </cell>
          <cell r="D814" t="str">
            <v>516000002</v>
          </cell>
          <cell r="E814" t="str">
            <v>EMPAQUES PLANTA</v>
          </cell>
          <cell r="F814" t="str">
            <v>1 UND</v>
          </cell>
          <cell r="G814">
            <v>500</v>
          </cell>
          <cell r="H814" t="str">
            <v>26/12/2019</v>
          </cell>
          <cell r="I814">
            <v>155</v>
          </cell>
          <cell r="J814">
            <v>930000</v>
          </cell>
          <cell r="K814">
            <v>1</v>
          </cell>
          <cell r="L814">
            <v>155</v>
          </cell>
          <cell r="M814" t="str">
            <v>und</v>
          </cell>
        </row>
        <row r="815">
          <cell r="A815" t="str">
            <v>906000010</v>
          </cell>
          <cell r="B815">
            <v>11228</v>
          </cell>
          <cell r="C815" t="str">
            <v>PREMEZCLA CHOCOMIX (SACO:25k)</v>
          </cell>
          <cell r="D815" t="str">
            <v>906000010</v>
          </cell>
          <cell r="E815" t="str">
            <v>MATERIAS PRIMAS PLANTA</v>
          </cell>
          <cell r="F815" t="str">
            <v>1 SACO</v>
          </cell>
          <cell r="G815">
            <v>500</v>
          </cell>
          <cell r="H815" t="str">
            <v>13/06/2020</v>
          </cell>
          <cell r="I815">
            <v>33375</v>
          </cell>
          <cell r="J815">
            <v>21326625</v>
          </cell>
          <cell r="K815">
            <v>25000</v>
          </cell>
          <cell r="L815">
            <v>1.335</v>
          </cell>
          <cell r="M815" t="str">
            <v>Gramos</v>
          </cell>
        </row>
        <row r="816">
          <cell r="A816" t="str">
            <v>1020000471</v>
          </cell>
          <cell r="B816">
            <v>15833</v>
          </cell>
          <cell r="C816" t="str">
            <v>AGUA PERRIER (CAJA:24 UND)</v>
          </cell>
          <cell r="D816" t="str">
            <v>1020000471</v>
          </cell>
          <cell r="E816" t="str">
            <v>MATERIAS PRIMAS PLANTA</v>
          </cell>
          <cell r="F816" t="str">
            <v>1 CAJA</v>
          </cell>
          <cell r="G816">
            <v>500</v>
          </cell>
          <cell r="H816" t="str">
            <v>27/01/2020</v>
          </cell>
          <cell r="I816">
            <v>17899.900000000001</v>
          </cell>
          <cell r="J816">
            <v>17899.900000000001</v>
          </cell>
          <cell r="K816">
            <v>2900</v>
          </cell>
          <cell r="L816" t="e">
            <v>#DIV/0!</v>
          </cell>
          <cell r="M816" t="str">
            <v>Gramos</v>
          </cell>
        </row>
        <row r="817">
          <cell r="A817" t="str">
            <v>403000007</v>
          </cell>
          <cell r="B817">
            <v>5717</v>
          </cell>
          <cell r="C817" t="str">
            <v>GUANTE LATEX CORRIENTE (CAJA:100 UND)</v>
          </cell>
          <cell r="D817" t="str">
            <v>1110372</v>
          </cell>
          <cell r="E817" t="str">
            <v>ASEO</v>
          </cell>
          <cell r="F817" t="str">
            <v>1 CAJA</v>
          </cell>
          <cell r="G817">
            <v>500</v>
          </cell>
          <cell r="I817">
            <v>3312</v>
          </cell>
          <cell r="J817">
            <v>10045</v>
          </cell>
          <cell r="K817">
            <v>100</v>
          </cell>
          <cell r="L817">
            <v>33.119999999999997</v>
          </cell>
          <cell r="M817" t="str">
            <v>Und</v>
          </cell>
        </row>
        <row r="818">
          <cell r="A818" t="str">
            <v>10415</v>
          </cell>
          <cell r="B818" t="str">
            <v/>
          </cell>
          <cell r="C818" t="str">
            <v>AGUA PLANTA</v>
          </cell>
          <cell r="D818" t="str">
            <v>109000136</v>
          </cell>
          <cell r="E818" t="str">
            <v>MATERIAS PRIMAS PLANTA</v>
          </cell>
          <cell r="F818" t="str">
            <v>LITRO</v>
          </cell>
          <cell r="I818">
            <v>100</v>
          </cell>
          <cell r="J818">
            <v>3000</v>
          </cell>
          <cell r="K818">
            <v>1000</v>
          </cell>
          <cell r="L818">
            <v>0.1</v>
          </cell>
          <cell r="M818" t="str">
            <v>Mililitros</v>
          </cell>
        </row>
        <row r="819">
          <cell r="A819" t="str">
            <v>10416</v>
          </cell>
          <cell r="B819" t="str">
            <v/>
          </cell>
          <cell r="C819" t="str">
            <v>MANO OBRA</v>
          </cell>
          <cell r="D819" t="str">
            <v>50100056</v>
          </cell>
          <cell r="E819" t="str">
            <v>MANO OBRA</v>
          </cell>
          <cell r="F819" t="str">
            <v>Minuto</v>
          </cell>
          <cell r="I819">
            <v>55</v>
          </cell>
          <cell r="J819">
            <v>25635</v>
          </cell>
          <cell r="K819">
            <v>1</v>
          </cell>
          <cell r="L819">
            <v>55</v>
          </cell>
          <cell r="M819" t="str">
            <v>Minutos</v>
          </cell>
        </row>
        <row r="820">
          <cell r="A820" t="str">
            <v>1210415</v>
          </cell>
          <cell r="B820" t="str">
            <v/>
          </cell>
          <cell r="C820" t="str">
            <v>PABILO ROJO</v>
          </cell>
          <cell r="D820" t="str">
            <v>50100055</v>
          </cell>
          <cell r="E820" t="str">
            <v>EMPAQUES PLANTA</v>
          </cell>
          <cell r="F820" t="str">
            <v>UND</v>
          </cell>
          <cell r="I820">
            <v>8990</v>
          </cell>
          <cell r="J820">
            <v>20443</v>
          </cell>
          <cell r="K820">
            <v>14000</v>
          </cell>
          <cell r="L820">
            <v>0.64214285714285713</v>
          </cell>
          <cell r="M820" t="str">
            <v>Centimetros</v>
          </cell>
        </row>
        <row r="821">
          <cell r="A821" t="str">
            <v>18406411</v>
          </cell>
          <cell r="B821" t="str">
            <v/>
          </cell>
          <cell r="C821" t="str">
            <v>CLORO 5% MFS (UND:GL)</v>
          </cell>
          <cell r="D821" t="str">
            <v>106000006</v>
          </cell>
          <cell r="E821" t="str">
            <v>MATERIAS PRIMAS PLANTA</v>
          </cell>
          <cell r="F821" t="str">
            <v>UND</v>
          </cell>
          <cell r="I821">
            <v>1921</v>
          </cell>
          <cell r="J821">
            <v>2590</v>
          </cell>
          <cell r="K821">
            <v>3785</v>
          </cell>
          <cell r="L821">
            <v>0.50752972258916773</v>
          </cell>
          <cell r="M821" t="str">
            <v>Mililitros</v>
          </cell>
        </row>
        <row r="822">
          <cell r="A822" t="str">
            <v>1010339</v>
          </cell>
          <cell r="B822" t="str">
            <v/>
          </cell>
          <cell r="C822" t="str">
            <v xml:space="preserve">TRIPLE SEC </v>
          </cell>
          <cell r="D822" t="str">
            <v>50700018</v>
          </cell>
          <cell r="E822" t="str">
            <v>MATERIAS PRIMAS PLANTA</v>
          </cell>
          <cell r="F822" t="str">
            <v>UND</v>
          </cell>
          <cell r="I822">
            <v>4371.43</v>
          </cell>
          <cell r="J822">
            <v>14720</v>
          </cell>
          <cell r="K822">
            <v>750</v>
          </cell>
          <cell r="L822">
            <v>5.8285733333333338</v>
          </cell>
          <cell r="M822" t="str">
            <v>Mililitros</v>
          </cell>
        </row>
        <row r="823">
          <cell r="A823" t="str">
            <v>1950779</v>
          </cell>
          <cell r="B823" t="str">
            <v/>
          </cell>
          <cell r="C823" t="str">
            <v>QUEQUERA  9" BAJA (CAJA:70 UND)</v>
          </cell>
          <cell r="D823" t="str">
            <v>60100062</v>
          </cell>
          <cell r="E823" t="str">
            <v>EMPAQUES PLANTA</v>
          </cell>
          <cell r="F823" t="str">
            <v>CAJA</v>
          </cell>
          <cell r="G823">
            <v>0</v>
          </cell>
          <cell r="I823">
            <v>20298</v>
          </cell>
          <cell r="J823" t="e">
            <v>#N/A</v>
          </cell>
          <cell r="K823">
            <v>70</v>
          </cell>
          <cell r="L823">
            <v>289.97142857142859</v>
          </cell>
          <cell r="M823" t="str">
            <v>Und</v>
          </cell>
        </row>
      </sheetData>
      <sheetData sheetId="1" refreshError="1"/>
      <sheetData sheetId="2" refreshError="1">
        <row r="2">
          <cell r="A2" t="str">
            <v>906000102</v>
          </cell>
          <cell r="B2" t="str">
            <v>PREMEZ CHOCOLATE PILLS PLANTA KILO</v>
          </cell>
          <cell r="C2" t="str">
            <v xml:space="preserve">ESP-RE-PRES-030 </v>
          </cell>
          <cell r="D2" t="str">
            <v>02</v>
          </cell>
          <cell r="E2" t="str">
            <v>Kilo</v>
          </cell>
          <cell r="F2" t="str">
            <v>Gramo</v>
          </cell>
          <cell r="G2">
            <v>4844.88</v>
          </cell>
          <cell r="H2">
            <v>4.8448799999999999</v>
          </cell>
          <cell r="I2">
            <v>65.22</v>
          </cell>
          <cell r="J2">
            <v>6.522E-2</v>
          </cell>
          <cell r="K2">
            <v>597.84999999999991</v>
          </cell>
          <cell r="L2">
            <v>0.59784999999999988</v>
          </cell>
          <cell r="M2">
            <v>5507.9500000000007</v>
          </cell>
        </row>
        <row r="3">
          <cell r="A3" t="str">
            <v>902000013</v>
          </cell>
          <cell r="B3" t="str">
            <v>BATIDO CHOCOLATE PILLSBURY KILO</v>
          </cell>
          <cell r="C3" t="str">
            <v>ESP-RE-BAS-028</v>
          </cell>
          <cell r="D3" t="str">
            <v>04</v>
          </cell>
          <cell r="E3" t="str">
            <v>Kilo</v>
          </cell>
          <cell r="F3" t="str">
            <v>Gramo</v>
          </cell>
          <cell r="G3">
            <v>1282.9273809703136</v>
          </cell>
          <cell r="H3">
            <v>1.2829273809703137</v>
          </cell>
          <cell r="I3">
            <v>7.3698599999999989E-2</v>
          </cell>
          <cell r="J3">
            <v>7.3698599999999986E-5</v>
          </cell>
          <cell r="K3">
            <v>11.4555705</v>
          </cell>
          <cell r="L3">
            <v>1.14555705E-2</v>
          </cell>
          <cell r="M3">
            <v>1294.4566500703136</v>
          </cell>
        </row>
        <row r="4">
          <cell r="A4" t="str">
            <v>902000019</v>
          </cell>
          <cell r="B4" t="str">
            <v>MEZCLA P/ENGRASE MOLDES KILO</v>
          </cell>
          <cell r="C4" t="str">
            <v>ESP-RE-BAS-006</v>
          </cell>
          <cell r="D4" t="str">
            <v>04</v>
          </cell>
          <cell r="E4" t="str">
            <v>Kilo</v>
          </cell>
          <cell r="F4" t="str">
            <v>Gramo</v>
          </cell>
          <cell r="G4">
            <v>753.83892617449669</v>
          </cell>
          <cell r="H4">
            <v>0.75383892617449666</v>
          </cell>
          <cell r="I4">
            <v>13.378012500000001</v>
          </cell>
          <cell r="J4">
            <v>1.3378012500000001E-2</v>
          </cell>
          <cell r="K4">
            <v>55.55</v>
          </cell>
          <cell r="L4">
            <v>5.5549999999999995E-2</v>
          </cell>
          <cell r="M4">
            <v>822.7669386744966</v>
          </cell>
        </row>
        <row r="5">
          <cell r="A5" t="str">
            <v>95113</v>
          </cell>
          <cell r="B5" t="str">
            <v>ROSQUETE CHOCOLATE PILLS 530g</v>
          </cell>
          <cell r="C5" t="str">
            <v>ESP-RE-BAS-051</v>
          </cell>
          <cell r="D5" t="str">
            <v>05</v>
          </cell>
          <cell r="E5" t="str">
            <v>Und</v>
          </cell>
          <cell r="F5" t="str">
            <v>Und</v>
          </cell>
          <cell r="G5">
            <v>696.12232100217295</v>
          </cell>
          <cell r="H5">
            <v>696.12232100217295</v>
          </cell>
          <cell r="I5">
            <v>4.9100590817579999</v>
          </cell>
          <cell r="J5">
            <v>4.9100590817579999</v>
          </cell>
          <cell r="K5">
            <v>21.103623669865001</v>
          </cell>
          <cell r="L5">
            <v>21.103623669865001</v>
          </cell>
          <cell r="M5">
            <v>722.13600375379599</v>
          </cell>
        </row>
        <row r="6">
          <cell r="A6" t="str">
            <v>95555</v>
          </cell>
          <cell r="B6" t="str">
            <v>BASE PREMEZCLA PASTA CHILENA KILO</v>
          </cell>
          <cell r="C6" t="str">
            <v>ESP-RE-PRES-014</v>
          </cell>
          <cell r="D6" t="str">
            <v>13</v>
          </cell>
          <cell r="E6" t="str">
            <v>Kilo</v>
          </cell>
          <cell r="F6" t="str">
            <v>Gramo</v>
          </cell>
          <cell r="G6">
            <v>761.48297487999992</v>
          </cell>
          <cell r="H6">
            <v>0.76148297487999994</v>
          </cell>
          <cell r="I6">
            <v>3.3533333333333339</v>
          </cell>
          <cell r="J6">
            <v>3.353333333333334E-3</v>
          </cell>
          <cell r="K6">
            <v>9.1300000000000008</v>
          </cell>
          <cell r="L6">
            <v>9.130000000000001E-3</v>
          </cell>
          <cell r="M6">
            <v>773.96630821333326</v>
          </cell>
        </row>
        <row r="7">
          <cell r="A7" t="str">
            <v>906000035</v>
          </cell>
          <cell r="B7" t="str">
            <v>PASTA TORTA CHILENA SPOON KILO</v>
          </cell>
          <cell r="C7" t="str">
            <v>ESP-RE-PAPS-020</v>
          </cell>
          <cell r="D7" t="str">
            <v>04</v>
          </cell>
          <cell r="E7" t="str">
            <v>Kilo</v>
          </cell>
          <cell r="F7" t="str">
            <v>Gramo</v>
          </cell>
          <cell r="G7">
            <v>768.80082626859678</v>
          </cell>
          <cell r="H7">
            <v>0.7688008262685968</v>
          </cell>
          <cell r="I7">
            <v>3.3855588666666674</v>
          </cell>
          <cell r="J7">
            <v>3.3855588666666676E-3</v>
          </cell>
          <cell r="K7">
            <v>20.987739300000001</v>
          </cell>
          <cell r="L7">
            <v>2.0987739300000002E-2</v>
          </cell>
          <cell r="M7">
            <v>793.17412443526348</v>
          </cell>
        </row>
        <row r="8">
          <cell r="A8" t="str">
            <v>906000002</v>
          </cell>
          <cell r="B8" t="str">
            <v>CORTE GALLETA CHILENA GRANDE (UND)</v>
          </cell>
          <cell r="C8" t="str">
            <v>ESP-RE-PAPS-003</v>
          </cell>
          <cell r="D8" t="str">
            <v>03</v>
          </cell>
          <cell r="E8" t="str">
            <v>Und</v>
          </cell>
          <cell r="F8" t="str">
            <v>Und</v>
          </cell>
          <cell r="G8">
            <v>111.27982251640934</v>
          </cell>
          <cell r="H8">
            <v>111.27982251640934</v>
          </cell>
          <cell r="I8">
            <v>0.50439752380000014</v>
          </cell>
          <cell r="J8">
            <v>0.50439752380000014</v>
          </cell>
          <cell r="K8">
            <v>18.707673719900001</v>
          </cell>
          <cell r="L8">
            <v>18.707673719900001</v>
          </cell>
          <cell r="M8">
            <v>130.49189376010935</v>
          </cell>
        </row>
        <row r="9">
          <cell r="A9" t="str">
            <v>903000023</v>
          </cell>
          <cell r="B9" t="str">
            <v>ROSQUETE CHOCOLATE PILLSBURY (280g)</v>
          </cell>
          <cell r="C9" t="str">
            <v>ESP-RE-BAS-033</v>
          </cell>
          <cell r="D9" t="str">
            <v>03</v>
          </cell>
          <cell r="E9" t="str">
            <v>Und</v>
          </cell>
          <cell r="F9" t="str">
            <v>Und</v>
          </cell>
          <cell r="G9">
            <v>366.34667287328216</v>
          </cell>
          <cell r="H9">
            <v>366.34667287328216</v>
          </cell>
          <cell r="I9">
            <v>0.17045640353400002</v>
          </cell>
          <cell r="J9">
            <v>0.17045640353400002</v>
          </cell>
          <cell r="K9">
            <v>13.025418083645</v>
          </cell>
          <cell r="L9">
            <v>13.025418083645</v>
          </cell>
          <cell r="M9">
            <v>379.54254736046113</v>
          </cell>
        </row>
        <row r="10">
          <cell r="A10" t="str">
            <v>90100131</v>
          </cell>
          <cell r="B10" t="str">
            <v>AZUCAR BLANCO INDUSTRIAL KILO</v>
          </cell>
          <cell r="C10" t="str">
            <v>ESP-RE-PRES-105</v>
          </cell>
          <cell r="D10" t="str">
            <v>01</v>
          </cell>
          <cell r="E10" t="str">
            <v>Kilo</v>
          </cell>
          <cell r="F10" t="str">
            <v>Gramo</v>
          </cell>
          <cell r="G10">
            <v>390.34000000000003</v>
          </cell>
          <cell r="H10">
            <v>0.39034000000000002</v>
          </cell>
          <cell r="I10">
            <v>23.759093333333336</v>
          </cell>
          <cell r="J10">
            <v>2.3759093333333335E-2</v>
          </cell>
          <cell r="K10">
            <v>36.630000000000003</v>
          </cell>
          <cell r="L10">
            <v>3.6630000000000003E-2</v>
          </cell>
          <cell r="M10">
            <v>450.72909333333337</v>
          </cell>
        </row>
        <row r="11">
          <cell r="A11" t="str">
            <v>901000015</v>
          </cell>
          <cell r="B11" t="str">
            <v>PREMEZCLA SUSPIRO CLARAS DESHID KILO</v>
          </cell>
          <cell r="C11" t="str">
            <v>ESP-RE-PRES-015</v>
          </cell>
          <cell r="D11" t="str">
            <v>08</v>
          </cell>
          <cell r="E11" t="str">
            <v>Kilo</v>
          </cell>
          <cell r="F11" t="str">
            <v>Gramo</v>
          </cell>
          <cell r="G11">
            <v>1621.4205540987346</v>
          </cell>
          <cell r="H11">
            <v>1.6214205540987345</v>
          </cell>
          <cell r="I11">
            <v>1.254</v>
          </cell>
          <cell r="J11">
            <v>1.2539999999999999E-3</v>
          </cell>
          <cell r="K11">
            <v>12.540000000000001</v>
          </cell>
          <cell r="L11">
            <v>1.2540000000000001E-2</v>
          </cell>
          <cell r="M11">
            <v>1635.2145540987344</v>
          </cell>
        </row>
        <row r="12">
          <cell r="A12" t="str">
            <v>95718</v>
          </cell>
          <cell r="B12" t="str">
            <v>CREMA CHANTILLY CHOCO SPOON KILO</v>
          </cell>
          <cell r="C12" t="str">
            <v xml:space="preserve">ESP-RE-DES-037 </v>
          </cell>
          <cell r="D12" t="str">
            <v>10</v>
          </cell>
          <cell r="E12" t="str">
            <v>Kilo</v>
          </cell>
          <cell r="F12" t="str">
            <v>Gramo</v>
          </cell>
          <cell r="G12">
            <v>1952.7821235602094</v>
          </cell>
          <cell r="H12">
            <v>1.9527821235602094</v>
          </cell>
          <cell r="I12">
            <v>8.5120000000000001E-2</v>
          </cell>
          <cell r="J12">
            <v>8.5119999999999998E-5</v>
          </cell>
          <cell r="K12">
            <v>13.805</v>
          </cell>
          <cell r="L12">
            <v>1.3805E-2</v>
          </cell>
          <cell r="M12">
            <v>1966.6722435602094</v>
          </cell>
        </row>
        <row r="13">
          <cell r="A13" t="str">
            <v>908000036</v>
          </cell>
          <cell r="B13" t="str">
            <v>JUGO LIMON LITRO</v>
          </cell>
          <cell r="C13" t="str">
            <v>ESP-RE-COFS-071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403.31414214</v>
          </cell>
          <cell r="H13">
            <v>0.40331414214</v>
          </cell>
          <cell r="I13">
            <v>3.7175405000000001</v>
          </cell>
          <cell r="J13">
            <v>3.7175405000000003E-3</v>
          </cell>
          <cell r="K13">
            <v>15.015000000000001</v>
          </cell>
          <cell r="L13">
            <v>1.5015000000000001E-2</v>
          </cell>
          <cell r="M13">
            <v>422.04668263999997</v>
          </cell>
        </row>
        <row r="14">
          <cell r="A14" t="str">
            <v>902000021</v>
          </cell>
          <cell r="B14" t="str">
            <v>MERENGUE P/SUSPIRO DESHIDRATADO KILO</v>
          </cell>
          <cell r="C14" t="str">
            <v>ESP-RE-BAS-046</v>
          </cell>
          <cell r="D14" t="str">
            <v>05</v>
          </cell>
          <cell r="E14" t="str">
            <v>Kilo</v>
          </cell>
          <cell r="F14" t="str">
            <v>Gramo</v>
          </cell>
          <cell r="G14">
            <v>1293.0204160000001</v>
          </cell>
          <cell r="H14">
            <v>1.2930204160000001</v>
          </cell>
          <cell r="I14">
            <v>0.9776741333333332</v>
          </cell>
          <cell r="J14">
            <v>9.776741333333333E-4</v>
          </cell>
          <cell r="K14">
            <v>33.976741333333337</v>
          </cell>
          <cell r="L14">
            <v>3.3976741333333338E-2</v>
          </cell>
          <cell r="M14">
            <v>1327.9748314666667</v>
          </cell>
        </row>
        <row r="15">
          <cell r="A15" t="str">
            <v>90100285</v>
          </cell>
          <cell r="B15" t="str">
            <v>RELLENO DE FRESA  PLANTA KILO</v>
          </cell>
          <cell r="C15" t="str">
            <v>ESP-RE-COCS-094</v>
          </cell>
          <cell r="D15" t="str">
            <v>03</v>
          </cell>
          <cell r="E15" t="str">
            <v>Kilo</v>
          </cell>
          <cell r="F15" t="str">
            <v>Gramo</v>
          </cell>
          <cell r="G15">
            <v>1526.3892393634719</v>
          </cell>
          <cell r="H15">
            <v>1.5263892393634719</v>
          </cell>
          <cell r="I15">
            <v>5.5854199766283337</v>
          </cell>
          <cell r="J15">
            <v>5.5854199766283341E-3</v>
          </cell>
          <cell r="K15">
            <v>70.275604850000008</v>
          </cell>
          <cell r="L15">
            <v>7.0275604850000006E-2</v>
          </cell>
          <cell r="M15">
            <v>1602.2502641901003</v>
          </cell>
        </row>
        <row r="16">
          <cell r="A16" t="str">
            <v>907000203</v>
          </cell>
          <cell r="B16" t="str">
            <v>SUSPIRO BANDEJA KILO</v>
          </cell>
          <cell r="C16" t="str">
            <v>ESP-RE-BAS-114</v>
          </cell>
          <cell r="D16" t="str">
            <v>01</v>
          </cell>
          <cell r="E16" t="str">
            <v>Kilo</v>
          </cell>
          <cell r="F16" t="str">
            <v>Gramo</v>
          </cell>
          <cell r="G16">
            <v>1374.9210921778683</v>
          </cell>
          <cell r="H16">
            <v>1.3749210921778683</v>
          </cell>
          <cell r="I16">
            <v>1.4732802287966664</v>
          </cell>
          <cell r="J16">
            <v>1.4732802287966665E-3</v>
          </cell>
          <cell r="K16">
            <v>118.73905025546668</v>
          </cell>
          <cell r="L16">
            <v>0.11873905025546667</v>
          </cell>
          <cell r="M16">
            <v>1495.1334226621318</v>
          </cell>
        </row>
        <row r="17">
          <cell r="A17" t="str">
            <v>909000037</v>
          </cell>
          <cell r="B17" t="str">
            <v xml:space="preserve">SUSPIRO BANDEJA EMPAQ </v>
          </cell>
          <cell r="C17" t="str">
            <v>ESP-RE-BAS-115</v>
          </cell>
          <cell r="D17" t="str">
            <v>01</v>
          </cell>
          <cell r="E17" t="str">
            <v>Kilo</v>
          </cell>
          <cell r="F17" t="str">
            <v>Gramo</v>
          </cell>
          <cell r="G17">
            <v>1374.9210921778683</v>
          </cell>
          <cell r="H17">
            <v>1.3749210921778683</v>
          </cell>
          <cell r="I17">
            <v>10.281920228796666</v>
          </cell>
          <cell r="J17">
            <v>1.0281920228796666E-2</v>
          </cell>
          <cell r="K17">
            <v>132.65405025546667</v>
          </cell>
          <cell r="L17">
            <v>0.13265405025546667</v>
          </cell>
          <cell r="M17">
            <v>1517.8570626621317</v>
          </cell>
        </row>
        <row r="18">
          <cell r="A18" t="str">
            <v>20100116</v>
          </cell>
          <cell r="B18" t="str">
            <v>EMPAQUE RELLENO DE FRESA  KILO</v>
          </cell>
          <cell r="C18" t="str">
            <v>ESP-RE-EMPS-194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1526.3892393634719</v>
          </cell>
          <cell r="H18">
            <v>1.5263892393634719</v>
          </cell>
          <cell r="I18">
            <v>12.408086643295</v>
          </cell>
          <cell r="J18">
            <v>1.2408086643295001E-2</v>
          </cell>
          <cell r="K18">
            <v>81.275604850000008</v>
          </cell>
          <cell r="L18">
            <v>8.1275604850000002E-2</v>
          </cell>
          <cell r="M18">
            <v>1620.072930856767</v>
          </cell>
        </row>
        <row r="19">
          <cell r="A19" t="str">
            <v>904000002</v>
          </cell>
          <cell r="B19" t="str">
            <v>SALSA FRESA KILO</v>
          </cell>
          <cell r="C19" t="str">
            <v>ESP-RE-DES-108</v>
          </cell>
          <cell r="D19" t="str">
            <v>05</v>
          </cell>
          <cell r="E19" t="str">
            <v>Kilo</v>
          </cell>
          <cell r="F19" t="str">
            <v>Gramo</v>
          </cell>
          <cell r="G19">
            <v>3237.7401181263244</v>
          </cell>
          <cell r="H19">
            <v>3.2377401181263243</v>
          </cell>
          <cell r="I19">
            <v>26.122268078378987</v>
          </cell>
          <cell r="J19">
            <v>2.6122268078378988E-2</v>
          </cell>
          <cell r="K19">
            <v>243.15640819641339</v>
          </cell>
          <cell r="L19">
            <v>0.2431564081964134</v>
          </cell>
          <cell r="M19">
            <v>3507.0187944011168</v>
          </cell>
        </row>
        <row r="20">
          <cell r="A20" t="str">
            <v>902000066</v>
          </cell>
          <cell r="B20" t="str">
            <v>SUSPIRO QUEBRADO KILO</v>
          </cell>
          <cell r="C20" t="str">
            <v>ESP-RE-DES-109</v>
          </cell>
          <cell r="D20" t="str">
            <v>01</v>
          </cell>
          <cell r="E20" t="str">
            <v>Kilo</v>
          </cell>
          <cell r="F20" t="str">
            <v>Gramo</v>
          </cell>
          <cell r="G20">
            <v>1374.9210921778683</v>
          </cell>
          <cell r="H20">
            <v>1.3749210921778683</v>
          </cell>
          <cell r="I20">
            <v>10.281920228796666</v>
          </cell>
          <cell r="J20">
            <v>1.0281920228796666E-2</v>
          </cell>
          <cell r="K20">
            <v>197.00405025546667</v>
          </cell>
          <cell r="L20">
            <v>0.19700405025546666</v>
          </cell>
          <cell r="M20">
            <v>1582.2070626621316</v>
          </cell>
        </row>
        <row r="21">
          <cell r="A21" t="str">
            <v>95805</v>
          </cell>
          <cell r="B21" t="str">
            <v>ROSQUETE CHOCOLATE SPOON RED  (400g)</v>
          </cell>
          <cell r="C21" t="str">
            <v>ESP-RE-BAS-029</v>
          </cell>
          <cell r="D21" t="str">
            <v>05</v>
          </cell>
          <cell r="E21" t="str">
            <v>Und</v>
          </cell>
          <cell r="F21" t="str">
            <v>Und</v>
          </cell>
          <cell r="G21">
            <v>526.04992899148658</v>
          </cell>
          <cell r="H21">
            <v>526.04992899148658</v>
          </cell>
          <cell r="I21">
            <v>0.260835815217</v>
          </cell>
          <cell r="J21">
            <v>0.260835815217</v>
          </cell>
          <cell r="K21">
            <v>16.174517744385</v>
          </cell>
          <cell r="L21">
            <v>16.174517744385</v>
          </cell>
          <cell r="M21">
            <v>542.48528255108852</v>
          </cell>
        </row>
        <row r="22">
          <cell r="A22" t="str">
            <v>905000001</v>
          </cell>
          <cell r="B22" t="str">
            <v>BATIDO RELL P/TORTA CHOCOFRESA KILO</v>
          </cell>
          <cell r="C22" t="str">
            <v>ESP-RE-BAS-003</v>
          </cell>
          <cell r="D22" t="str">
            <v>09</v>
          </cell>
          <cell r="E22" t="str">
            <v>Kilo</v>
          </cell>
          <cell r="F22" t="str">
            <v>Gramo</v>
          </cell>
          <cell r="G22">
            <v>2516.2263364539008</v>
          </cell>
          <cell r="H22">
            <v>2.5162263364539008</v>
          </cell>
          <cell r="I22">
            <v>8.2582978723404246</v>
          </cell>
          <cell r="J22">
            <v>8.2582978723404251E-3</v>
          </cell>
          <cell r="K22">
            <v>39.765000000000001</v>
          </cell>
          <cell r="L22">
            <v>3.9765000000000002E-2</v>
          </cell>
          <cell r="M22">
            <v>2564.249634326241</v>
          </cell>
        </row>
        <row r="23">
          <cell r="A23" t="str">
            <v>95453</v>
          </cell>
          <cell r="B23" t="str">
            <v>COCCION SALSA BLANCA SPOON KILO</v>
          </cell>
          <cell r="C23" t="str">
            <v>ESP-RE-COCS-024</v>
          </cell>
          <cell r="D23" t="str">
            <v>13</v>
          </cell>
          <cell r="E23" t="str">
            <v>Kilo</v>
          </cell>
          <cell r="F23" t="str">
            <v>Gramo</v>
          </cell>
          <cell r="G23">
            <v>1519.5246320184733</v>
          </cell>
          <cell r="H23">
            <v>1.5195246320184732</v>
          </cell>
          <cell r="I23">
            <v>0.57668800000000009</v>
          </cell>
          <cell r="J23">
            <v>5.7668800000000011E-4</v>
          </cell>
          <cell r="K23">
            <v>17.875</v>
          </cell>
          <cell r="L23">
            <v>1.7874999999999999E-2</v>
          </cell>
          <cell r="M23">
            <v>1537.9763200184734</v>
          </cell>
        </row>
        <row r="24">
          <cell r="A24" t="str">
            <v>901000199</v>
          </cell>
          <cell r="B24" t="str">
            <v>EMPAQUE SALSA BLANCA SPOON KILO</v>
          </cell>
          <cell r="C24" t="str">
            <v xml:space="preserve">ESP-RE-EMPS-013 </v>
          </cell>
          <cell r="D24" t="str">
            <v>01</v>
          </cell>
          <cell r="E24" t="str">
            <v>Kilo</v>
          </cell>
          <cell r="F24" t="str">
            <v>Gramo</v>
          </cell>
          <cell r="G24">
            <v>1519.5246320184733</v>
          </cell>
          <cell r="H24">
            <v>1.5195246320184732</v>
          </cell>
          <cell r="I24">
            <v>7.708954666666668</v>
          </cell>
          <cell r="J24">
            <v>7.7089546666666677E-3</v>
          </cell>
          <cell r="K24">
            <v>33.825000000000003</v>
          </cell>
          <cell r="L24">
            <v>3.3825000000000001E-2</v>
          </cell>
          <cell r="M24">
            <v>1561.05858668514</v>
          </cell>
        </row>
        <row r="25">
          <cell r="A25" t="str">
            <v>901000167</v>
          </cell>
          <cell r="B25" t="str">
            <v>POLLO RECORTE COCCION KILO</v>
          </cell>
          <cell r="C25" t="str">
            <v>ESP-RE-COCS-069</v>
          </cell>
          <cell r="D25" t="str">
            <v>05</v>
          </cell>
          <cell r="E25" t="str">
            <v>Kilo</v>
          </cell>
          <cell r="F25" t="str">
            <v>Gramo</v>
          </cell>
          <cell r="G25">
            <v>3712.1812763713078</v>
          </cell>
          <cell r="H25">
            <v>3.7121812763713078</v>
          </cell>
          <cell r="I25">
            <v>14.71012658227848</v>
          </cell>
          <cell r="J25">
            <v>1.4710126582278481E-2</v>
          </cell>
          <cell r="K25">
            <v>70.95</v>
          </cell>
          <cell r="L25">
            <v>7.0949999999999999E-2</v>
          </cell>
          <cell r="M25">
            <v>3797.8414029535861</v>
          </cell>
        </row>
        <row r="26">
          <cell r="A26" t="str">
            <v>909000020</v>
          </cell>
          <cell r="B26" t="str">
            <v>EMPAQ POLLO RECORTE KILO</v>
          </cell>
          <cell r="C26" t="str">
            <v xml:space="preserve">ESP-RE-EMPS-066 </v>
          </cell>
          <cell r="D26" t="str">
            <v>01</v>
          </cell>
          <cell r="E26" t="str">
            <v>Kilo</v>
          </cell>
          <cell r="F26" t="str">
            <v>Gramo</v>
          </cell>
          <cell r="G26">
            <v>3712.1812763713078</v>
          </cell>
          <cell r="H26">
            <v>3.7121812763713078</v>
          </cell>
          <cell r="I26">
            <v>28.466393248945145</v>
          </cell>
          <cell r="J26">
            <v>2.8466393248945145E-2</v>
          </cell>
          <cell r="K26">
            <v>79.2</v>
          </cell>
          <cell r="L26">
            <v>7.9200000000000007E-2</v>
          </cell>
          <cell r="M26">
            <v>3819.8476696202529</v>
          </cell>
        </row>
        <row r="27">
          <cell r="A27" t="str">
            <v>90100129</v>
          </cell>
          <cell r="B27" t="str">
            <v>EMPAQUE ALMIDON MODIFICADO KILO</v>
          </cell>
          <cell r="C27" t="str">
            <v>ESP-RE-PRES-096</v>
          </cell>
          <cell r="D27" t="str">
            <v>01</v>
          </cell>
          <cell r="E27" t="str">
            <v>Kilo</v>
          </cell>
          <cell r="F27" t="str">
            <v>Gramo</v>
          </cell>
          <cell r="G27">
            <v>1165.74</v>
          </cell>
          <cell r="H27">
            <v>1.16574</v>
          </cell>
          <cell r="I27">
            <v>7.0922666666666681</v>
          </cell>
          <cell r="J27">
            <v>7.0922666666666679E-3</v>
          </cell>
          <cell r="K27">
            <v>11</v>
          </cell>
          <cell r="L27">
            <v>1.0999999999999999E-2</v>
          </cell>
          <cell r="M27">
            <v>1183.8322666666668</v>
          </cell>
        </row>
        <row r="28">
          <cell r="A28" t="str">
            <v>95717</v>
          </cell>
          <cell r="B28" t="str">
            <v>CREMA CHANTILLY BLANCA SPOON-IND KILO</v>
          </cell>
          <cell r="C28" t="str">
            <v xml:space="preserve">ESP-RE-DES-036 </v>
          </cell>
          <cell r="D28" t="str">
            <v>08</v>
          </cell>
          <cell r="E28" t="str">
            <v>Kilo</v>
          </cell>
          <cell r="F28" t="str">
            <v>Gramo</v>
          </cell>
          <cell r="G28">
            <v>1732.820826923077</v>
          </cell>
          <cell r="H28">
            <v>1.7328208269230769</v>
          </cell>
          <cell r="I28">
            <v>2.7884615384615379E-2</v>
          </cell>
          <cell r="J28">
            <v>2.7884615384615379E-5</v>
          </cell>
          <cell r="K28">
            <v>26.438500000000001</v>
          </cell>
          <cell r="L28">
            <v>2.64385E-2</v>
          </cell>
          <cell r="M28">
            <v>1759.2872115384616</v>
          </cell>
        </row>
        <row r="29">
          <cell r="A29" t="str">
            <v>90100286</v>
          </cell>
          <cell r="B29" t="str">
            <v>TOPPING MELOCOTON PLANTA KILO</v>
          </cell>
          <cell r="C29" t="str">
            <v>ESP-RE-COCS-304</v>
          </cell>
          <cell r="D29" t="str">
            <v>02</v>
          </cell>
          <cell r="E29" t="str">
            <v>Kilo</v>
          </cell>
          <cell r="F29" t="str">
            <v>Gramo</v>
          </cell>
          <cell r="G29">
            <v>1318.0712659467597</v>
          </cell>
          <cell r="H29">
            <v>1.3180712659467597</v>
          </cell>
          <cell r="I29">
            <v>6.9821804377500003</v>
          </cell>
          <cell r="J29">
            <v>6.9821804377500005E-3</v>
          </cell>
          <cell r="K29">
            <v>120.6632625</v>
          </cell>
          <cell r="L29">
            <v>0.12066326250000001</v>
          </cell>
          <cell r="M29">
            <v>1445.7167088845097</v>
          </cell>
        </row>
        <row r="30">
          <cell r="A30" t="str">
            <v>20100117</v>
          </cell>
          <cell r="B30" t="str">
            <v>EMPAQUE TOPING MELO KILO</v>
          </cell>
          <cell r="C30" t="str">
            <v>ESP-RE-EMPS-197</v>
          </cell>
          <cell r="D30" t="str">
            <v>01</v>
          </cell>
          <cell r="E30" t="str">
            <v>Kilo</v>
          </cell>
          <cell r="F30" t="str">
            <v>Gramo</v>
          </cell>
          <cell r="G30">
            <v>1318.0712659467597</v>
          </cell>
          <cell r="H30">
            <v>1.3180712659467597</v>
          </cell>
          <cell r="I30">
            <v>12.97218043775</v>
          </cell>
          <cell r="J30">
            <v>1.2972180437749999E-2</v>
          </cell>
          <cell r="K30">
            <v>148.1632625</v>
          </cell>
          <cell r="L30">
            <v>0.1481632625</v>
          </cell>
          <cell r="M30">
            <v>1479.2067088845097</v>
          </cell>
        </row>
        <row r="31">
          <cell r="A31" t="str">
            <v>20500039</v>
          </cell>
          <cell r="B31" t="str">
            <v>EMPAQUE RELLENO MELO CON TOPING KILO</v>
          </cell>
          <cell r="C31" t="str">
            <v xml:space="preserve">ESP-RE-POS-199  </v>
          </cell>
          <cell r="D31" t="str">
            <v>02</v>
          </cell>
          <cell r="E31" t="str">
            <v>Kilo</v>
          </cell>
          <cell r="F31" t="str">
            <v>Gramo</v>
          </cell>
          <cell r="G31">
            <v>2286.6518519349097</v>
          </cell>
          <cell r="H31">
            <v>2.2866518519349097</v>
          </cell>
          <cell r="I31">
            <v>2.7993589039808917</v>
          </cell>
          <cell r="J31">
            <v>2.7993589039808915E-3</v>
          </cell>
          <cell r="K31">
            <v>66.437168259023366</v>
          </cell>
          <cell r="L31">
            <v>6.6437168259023363E-2</v>
          </cell>
          <cell r="M31">
            <v>2355.8883790979144</v>
          </cell>
        </row>
        <row r="32">
          <cell r="A32" t="str">
            <v>908000021</v>
          </cell>
          <cell r="B32" t="str">
            <v>ALMIBAR KILO</v>
          </cell>
          <cell r="C32" t="str">
            <v>ESP-RE-COCS-034</v>
          </cell>
          <cell r="D32" t="str">
            <v>09</v>
          </cell>
          <cell r="E32" t="str">
            <v>Kilo</v>
          </cell>
          <cell r="F32" t="str">
            <v>Gramo</v>
          </cell>
          <cell r="G32">
            <v>287.14811729999997</v>
          </cell>
          <cell r="H32">
            <v>0.28714811729999995</v>
          </cell>
          <cell r="I32">
            <v>6.3676349999999999</v>
          </cell>
          <cell r="J32">
            <v>6.367635E-3</v>
          </cell>
          <cell r="K32">
            <v>26.344999999999999</v>
          </cell>
          <cell r="L32">
            <v>2.6345E-2</v>
          </cell>
          <cell r="M32">
            <v>319.86075229999994</v>
          </cell>
        </row>
        <row r="33">
          <cell r="A33" t="str">
            <v>902000009</v>
          </cell>
          <cell r="B33" t="str">
            <v>BATIDO MELOCOTON FROM SCRATCH KILO</v>
          </cell>
          <cell r="C33" t="str">
            <v>ESP-RE-BAS-014</v>
          </cell>
          <cell r="D33" t="str">
            <v>04</v>
          </cell>
          <cell r="E33" t="str">
            <v>Kilo</v>
          </cell>
          <cell r="F33" t="str">
            <v>Gramo</v>
          </cell>
          <cell r="G33">
            <v>1089.2822595636803</v>
          </cell>
          <cell r="H33">
            <v>1.0892822595636804</v>
          </cell>
          <cell r="I33">
            <v>0</v>
          </cell>
          <cell r="J33">
            <v>0</v>
          </cell>
          <cell r="K33">
            <v>20.350000000000001</v>
          </cell>
          <cell r="L33">
            <v>2.035E-2</v>
          </cell>
          <cell r="M33">
            <v>1109.6322595636802</v>
          </cell>
        </row>
        <row r="34">
          <cell r="A34" t="str">
            <v>96270</v>
          </cell>
          <cell r="B34" t="str">
            <v>ROSQUETE MELOCOTON PURATOS (360g)</v>
          </cell>
          <cell r="C34" t="str">
            <v>ESP-RE-BAS-013</v>
          </cell>
          <cell r="D34" t="str">
            <v>06</v>
          </cell>
          <cell r="E34" t="str">
            <v>UND</v>
          </cell>
          <cell r="F34" t="str">
            <v>Und</v>
          </cell>
          <cell r="G34">
            <v>403.49266659903606</v>
          </cell>
          <cell r="H34">
            <v>403.49266659903606</v>
          </cell>
          <cell r="I34">
            <v>0.22852585484999999</v>
          </cell>
          <cell r="J34">
            <v>0.22852585484999999</v>
          </cell>
          <cell r="K34">
            <v>19.368481549999998</v>
          </cell>
          <cell r="L34">
            <v>19.368481549999998</v>
          </cell>
          <cell r="M34">
            <v>423.08967400388605</v>
          </cell>
        </row>
        <row r="35">
          <cell r="A35" t="str">
            <v>901000020</v>
          </cell>
          <cell r="B35" t="str">
            <v>PREMEZCLA P/GALLETA FIGURA</v>
          </cell>
          <cell r="C35" t="str">
            <v xml:space="preserve">ESP-RE-PRES-020 </v>
          </cell>
          <cell r="D35" t="str">
            <v>09</v>
          </cell>
          <cell r="E35" t="str">
            <v>Kilo</v>
          </cell>
          <cell r="F35" t="str">
            <v>Gramo</v>
          </cell>
          <cell r="G35">
            <v>784.44408066953019</v>
          </cell>
          <cell r="H35">
            <v>0.7844440806695302</v>
          </cell>
          <cell r="I35">
            <v>1.8581999999999999</v>
          </cell>
          <cell r="J35">
            <v>1.8582E-3</v>
          </cell>
          <cell r="K35">
            <v>17.984999999999999</v>
          </cell>
          <cell r="L35">
            <v>1.7985000000000001E-2</v>
          </cell>
          <cell r="M35">
            <v>804.28728066953022</v>
          </cell>
        </row>
        <row r="36">
          <cell r="A36" t="str">
            <v>95613</v>
          </cell>
          <cell r="B36" t="str">
            <v>BASE PREMEZCLA P/PASTA ALFAJOR KILO</v>
          </cell>
          <cell r="C36" t="str">
            <v xml:space="preserve">ESP-RE-PRES-003 </v>
          </cell>
          <cell r="D36" t="str">
            <v>09</v>
          </cell>
          <cell r="E36" t="str">
            <v>Kilo</v>
          </cell>
          <cell r="F36" t="str">
            <v>Gramo</v>
          </cell>
          <cell r="G36">
            <v>844.3890151999999</v>
          </cell>
          <cell r="H36">
            <v>0.84438901519999987</v>
          </cell>
          <cell r="I36">
            <v>3.456</v>
          </cell>
          <cell r="J36">
            <v>3.4559999999999999E-3</v>
          </cell>
          <cell r="K36">
            <v>9.5149999999999988</v>
          </cell>
          <cell r="L36">
            <v>9.5149999999999992E-3</v>
          </cell>
          <cell r="M36">
            <v>857.36001519999991</v>
          </cell>
        </row>
        <row r="37">
          <cell r="A37" t="str">
            <v>907000014</v>
          </cell>
          <cell r="B37" t="str">
            <v>BASE MERENGUE DESHIDRATADO (KILO)</v>
          </cell>
          <cell r="C37" t="str">
            <v>ESP-RE-POS-036</v>
          </cell>
          <cell r="D37" t="str">
            <v>08</v>
          </cell>
          <cell r="E37" t="str">
            <v>Kilo</v>
          </cell>
          <cell r="F37" t="str">
            <v>Gramo</v>
          </cell>
          <cell r="G37">
            <v>1815.6108514977973</v>
          </cell>
          <cell r="H37">
            <v>1.8156108514977973</v>
          </cell>
          <cell r="I37">
            <v>0</v>
          </cell>
          <cell r="J37">
            <v>0</v>
          </cell>
          <cell r="K37">
            <v>98.45</v>
          </cell>
          <cell r="L37">
            <v>9.845000000000001E-2</v>
          </cell>
          <cell r="M37">
            <v>1914.0608514977973</v>
          </cell>
        </row>
        <row r="38">
          <cell r="A38" t="str">
            <v>905000026</v>
          </cell>
          <cell r="B38" t="str">
            <v>RELLENO P/PIE LIMON (KILO)</v>
          </cell>
          <cell r="C38" t="str">
            <v>ESP-RE-POS-029</v>
          </cell>
          <cell r="D38" t="str">
            <v>06</v>
          </cell>
          <cell r="E38" t="str">
            <v>Kilo</v>
          </cell>
          <cell r="F38" t="str">
            <v>Gramo</v>
          </cell>
          <cell r="G38">
            <v>1787.5283967999999</v>
          </cell>
          <cell r="H38">
            <v>1.7875283968</v>
          </cell>
          <cell r="I38">
            <v>0</v>
          </cell>
          <cell r="J38">
            <v>0</v>
          </cell>
          <cell r="K38">
            <v>20.9</v>
          </cell>
          <cell r="L38">
            <v>2.0899999999999998E-2</v>
          </cell>
          <cell r="M38">
            <v>1808.4283968</v>
          </cell>
        </row>
        <row r="39">
          <cell r="A39" t="str">
            <v>902000085</v>
          </cell>
          <cell r="B39" t="str">
            <v>RELLENO DE LIMON SPOON KILO</v>
          </cell>
          <cell r="C39" t="str">
            <v>ESP-RE-POS-054</v>
          </cell>
          <cell r="D39" t="str">
            <v>02</v>
          </cell>
          <cell r="E39" t="str">
            <v>Kilo</v>
          </cell>
          <cell r="F39" t="str">
            <v>Gramo</v>
          </cell>
          <cell r="G39">
            <v>1794.4055086666665</v>
          </cell>
          <cell r="H39">
            <v>1.7944055086666666</v>
          </cell>
          <cell r="I39">
            <v>2.300125</v>
          </cell>
          <cell r="J39">
            <v>2.3001250000000001E-3</v>
          </cell>
          <cell r="K39">
            <v>22</v>
          </cell>
          <cell r="L39">
            <v>2.1999999999999999E-2</v>
          </cell>
          <cell r="M39">
            <v>1818.7056336666665</v>
          </cell>
        </row>
        <row r="40">
          <cell r="A40" t="str">
            <v>903000082</v>
          </cell>
          <cell r="B40" t="str">
            <v>PASTA ALFAJOR Y CHILENA BUCCA KILO</v>
          </cell>
          <cell r="C40" t="str">
            <v>ESP-RE-PAPS-043</v>
          </cell>
          <cell r="D40" t="str">
            <v>03</v>
          </cell>
          <cell r="E40" t="str">
            <v>Kilo</v>
          </cell>
          <cell r="F40" t="str">
            <v>Gramo</v>
          </cell>
          <cell r="G40">
            <v>841.79683851358368</v>
          </cell>
          <cell r="H40">
            <v>0.84179683851358367</v>
          </cell>
          <cell r="I40">
            <v>3.4410538424944859</v>
          </cell>
          <cell r="J40">
            <v>3.441053842494486E-3</v>
          </cell>
          <cell r="K40">
            <v>21.353850495177959</v>
          </cell>
          <cell r="L40">
            <v>2.1353850495177958E-2</v>
          </cell>
          <cell r="M40">
            <v>866.59174285125619</v>
          </cell>
        </row>
        <row r="41">
          <cell r="A41" t="str">
            <v>906000036</v>
          </cell>
          <cell r="B41" t="str">
            <v>PASTA GALLETA FIGURA KILO</v>
          </cell>
          <cell r="C41" t="str">
            <v>ESP-RE-PAPS-021</v>
          </cell>
          <cell r="D41" t="str">
            <v>02</v>
          </cell>
          <cell r="E41" t="str">
            <v>Kilo</v>
          </cell>
          <cell r="F41" t="str">
            <v>Gramo</v>
          </cell>
          <cell r="G41">
            <v>1575.7191086604571</v>
          </cell>
          <cell r="H41">
            <v>1.5757191086604572</v>
          </cell>
          <cell r="I41">
            <v>12.236455362637363</v>
          </cell>
          <cell r="J41">
            <v>1.2236455362637363E-2</v>
          </cell>
          <cell r="K41">
            <v>132.52366648351648</v>
          </cell>
          <cell r="L41">
            <v>0.13252366648351649</v>
          </cell>
          <cell r="M41">
            <v>1720.479230506611</v>
          </cell>
        </row>
        <row r="42">
          <cell r="A42" t="str">
            <v>95832</v>
          </cell>
          <cell r="B42" t="str">
            <v>CORTE GALLETAS P/CAFE (UND)</v>
          </cell>
          <cell r="C42" t="str">
            <v>ESP-RE-PAPS-030</v>
          </cell>
          <cell r="D42" t="str">
            <v>05</v>
          </cell>
          <cell r="E42" t="str">
            <v>Und</v>
          </cell>
          <cell r="F42" t="str">
            <v>Und</v>
          </cell>
          <cell r="G42">
            <v>11.338715982845422</v>
          </cell>
          <cell r="H42">
            <v>11.338715982845422</v>
          </cell>
          <cell r="I42">
            <v>8.5655187538461547E-2</v>
          </cell>
          <cell r="J42">
            <v>8.5655187538461547E-2</v>
          </cell>
          <cell r="K42">
            <v>4.5576656653846159</v>
          </cell>
          <cell r="L42">
            <v>4.5576656653846159</v>
          </cell>
          <cell r="M42">
            <v>15.982036835768501</v>
          </cell>
        </row>
        <row r="43">
          <cell r="A43" t="str">
            <v>906000012</v>
          </cell>
          <cell r="B43" t="str">
            <v>CORTE GALLETA ALFAJOR MED (UND)</v>
          </cell>
          <cell r="C43" t="str">
            <v>ESP-RE-PAPS-016</v>
          </cell>
          <cell r="D43" t="str">
            <v>02</v>
          </cell>
          <cell r="E43" t="str">
            <v>Und</v>
          </cell>
          <cell r="F43" t="str">
            <v>Und</v>
          </cell>
          <cell r="G43">
            <v>13.564097487989081</v>
          </cell>
          <cell r="H43">
            <v>13.564097487989081</v>
          </cell>
          <cell r="I43">
            <v>6.0619770883247562E-2</v>
          </cell>
          <cell r="J43">
            <v>6.0619770883247562E-2</v>
          </cell>
          <cell r="K43">
            <v>11.343171007702768</v>
          </cell>
          <cell r="L43">
            <v>11.343171007702768</v>
          </cell>
          <cell r="M43">
            <v>24.967888266575095</v>
          </cell>
        </row>
        <row r="44">
          <cell r="A44" t="str">
            <v>907000002</v>
          </cell>
          <cell r="B44" t="str">
            <v>BASE GALLETA P/CHEESE CAKE (KILO)</v>
          </cell>
          <cell r="C44" t="str">
            <v>ESP-RE-POS-031</v>
          </cell>
          <cell r="D44" t="str">
            <v>08</v>
          </cell>
          <cell r="E44" t="str">
            <v>Kilo</v>
          </cell>
          <cell r="F44" t="str">
            <v>Gramo</v>
          </cell>
          <cell r="G44">
            <v>2007.1032502888663</v>
          </cell>
          <cell r="H44">
            <v>2.0071032502888664</v>
          </cell>
          <cell r="I44">
            <v>1.1524699119903916</v>
          </cell>
          <cell r="J44">
            <v>1.1524699119903916E-3</v>
          </cell>
          <cell r="K44">
            <v>208.72229760513179</v>
          </cell>
          <cell r="L44">
            <v>0.20872229760513178</v>
          </cell>
          <cell r="M44">
            <v>2216.9780178059887</v>
          </cell>
        </row>
        <row r="45">
          <cell r="A45" t="str">
            <v>901000081</v>
          </cell>
          <cell r="B45" t="str">
            <v>ADOBO PECHUGA PARRILLA KILO</v>
          </cell>
          <cell r="C45" t="str">
            <v>ESP-RE-COCS-052</v>
          </cell>
          <cell r="D45" t="str">
            <v>10</v>
          </cell>
          <cell r="E45" t="str">
            <v>Kilo</v>
          </cell>
          <cell r="F45" t="str">
            <v>Gramo</v>
          </cell>
          <cell r="G45">
            <v>2881.5308790525514</v>
          </cell>
          <cell r="H45">
            <v>2.8815308790525513</v>
          </cell>
          <cell r="I45">
            <v>5.306924668370451</v>
          </cell>
          <cell r="J45">
            <v>5.3069246683704512E-3</v>
          </cell>
          <cell r="K45">
            <v>20.074999999999999</v>
          </cell>
          <cell r="L45">
            <v>2.0074999999999999E-2</v>
          </cell>
          <cell r="M45">
            <v>2906.9128037209216</v>
          </cell>
        </row>
        <row r="46">
          <cell r="A46" t="str">
            <v>95610</v>
          </cell>
          <cell r="B46" t="str">
            <v>BASE PREMEZCLA ZANAHORIA/PIÑA KILO</v>
          </cell>
          <cell r="C46" t="str">
            <v xml:space="preserve">ESP-RE-PRES-012 </v>
          </cell>
          <cell r="D46" t="str">
            <v>17</v>
          </cell>
          <cell r="E46" t="str">
            <v>Kilo</v>
          </cell>
          <cell r="F46" t="str">
            <v>Gramo</v>
          </cell>
          <cell r="G46">
            <v>1117.7125245662178</v>
          </cell>
          <cell r="H46">
            <v>1.1177125245662178</v>
          </cell>
          <cell r="I46">
            <v>0</v>
          </cell>
          <cell r="J46">
            <v>0</v>
          </cell>
          <cell r="K46">
            <v>31.569999999999997</v>
          </cell>
          <cell r="L46">
            <v>3.1569999999999994E-2</v>
          </cell>
          <cell r="M46">
            <v>1149.2825245662177</v>
          </cell>
        </row>
        <row r="47">
          <cell r="A47" t="str">
            <v>905000028</v>
          </cell>
          <cell r="B47" t="str">
            <v>RELLENO QUESO P/TORTA ZANAHORIA KILO</v>
          </cell>
          <cell r="C47" t="str">
            <v xml:space="preserve">ESP-RE-POS-035 </v>
          </cell>
          <cell r="D47" t="str">
            <v>13</v>
          </cell>
          <cell r="E47" t="str">
            <v>Kilo</v>
          </cell>
          <cell r="F47" t="str">
            <v>Gramo</v>
          </cell>
          <cell r="G47">
            <v>2770.4163842424241</v>
          </cell>
          <cell r="H47">
            <v>2.7704163842424241</v>
          </cell>
          <cell r="I47">
            <v>0</v>
          </cell>
          <cell r="J47">
            <v>0</v>
          </cell>
          <cell r="K47">
            <v>29.975000000000001</v>
          </cell>
          <cell r="L47">
            <v>2.9975000000000002E-2</v>
          </cell>
          <cell r="M47">
            <v>2800.391384242424</v>
          </cell>
        </row>
        <row r="48">
          <cell r="A48" t="str">
            <v>96344</v>
          </cell>
          <cell r="B48" t="str">
            <v>CREMA DULCE LECHE KILO</v>
          </cell>
          <cell r="C48" t="str">
            <v xml:space="preserve">ESP-RE-DES-040 </v>
          </cell>
          <cell r="D48" t="str">
            <v>03</v>
          </cell>
          <cell r="E48" t="str">
            <v>Kilo</v>
          </cell>
          <cell r="F48" t="str">
            <v>Gramo</v>
          </cell>
          <cell r="G48">
            <v>1986.3913208163265</v>
          </cell>
          <cell r="H48">
            <v>1.9863913208163264</v>
          </cell>
          <cell r="I48">
            <v>8.5120000000000001E-2</v>
          </cell>
          <cell r="J48">
            <v>8.5119999999999998E-5</v>
          </cell>
          <cell r="K48">
            <v>11.219999999999999</v>
          </cell>
          <cell r="L48">
            <v>1.1219999999999999E-2</v>
          </cell>
          <cell r="M48">
            <v>1997.6964408163265</v>
          </cell>
        </row>
        <row r="49">
          <cell r="A49" t="str">
            <v>910000011</v>
          </cell>
          <cell r="B49" t="str">
            <v>BORONA P/DECORAR KILO</v>
          </cell>
          <cell r="C49" t="str">
            <v xml:space="preserve">ESP-RE-DES-032 </v>
          </cell>
          <cell r="D49" t="str">
            <v>01</v>
          </cell>
          <cell r="E49" t="str">
            <v>Kilo</v>
          </cell>
          <cell r="F49" t="str">
            <v>Gramo</v>
          </cell>
          <cell r="G49">
            <v>1694.6691997159514</v>
          </cell>
          <cell r="H49">
            <v>1.6946691997159515</v>
          </cell>
          <cell r="I49">
            <v>19.415861658363369</v>
          </cell>
          <cell r="J49">
            <v>1.941586165836337E-2</v>
          </cell>
          <cell r="K49">
            <v>402.16262251000001</v>
          </cell>
          <cell r="L49">
            <v>0.40216262251000001</v>
          </cell>
          <cell r="M49">
            <v>2116.2476838843149</v>
          </cell>
        </row>
        <row r="50">
          <cell r="A50" t="str">
            <v>902000015</v>
          </cell>
          <cell r="B50" t="str">
            <v>BATIDO ZANAHORIA CON PIÑA (KILO)</v>
          </cell>
          <cell r="C50" t="str">
            <v>ESP-RE-BAS-038</v>
          </cell>
          <cell r="D50" t="str">
            <v>09</v>
          </cell>
          <cell r="E50" t="str">
            <v>Kilo</v>
          </cell>
          <cell r="F50" t="str">
            <v>Gramo</v>
          </cell>
          <cell r="G50">
            <v>1720.6067499503465</v>
          </cell>
          <cell r="H50">
            <v>1.7206067499503466</v>
          </cell>
          <cell r="I50">
            <v>0</v>
          </cell>
          <cell r="J50">
            <v>0</v>
          </cell>
          <cell r="K50">
            <v>91.293298148148139</v>
          </cell>
          <cell r="L50">
            <v>9.1293298148148141E-2</v>
          </cell>
          <cell r="M50">
            <v>1811.9000480984946</v>
          </cell>
        </row>
        <row r="51">
          <cell r="A51" t="str">
            <v>903000001</v>
          </cell>
          <cell r="B51" t="str">
            <v xml:space="preserve">ROSQUETE ZANAHORIA/PIÑA 450g </v>
          </cell>
          <cell r="C51" t="str">
            <v>ESP-RE-BAS-001</v>
          </cell>
          <cell r="D51" t="str">
            <v>09</v>
          </cell>
          <cell r="E51" t="str">
            <v>Und</v>
          </cell>
          <cell r="F51" t="str">
            <v>Und</v>
          </cell>
          <cell r="G51">
            <v>816.78649606655904</v>
          </cell>
          <cell r="H51">
            <v>816.78649606655904</v>
          </cell>
          <cell r="I51">
            <v>0.17443753804347831</v>
          </cell>
          <cell r="J51">
            <v>0.17443753804347831</v>
          </cell>
          <cell r="K51">
            <v>43.520266086956518</v>
          </cell>
          <cell r="L51">
            <v>43.520266086956518</v>
          </cell>
          <cell r="M51">
            <v>860.48119969155903</v>
          </cell>
        </row>
        <row r="52">
          <cell r="A52" t="str">
            <v>907000233</v>
          </cell>
          <cell r="B52" t="str">
            <v>ROSQUETE MELOCOTON PERSONAL 180 g</v>
          </cell>
          <cell r="C52" t="str">
            <v xml:space="preserve">ESP-RE-BAS-130 </v>
          </cell>
          <cell r="D52" t="str">
            <v>01</v>
          </cell>
          <cell r="E52" t="str">
            <v>Und</v>
          </cell>
          <cell r="F52" t="str">
            <v>Und</v>
          </cell>
          <cell r="G52">
            <v>209.38239195889494</v>
          </cell>
          <cell r="H52">
            <v>209.38239195889494</v>
          </cell>
          <cell r="I52">
            <v>0.17278012500000003</v>
          </cell>
          <cell r="J52">
            <v>0.17278012500000003</v>
          </cell>
          <cell r="K52">
            <v>4.3263550000000004</v>
          </cell>
          <cell r="L52">
            <v>4.3263550000000004</v>
          </cell>
          <cell r="M52">
            <v>213.88152708389495</v>
          </cell>
        </row>
        <row r="53">
          <cell r="A53" t="str">
            <v>905000094</v>
          </cell>
          <cell r="B53" t="str">
            <v xml:space="preserve">MEDIA TORTA DE CHOCOLATE </v>
          </cell>
          <cell r="C53" t="str">
            <v>ESP-RE-DES-116</v>
          </cell>
          <cell r="D53" t="str">
            <v>02</v>
          </cell>
          <cell r="E53" t="str">
            <v>Und</v>
          </cell>
          <cell r="F53" t="str">
            <v>Und</v>
          </cell>
          <cell r="G53">
            <v>982.62174075162966</v>
          </cell>
          <cell r="H53">
            <v>982.62174075162966</v>
          </cell>
          <cell r="I53">
            <v>3.6825443113184999</v>
          </cell>
          <cell r="J53">
            <v>3.6825443113184999</v>
          </cell>
          <cell r="K53">
            <v>125.82771775239875</v>
          </cell>
          <cell r="L53">
            <v>125.82771775239875</v>
          </cell>
          <cell r="M53">
            <v>1112.1320028153468</v>
          </cell>
        </row>
        <row r="54">
          <cell r="A54" t="str">
            <v>905000095</v>
          </cell>
          <cell r="B54" t="str">
            <v xml:space="preserve">MEDIA TORTA DE MELOCOTON </v>
          </cell>
          <cell r="C54" t="str">
            <v>ESP-RE-DES-117</v>
          </cell>
          <cell r="D54" t="str">
            <v>03</v>
          </cell>
          <cell r="E54" t="str">
            <v>Und</v>
          </cell>
          <cell r="F54" t="str">
            <v>Und</v>
          </cell>
          <cell r="G54">
            <v>1034.0334250925528</v>
          </cell>
          <cell r="H54">
            <v>1034.0334250925528</v>
          </cell>
          <cell r="I54">
            <v>1.445862174334156</v>
          </cell>
          <cell r="J54">
            <v>1.445862174334156</v>
          </cell>
          <cell r="K54">
            <v>141.58356560782909</v>
          </cell>
          <cell r="L54">
            <v>141.58356560782909</v>
          </cell>
          <cell r="M54">
            <v>1177.0628528747161</v>
          </cell>
        </row>
        <row r="55">
          <cell r="A55" t="str">
            <v>901000033</v>
          </cell>
          <cell r="B55" t="str">
            <v>PREMEZCLA SUPER ESPONJA CARAMELO KILO</v>
          </cell>
          <cell r="C55" t="str">
            <v xml:space="preserve">ESP-RE-PRES-034 </v>
          </cell>
          <cell r="D55" t="str">
            <v>05</v>
          </cell>
          <cell r="E55" t="str">
            <v>Kilo</v>
          </cell>
          <cell r="F55" t="str">
            <v>Gramo</v>
          </cell>
          <cell r="G55">
            <v>3966.0039999999999</v>
          </cell>
          <cell r="H55">
            <v>3.9660039999999999</v>
          </cell>
          <cell r="I55">
            <v>36.582167664670656</v>
          </cell>
          <cell r="J55">
            <v>3.6582167664670658E-2</v>
          </cell>
          <cell r="K55">
            <v>229.13000000000002</v>
          </cell>
          <cell r="L55">
            <v>0.22913000000000003</v>
          </cell>
          <cell r="M55">
            <v>4231.7161676646701</v>
          </cell>
        </row>
        <row r="56">
          <cell r="A56" t="str">
            <v>907000001</v>
          </cell>
          <cell r="B56" t="str">
            <v>MEZCLA TRES LECHES PASTEURIZADA KILO</v>
          </cell>
          <cell r="C56" t="str">
            <v>ESP-RE-POS-072</v>
          </cell>
          <cell r="D56" t="str">
            <v>13</v>
          </cell>
          <cell r="E56" t="str">
            <v>Kilo</v>
          </cell>
          <cell r="F56" t="str">
            <v>Gramo</v>
          </cell>
          <cell r="G56">
            <v>1465.800995886922</v>
          </cell>
          <cell r="H56">
            <v>1.465800995886922</v>
          </cell>
          <cell r="I56">
            <v>0.56071460266666673</v>
          </cell>
          <cell r="J56">
            <v>5.6071460266666671E-4</v>
          </cell>
          <cell r="K56">
            <v>3.5044680000000001</v>
          </cell>
          <cell r="L56">
            <v>3.5044680000000002E-3</v>
          </cell>
          <cell r="M56">
            <v>1469.8661784895887</v>
          </cell>
        </row>
        <row r="57">
          <cell r="A57" t="str">
            <v>907000003</v>
          </cell>
          <cell r="B57" t="str">
            <v>CREMA BLANCA CON MANJAR KILO</v>
          </cell>
          <cell r="C57" t="str">
            <v>ESP-RE-DES-039</v>
          </cell>
          <cell r="D57" t="str">
            <v>06</v>
          </cell>
          <cell r="E57" t="str">
            <v>Kilo</v>
          </cell>
          <cell r="F57" t="str">
            <v>Gramo</v>
          </cell>
          <cell r="G57">
            <v>1929.9737523809522</v>
          </cell>
          <cell r="H57">
            <v>1.9299737523809521</v>
          </cell>
          <cell r="I57">
            <v>2.726E-2</v>
          </cell>
          <cell r="J57">
            <v>2.726E-5</v>
          </cell>
          <cell r="K57">
            <v>26.18</v>
          </cell>
          <cell r="L57">
            <v>2.6179999999999998E-2</v>
          </cell>
          <cell r="M57">
            <v>1956.1810123809523</v>
          </cell>
        </row>
        <row r="58">
          <cell r="A58" t="str">
            <v>907000061</v>
          </cell>
          <cell r="B58" t="str">
            <v>BATIDO SUPER ESPONJA CARAMELO KILO</v>
          </cell>
          <cell r="C58" t="str">
            <v>ESP-RE-BAS-080</v>
          </cell>
          <cell r="D58" t="str">
            <v>05</v>
          </cell>
          <cell r="E58" t="str">
            <v>Kilo</v>
          </cell>
          <cell r="F58" t="str">
            <v>Gramo</v>
          </cell>
          <cell r="G58">
            <v>1496.9181156186614</v>
          </cell>
          <cell r="H58">
            <v>1.4969181156186615</v>
          </cell>
          <cell r="I58">
            <v>0.11130476977080322</v>
          </cell>
          <cell r="J58">
            <v>1.1130476977080323E-4</v>
          </cell>
          <cell r="K58">
            <v>11.807150101419879</v>
          </cell>
          <cell r="L58">
            <v>1.1807150101419878E-2</v>
          </cell>
          <cell r="M58">
            <v>1508.8365704898522</v>
          </cell>
        </row>
        <row r="59">
          <cell r="A59" t="str">
            <v>907000052</v>
          </cell>
          <cell r="B59" t="str">
            <v xml:space="preserve">ROSQUETE ESPONJA CARAMELO 380G </v>
          </cell>
          <cell r="C59" t="str">
            <v>ESP-RE-BAS-105</v>
          </cell>
          <cell r="D59" t="str">
            <v>03</v>
          </cell>
          <cell r="E59" t="str">
            <v>Und</v>
          </cell>
          <cell r="F59" t="str">
            <v>Und</v>
          </cell>
          <cell r="G59">
            <v>582.33737026910808</v>
          </cell>
          <cell r="H59">
            <v>582.33737026910808</v>
          </cell>
          <cell r="I59">
            <v>0.27283452179379108</v>
          </cell>
          <cell r="J59">
            <v>0.27283452179379108</v>
          </cell>
          <cell r="K59">
            <v>18.505257281553398</v>
          </cell>
          <cell r="L59">
            <v>18.505257281553398</v>
          </cell>
          <cell r="M59">
            <v>601.11546207245533</v>
          </cell>
        </row>
        <row r="60">
          <cell r="A60" t="str">
            <v>95621</v>
          </cell>
          <cell r="B60" t="str">
            <v>COCCION ARROZ PRECOCIDO KILO</v>
          </cell>
          <cell r="C60" t="str">
            <v>ESP-RE-COCS-005</v>
          </cell>
          <cell r="D60" t="str">
            <v>06</v>
          </cell>
          <cell r="E60" t="str">
            <v>Kilo</v>
          </cell>
          <cell r="F60" t="str">
            <v>Gramo</v>
          </cell>
          <cell r="G60">
            <v>663.07170177838577</v>
          </cell>
          <cell r="H60">
            <v>0.66307170177838581</v>
          </cell>
          <cell r="I60">
            <v>10.923372093023255</v>
          </cell>
          <cell r="J60">
            <v>1.0923372093023255E-2</v>
          </cell>
          <cell r="K60">
            <v>34.1</v>
          </cell>
          <cell r="L60">
            <v>3.4099999999999998E-2</v>
          </cell>
          <cell r="M60">
            <v>708.095073871409</v>
          </cell>
        </row>
        <row r="61">
          <cell r="A61" t="str">
            <v>908000024</v>
          </cell>
          <cell r="B61" t="str">
            <v>COCCION PALMITO PICADO (KILO)</v>
          </cell>
          <cell r="C61" t="str">
            <v>ESP-RE-COCS-040</v>
          </cell>
          <cell r="D61" t="str">
            <v>12</v>
          </cell>
          <cell r="E61" t="str">
            <v>Kilo</v>
          </cell>
          <cell r="F61" t="str">
            <v>Gramo</v>
          </cell>
          <cell r="G61">
            <v>2214.975126700368</v>
          </cell>
          <cell r="H61">
            <v>2.2149751267003679</v>
          </cell>
          <cell r="I61">
            <v>51.901041666666671</v>
          </cell>
          <cell r="J61">
            <v>5.1901041666666668E-2</v>
          </cell>
          <cell r="K61">
            <v>57.254999999999995</v>
          </cell>
          <cell r="L61">
            <v>5.7254999999999993E-2</v>
          </cell>
          <cell r="M61">
            <v>2324.1311683670347</v>
          </cell>
        </row>
        <row r="62">
          <cell r="A62" t="str">
            <v>910000006</v>
          </cell>
          <cell r="B62" t="str">
            <v>MEZCLA SIROPE DULCE LECHE KILO</v>
          </cell>
          <cell r="C62" t="str">
            <v xml:space="preserve">ESP-RE-DES-026 </v>
          </cell>
          <cell r="D62" t="str">
            <v>03</v>
          </cell>
          <cell r="E62" t="str">
            <v>Kilo</v>
          </cell>
          <cell r="F62" t="str">
            <v>Gramo</v>
          </cell>
          <cell r="G62">
            <v>2009.3457943925234</v>
          </cell>
          <cell r="H62">
            <v>2.0093457943925235</v>
          </cell>
          <cell r="I62">
            <v>3.2084112149532715</v>
          </cell>
          <cell r="J62">
            <v>3.2084112149532713E-3</v>
          </cell>
          <cell r="K62">
            <v>30.800000000000004</v>
          </cell>
          <cell r="L62">
            <v>3.0800000000000004E-2</v>
          </cell>
          <cell r="M62">
            <v>2043.3542056074766</v>
          </cell>
        </row>
        <row r="63">
          <cell r="A63" t="str">
            <v>907000088</v>
          </cell>
          <cell r="B63" t="str">
            <v>ROSQUETE SUPER ESPONJA CARAMELO 220g</v>
          </cell>
          <cell r="C63" t="str">
            <v>ESP-RE-BAS-109</v>
          </cell>
          <cell r="D63" t="str">
            <v>02</v>
          </cell>
          <cell r="E63" t="str">
            <v>Und</v>
          </cell>
          <cell r="F63" t="str">
            <v>Und</v>
          </cell>
          <cell r="G63">
            <v>336.02725071887619</v>
          </cell>
          <cell r="H63">
            <v>336.02725071887619</v>
          </cell>
          <cell r="I63">
            <v>2.6330628879846412</v>
          </cell>
          <cell r="J63">
            <v>2.6330628879846412</v>
          </cell>
          <cell r="K63">
            <v>37.313383857521792</v>
          </cell>
          <cell r="L63">
            <v>37.313383857521792</v>
          </cell>
          <cell r="M63">
            <v>375.97369746438261</v>
          </cell>
        </row>
        <row r="64">
          <cell r="A64" t="str">
            <v>901000019</v>
          </cell>
          <cell r="B64" t="str">
            <v>PREMEZCLA P/BATIDO TAMALES KILO</v>
          </cell>
          <cell r="C64" t="str">
            <v xml:space="preserve">ESP-RE-PRES-019 </v>
          </cell>
          <cell r="D64" t="str">
            <v>10</v>
          </cell>
          <cell r="E64" t="str">
            <v>Kilo</v>
          </cell>
          <cell r="F64" t="str">
            <v>Gramo</v>
          </cell>
          <cell r="G64">
            <v>618.54440717515797</v>
          </cell>
          <cell r="H64">
            <v>0.61854440717515802</v>
          </cell>
          <cell r="I64">
            <v>5.6813601456030547</v>
          </cell>
          <cell r="J64">
            <v>5.6813601456030547E-3</v>
          </cell>
          <cell r="K64">
            <v>21.945</v>
          </cell>
          <cell r="L64">
            <v>2.1944999999999999E-2</v>
          </cell>
          <cell r="M64">
            <v>646.17076732076112</v>
          </cell>
        </row>
        <row r="65">
          <cell r="A65" t="str">
            <v>908000026</v>
          </cell>
          <cell r="B65" t="str">
            <v>LICUADO P/MASA TAMALES (KILO)</v>
          </cell>
          <cell r="C65" t="str">
            <v>ESP-RE-COCS-042</v>
          </cell>
          <cell r="D65" t="str">
            <v>07</v>
          </cell>
          <cell r="E65" t="str">
            <v>Kilo</v>
          </cell>
          <cell r="F65" t="str">
            <v>Gramo</v>
          </cell>
          <cell r="G65">
            <v>1209.1307947019868</v>
          </cell>
          <cell r="H65">
            <v>1.2091307947019869</v>
          </cell>
          <cell r="I65">
            <v>5.8710816777041952</v>
          </cell>
          <cell r="J65">
            <v>5.8710816777041951E-3</v>
          </cell>
          <cell r="K65">
            <v>90.75</v>
          </cell>
          <cell r="L65">
            <v>9.0749999999999997E-2</v>
          </cell>
          <cell r="M65">
            <v>1305.7518763796911</v>
          </cell>
        </row>
        <row r="66">
          <cell r="A66" t="str">
            <v>908000027</v>
          </cell>
          <cell r="B66" t="str">
            <v>COCCION ZANAHORIA P/TAMALES (KILO)</v>
          </cell>
          <cell r="C66" t="str">
            <v xml:space="preserve">ESP-RE-COCS-043 </v>
          </cell>
          <cell r="D66" t="str">
            <v>05</v>
          </cell>
          <cell r="E66" t="str">
            <v>Kilo</v>
          </cell>
          <cell r="F66" t="str">
            <v>Gramo</v>
          </cell>
          <cell r="G66">
            <v>924.77359449999994</v>
          </cell>
          <cell r="H66">
            <v>0.92477359449999996</v>
          </cell>
          <cell r="I66">
            <v>20.794052642153911</v>
          </cell>
          <cell r="J66">
            <v>2.079405264215391E-2</v>
          </cell>
          <cell r="K66">
            <v>82.83</v>
          </cell>
          <cell r="L66">
            <v>8.2830000000000001E-2</v>
          </cell>
          <cell r="M66">
            <v>1028.3976471421538</v>
          </cell>
        </row>
        <row r="67">
          <cell r="A67" t="str">
            <v>908000025</v>
          </cell>
          <cell r="B67" t="str">
            <v>MASA P/TAMALES (KILO)</v>
          </cell>
          <cell r="C67" t="str">
            <v>ESP-RE-COCS-041</v>
          </cell>
          <cell r="D67" t="str">
            <v>15</v>
          </cell>
          <cell r="E67" t="str">
            <v>Kilo</v>
          </cell>
          <cell r="F67" t="str">
            <v>Gramo</v>
          </cell>
          <cell r="G67">
            <v>714.16413226553277</v>
          </cell>
          <cell r="H67">
            <v>0.71416413226553277</v>
          </cell>
          <cell r="I67">
            <v>3.9086329000713786</v>
          </cell>
          <cell r="J67">
            <v>3.908632900071379E-3</v>
          </cell>
          <cell r="K67">
            <v>53.400201256744189</v>
          </cell>
          <cell r="L67">
            <v>5.340020125674419E-2</v>
          </cell>
          <cell r="M67">
            <v>771.47296642234824</v>
          </cell>
        </row>
        <row r="68">
          <cell r="A68" t="str">
            <v>90100132</v>
          </cell>
          <cell r="B68" t="str">
            <v xml:space="preserve">AZUCAR REFINADA (BOLSA:1500g) </v>
          </cell>
          <cell r="C68" t="str">
            <v>ESP-RE-PRES-108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439.64</v>
          </cell>
          <cell r="H68">
            <v>0.43963999999999998</v>
          </cell>
          <cell r="I68">
            <v>13.327999999999999</v>
          </cell>
          <cell r="J68">
            <v>1.3328E-2</v>
          </cell>
          <cell r="K68">
            <v>55</v>
          </cell>
          <cell r="L68">
            <v>5.5E-2</v>
          </cell>
          <cell r="M68">
            <v>507.96799999999996</v>
          </cell>
        </row>
        <row r="69">
          <cell r="A69" t="str">
            <v>908000022</v>
          </cell>
          <cell r="B69" t="str">
            <v>MEZCLA PIPIAN (KILO)</v>
          </cell>
          <cell r="C69" t="str">
            <v>ESP-RE-COCS-035</v>
          </cell>
          <cell r="D69" t="str">
            <v>08</v>
          </cell>
          <cell r="E69" t="str">
            <v>Kilo</v>
          </cell>
          <cell r="F69" t="str">
            <v>Gramo</v>
          </cell>
          <cell r="G69">
            <v>2046.7809392709887</v>
          </cell>
          <cell r="H69">
            <v>2.0467809392709886</v>
          </cell>
          <cell r="I69">
            <v>5.1437326901960789</v>
          </cell>
          <cell r="J69">
            <v>5.1437326901960789E-3</v>
          </cell>
          <cell r="K69">
            <v>49.56580588235294</v>
          </cell>
          <cell r="L69">
            <v>4.9565805882352938E-2</v>
          </cell>
          <cell r="M69">
            <v>2101.4904778435375</v>
          </cell>
        </row>
        <row r="70">
          <cell r="A70" t="str">
            <v>909000005</v>
          </cell>
          <cell r="B70" t="str">
            <v>PIPIAN EMPAQ (KILO)</v>
          </cell>
          <cell r="C70" t="str">
            <v>ESP-RE-EMPS-005</v>
          </cell>
          <cell r="D70" t="str">
            <v>03</v>
          </cell>
          <cell r="E70" t="str">
            <v>Kilo</v>
          </cell>
          <cell r="F70" t="str">
            <v>Gramo</v>
          </cell>
          <cell r="G70">
            <v>2046.7809392709885</v>
          </cell>
          <cell r="H70">
            <v>2.0467809392709886</v>
          </cell>
          <cell r="I70">
            <v>11.741232690196078</v>
          </cell>
          <cell r="J70">
            <v>1.1741232690196078E-2</v>
          </cell>
          <cell r="K70">
            <v>77.065805882352947</v>
          </cell>
          <cell r="L70">
            <v>7.7065805882352942E-2</v>
          </cell>
          <cell r="M70">
            <v>2135.5879778435374</v>
          </cell>
        </row>
        <row r="71">
          <cell r="A71" t="str">
            <v>908000010</v>
          </cell>
          <cell r="B71" t="str">
            <v>MEZCLA ARROZ P/TAMAL (KILO)</v>
          </cell>
          <cell r="C71" t="str">
            <v>ESP-RE-COCS-010</v>
          </cell>
          <cell r="D71" t="str">
            <v>03</v>
          </cell>
          <cell r="E71" t="str">
            <v>Kilo</v>
          </cell>
          <cell r="F71" t="str">
            <v>Gramo</v>
          </cell>
          <cell r="G71">
            <v>732.65976438267614</v>
          </cell>
          <cell r="H71">
            <v>0.7326597643826761</v>
          </cell>
          <cell r="I71">
            <v>4.9277275000000005</v>
          </cell>
          <cell r="J71">
            <v>4.9277275000000004E-3</v>
          </cell>
          <cell r="K71">
            <v>47.310274725274716</v>
          </cell>
          <cell r="L71">
            <v>4.7310274725274715E-2</v>
          </cell>
          <cell r="M71">
            <v>784.89776660795076</v>
          </cell>
        </row>
        <row r="72">
          <cell r="A72" t="str">
            <v>909000006</v>
          </cell>
          <cell r="B72" t="str">
            <v>ARROZ P/TAMALES EMPAQ  (KILO)</v>
          </cell>
          <cell r="C72" t="str">
            <v>ESP-RE-EMPS-006</v>
          </cell>
          <cell r="D72" t="str">
            <v>05</v>
          </cell>
          <cell r="E72" t="str">
            <v>Kilo</v>
          </cell>
          <cell r="F72" t="str">
            <v>Gramo</v>
          </cell>
          <cell r="G72">
            <v>576.85769369747902</v>
          </cell>
          <cell r="H72">
            <v>0.57685769369747897</v>
          </cell>
          <cell r="I72">
            <v>7.134210666666668</v>
          </cell>
          <cell r="J72">
            <v>7.1342106666666683E-3</v>
          </cell>
          <cell r="K72">
            <v>50.552857142857135</v>
          </cell>
          <cell r="L72">
            <v>5.0552857142857135E-2</v>
          </cell>
          <cell r="M72">
            <v>634.54476150700293</v>
          </cell>
        </row>
        <row r="73">
          <cell r="A73" t="str">
            <v>90100142</v>
          </cell>
          <cell r="B73" t="str">
            <v>EMPAQUE SAL KILO</v>
          </cell>
          <cell r="C73" t="str">
            <v>ESP-RE-PRES-101</v>
          </cell>
          <cell r="D73" t="str">
            <v>01</v>
          </cell>
          <cell r="E73" t="str">
            <v>Kilo</v>
          </cell>
          <cell r="F73" t="str">
            <v>Gramo</v>
          </cell>
          <cell r="G73">
            <v>376</v>
          </cell>
          <cell r="H73">
            <v>0.376</v>
          </cell>
          <cell r="I73">
            <v>5.3311999999999999</v>
          </cell>
          <cell r="J73">
            <v>5.3312000000000003E-3</v>
          </cell>
          <cell r="K73">
            <v>22</v>
          </cell>
          <cell r="L73">
            <v>2.1999999999999999E-2</v>
          </cell>
          <cell r="M73">
            <v>403.33120000000002</v>
          </cell>
        </row>
        <row r="74">
          <cell r="A74" t="str">
            <v>908000058</v>
          </cell>
          <cell r="B74" t="str">
            <v>ARROZ P/TAMAL S/PITTIE POIS (KILO)</v>
          </cell>
          <cell r="C74" t="str">
            <v>ESP-RE-COCS-085</v>
          </cell>
          <cell r="D74" t="str">
            <v>08</v>
          </cell>
          <cell r="E74" t="str">
            <v>Kilo</v>
          </cell>
          <cell r="F74" t="str">
            <v>Gramo</v>
          </cell>
          <cell r="G74">
            <v>576.85769369747902</v>
          </cell>
          <cell r="H74">
            <v>0.57685769369747897</v>
          </cell>
          <cell r="I74">
            <v>6.8544000000000008E-2</v>
          </cell>
          <cell r="J74">
            <v>6.8544000000000013E-5</v>
          </cell>
          <cell r="K74">
            <v>39.552857142857135</v>
          </cell>
          <cell r="L74">
            <v>3.9552857142857133E-2</v>
          </cell>
          <cell r="M74">
            <v>616.47909484033607</v>
          </cell>
        </row>
        <row r="75">
          <cell r="A75" t="str">
            <v>908000031</v>
          </cell>
          <cell r="B75" t="str">
            <v>COCCION CARNE CERDO P/TAMAL (KILO)</v>
          </cell>
          <cell r="C75" t="str">
            <v>ESP-RE-COCS-047</v>
          </cell>
          <cell r="D75" t="str">
            <v>05</v>
          </cell>
          <cell r="E75" t="str">
            <v>Kilo</v>
          </cell>
          <cell r="F75" t="str">
            <v>Gramo</v>
          </cell>
          <cell r="G75">
            <v>3893.6718906798792</v>
          </cell>
          <cell r="H75">
            <v>3.8936718906798791</v>
          </cell>
          <cell r="I75">
            <v>26.776332687435279</v>
          </cell>
          <cell r="J75">
            <v>2.6776332687435279E-2</v>
          </cell>
          <cell r="K75">
            <v>237.3818965518</v>
          </cell>
          <cell r="L75">
            <v>0.2373818965518</v>
          </cell>
          <cell r="M75">
            <v>4157.8301199191146</v>
          </cell>
        </row>
        <row r="76">
          <cell r="A76" t="str">
            <v>90100052</v>
          </cell>
          <cell r="B76" t="str">
            <v>CANE CERDO P/TAMAL EMPAQ KILO</v>
          </cell>
          <cell r="C76" t="str">
            <v>ESP-RE-EMPS-093</v>
          </cell>
          <cell r="D76" t="str">
            <v>02</v>
          </cell>
          <cell r="E76" t="str">
            <v>Kilo</v>
          </cell>
          <cell r="F76" t="str">
            <v>Gramo</v>
          </cell>
          <cell r="G76">
            <v>3893.6718906798792</v>
          </cell>
          <cell r="H76">
            <v>3.8936718906798791</v>
          </cell>
          <cell r="I76">
            <v>30.546332687435278</v>
          </cell>
          <cell r="J76">
            <v>3.0546332687435278E-2</v>
          </cell>
          <cell r="K76">
            <v>252.7818965518</v>
          </cell>
          <cell r="L76">
            <v>0.2527818965518</v>
          </cell>
          <cell r="M76">
            <v>4177.0001199191147</v>
          </cell>
        </row>
        <row r="77">
          <cell r="A77" t="str">
            <v>95636</v>
          </cell>
          <cell r="B77" t="str">
            <v>ENSAMBLE TAMAL DE CERDO 230g</v>
          </cell>
          <cell r="C77" t="str">
            <v>ESP-RE-COCS-046</v>
          </cell>
          <cell r="D77" t="str">
            <v>15</v>
          </cell>
          <cell r="E77" t="str">
            <v>Und</v>
          </cell>
          <cell r="F77" t="str">
            <v>Und</v>
          </cell>
          <cell r="G77">
            <v>387.78180889685132</v>
          </cell>
          <cell r="H77">
            <v>387.78180889685132</v>
          </cell>
          <cell r="I77">
            <v>48.452664215671405</v>
          </cell>
          <cell r="J77">
            <v>48.452664215671405</v>
          </cell>
          <cell r="K77">
            <v>138.88444518077054</v>
          </cell>
          <cell r="L77">
            <v>138.88444518077054</v>
          </cell>
          <cell r="M77">
            <v>575.11891829329329</v>
          </cell>
        </row>
        <row r="78">
          <cell r="A78" t="str">
            <v>908000028</v>
          </cell>
          <cell r="B78" t="str">
            <v>COCCION PAPA P/TAMAL (KILO)</v>
          </cell>
          <cell r="C78" t="str">
            <v>ESP-RE-COCS-044</v>
          </cell>
          <cell r="D78" t="str">
            <v>04</v>
          </cell>
          <cell r="E78" t="str">
            <v>Kilo</v>
          </cell>
          <cell r="F78" t="str">
            <v>Gramo</v>
          </cell>
          <cell r="G78">
            <v>1848.2608695652175</v>
          </cell>
          <cell r="H78">
            <v>1.8482608695652174</v>
          </cell>
          <cell r="I78">
            <v>0.33739130434782616</v>
          </cell>
          <cell r="J78">
            <v>3.3739130434782617E-4</v>
          </cell>
          <cell r="K78">
            <v>39.82</v>
          </cell>
          <cell r="L78">
            <v>3.9820000000000001E-2</v>
          </cell>
          <cell r="M78">
            <v>1888.4182608695653</v>
          </cell>
        </row>
        <row r="79">
          <cell r="A79" t="str">
            <v>901000189</v>
          </cell>
          <cell r="B79" t="str">
            <v>EMPAQUE PAPA TAMAL (KILO)</v>
          </cell>
          <cell r="C79" t="str">
            <v>ESP-RE-EMPS-126</v>
          </cell>
          <cell r="D79" t="str">
            <v>02</v>
          </cell>
          <cell r="E79" t="str">
            <v>Kilo</v>
          </cell>
          <cell r="F79" t="str">
            <v>Gramo</v>
          </cell>
          <cell r="G79">
            <v>1848.2608695652175</v>
          </cell>
          <cell r="H79">
            <v>1.8482608695652174</v>
          </cell>
          <cell r="I79">
            <v>5.4726233043478265</v>
          </cell>
          <cell r="J79">
            <v>5.4726233043478267E-3</v>
          </cell>
          <cell r="K79">
            <v>79.64</v>
          </cell>
          <cell r="L79">
            <v>7.9640000000000002E-2</v>
          </cell>
          <cell r="M79">
            <v>1933.3734928695653</v>
          </cell>
        </row>
        <row r="80">
          <cell r="A80" t="str">
            <v>908000016</v>
          </cell>
          <cell r="B80" t="str">
            <v>MASA P/TAMAL POLLO (KILO)</v>
          </cell>
          <cell r="C80" t="str">
            <v>ESP-RE-COCS-020</v>
          </cell>
          <cell r="D80" t="str">
            <v>12</v>
          </cell>
          <cell r="E80" t="str">
            <v>Kilo</v>
          </cell>
          <cell r="F80" t="str">
            <v>Gramo</v>
          </cell>
          <cell r="G80">
            <v>675.97400734404459</v>
          </cell>
          <cell r="H80">
            <v>0.67597400734404456</v>
          </cell>
          <cell r="I80">
            <v>5.0075363743700514</v>
          </cell>
          <cell r="J80">
            <v>5.0075363743700514E-3</v>
          </cell>
          <cell r="K80">
            <v>54.542180237581007</v>
          </cell>
          <cell r="L80">
            <v>5.4542180237581006E-2</v>
          </cell>
          <cell r="M80">
            <v>735.52372395599559</v>
          </cell>
        </row>
        <row r="81">
          <cell r="A81" t="str">
            <v>90100054</v>
          </cell>
          <cell r="B81" t="str">
            <v>EMPAQUE POLLO P/TAMAL KILO</v>
          </cell>
          <cell r="C81" t="str">
            <v>ESP-RE-EMPS-156</v>
          </cell>
          <cell r="D81" t="str">
            <v>01</v>
          </cell>
          <cell r="E81" t="str">
            <v>Kilo</v>
          </cell>
          <cell r="F81" t="str">
            <v>Gramo</v>
          </cell>
          <cell r="G81">
            <v>3712.1812763713078</v>
          </cell>
          <cell r="H81">
            <v>3.7121812763713078</v>
          </cell>
          <cell r="I81">
            <v>19.064476582278481</v>
          </cell>
          <cell r="J81">
            <v>1.9064476582278479E-2</v>
          </cell>
          <cell r="K81">
            <v>89.100000000000009</v>
          </cell>
          <cell r="L81">
            <v>8.9100000000000013E-2</v>
          </cell>
          <cell r="M81">
            <v>3820.3457529535863</v>
          </cell>
        </row>
        <row r="82">
          <cell r="A82" t="str">
            <v>95945</v>
          </cell>
          <cell r="B82" t="str">
            <v>ENSAMBLE TAMAL DE POLLO 280g</v>
          </cell>
          <cell r="C82" t="str">
            <v>ESP-RE-COCS-045</v>
          </cell>
          <cell r="D82" t="str">
            <v>12</v>
          </cell>
          <cell r="E82" t="str">
            <v>Und</v>
          </cell>
          <cell r="F82" t="str">
            <v>Und</v>
          </cell>
          <cell r="G82">
            <v>376.75222230248403</v>
          </cell>
          <cell r="H82">
            <v>376.75222230248403</v>
          </cell>
          <cell r="I82">
            <v>48.352431403673258</v>
          </cell>
          <cell r="J82">
            <v>48.352431403673258</v>
          </cell>
          <cell r="K82">
            <v>134.9865341937178</v>
          </cell>
          <cell r="L82">
            <v>134.9865341937178</v>
          </cell>
          <cell r="M82">
            <v>560.09118789987508</v>
          </cell>
        </row>
        <row r="83">
          <cell r="A83" t="str">
            <v>908000044</v>
          </cell>
          <cell r="B83" t="str">
            <v>SOLUCION DE CLORO (litro)</v>
          </cell>
          <cell r="C83">
            <v>0</v>
          </cell>
          <cell r="D83">
            <v>0</v>
          </cell>
          <cell r="E83" t="str">
            <v>Kilo</v>
          </cell>
          <cell r="F83" t="str">
            <v>Gramo</v>
          </cell>
          <cell r="G83">
            <v>100.00014515350065</v>
          </cell>
          <cell r="H83">
            <v>0.10000014515350066</v>
          </cell>
          <cell r="I83">
            <v>0</v>
          </cell>
          <cell r="J83">
            <v>0</v>
          </cell>
          <cell r="K83">
            <v>110</v>
          </cell>
          <cell r="L83">
            <v>0.11</v>
          </cell>
          <cell r="M83">
            <v>210.00014515350065</v>
          </cell>
        </row>
        <row r="84">
          <cell r="A84" t="str">
            <v>95299</v>
          </cell>
          <cell r="B84" t="str">
            <v>COCCION FRIJOLES P/GALLO PINTO KILO</v>
          </cell>
          <cell r="C84" t="str">
            <v>ESP-RE-COCS-058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690.75428859737633</v>
          </cell>
          <cell r="H84">
            <v>0.69075428859737631</v>
          </cell>
          <cell r="I84">
            <v>4.5249747729566092</v>
          </cell>
          <cell r="J84">
            <v>4.5249747729566095E-3</v>
          </cell>
          <cell r="K84">
            <v>27.72</v>
          </cell>
          <cell r="L84">
            <v>2.7719999999999998E-2</v>
          </cell>
          <cell r="M84">
            <v>722.99926337033298</v>
          </cell>
        </row>
        <row r="85">
          <cell r="A85" t="str">
            <v>908000004</v>
          </cell>
          <cell r="B85" t="str">
            <v>GALLO PINTO SPOON KILO</v>
          </cell>
          <cell r="C85" t="str">
            <v>ESP-RE-COCS-004</v>
          </cell>
          <cell r="D85" t="str">
            <v>14</v>
          </cell>
          <cell r="E85" t="str">
            <v>Kilo</v>
          </cell>
          <cell r="F85" t="str">
            <v>Gramo</v>
          </cell>
          <cell r="G85">
            <v>1317.8842945958447</v>
          </cell>
          <cell r="H85">
            <v>1.3178842945958447</v>
          </cell>
          <cell r="I85">
            <v>16.623801799684731</v>
          </cell>
          <cell r="J85">
            <v>1.6623801799684732E-2</v>
          </cell>
          <cell r="K85">
            <v>101.56006920415224</v>
          </cell>
          <cell r="L85">
            <v>0.10156006920415224</v>
          </cell>
          <cell r="M85">
            <v>1436.0681655996818</v>
          </cell>
        </row>
        <row r="86">
          <cell r="A86" t="str">
            <v>904000007</v>
          </cell>
          <cell r="B86" t="str">
            <v>SALSA P/PECHUGA RELLENA (KILO)</v>
          </cell>
          <cell r="C86" t="str">
            <v>ESP-RE-COCS-036</v>
          </cell>
          <cell r="D86" t="str">
            <v>10</v>
          </cell>
          <cell r="E86" t="str">
            <v>Kilo</v>
          </cell>
          <cell r="F86" t="str">
            <v>Gramo</v>
          </cell>
          <cell r="G86">
            <v>2167.5380696400393</v>
          </cell>
          <cell r="H86">
            <v>2.1675380696400395</v>
          </cell>
          <cell r="I86">
            <v>0.23954326923076921</v>
          </cell>
          <cell r="J86">
            <v>2.3954326923076921E-4</v>
          </cell>
          <cell r="K86">
            <v>105.6</v>
          </cell>
          <cell r="L86">
            <v>0.1056</v>
          </cell>
          <cell r="M86">
            <v>2273.3776129092698</v>
          </cell>
        </row>
        <row r="87">
          <cell r="A87" t="str">
            <v>901000165</v>
          </cell>
          <cell r="B87" t="str">
            <v>ADOBO PECHUGA RELLENA KILO</v>
          </cell>
          <cell r="C87" t="str">
            <v>ESP-RE-COCS-054</v>
          </cell>
          <cell r="D87" t="str">
            <v>10</v>
          </cell>
          <cell r="E87" t="str">
            <v>Kilo</v>
          </cell>
          <cell r="F87" t="str">
            <v>Gramo</v>
          </cell>
          <cell r="G87">
            <v>5400.2491801515152</v>
          </cell>
          <cell r="H87">
            <v>5.4002491801515156</v>
          </cell>
          <cell r="I87">
            <v>23.393863636363637</v>
          </cell>
          <cell r="J87">
            <v>2.3393863636363636E-2</v>
          </cell>
          <cell r="K87">
            <v>199.65</v>
          </cell>
          <cell r="L87">
            <v>0.19964999999999999</v>
          </cell>
          <cell r="M87">
            <v>5623.2930437878786</v>
          </cell>
        </row>
        <row r="88">
          <cell r="A88" t="str">
            <v>95364</v>
          </cell>
          <cell r="B88" t="str">
            <v>BASE PREM P/ROSQUETE TRES LECHES KILO</v>
          </cell>
          <cell r="C88" t="str">
            <v xml:space="preserve">ESP-RE-PRES-009 </v>
          </cell>
          <cell r="D88" t="str">
            <v>14</v>
          </cell>
          <cell r="E88" t="str">
            <v>Kilo</v>
          </cell>
          <cell r="F88" t="str">
            <v>Gramo</v>
          </cell>
          <cell r="G88">
            <v>482.24382384806978</v>
          </cell>
          <cell r="H88">
            <v>0.4822438238480698</v>
          </cell>
          <cell r="I88">
            <v>7.3336100733361009</v>
          </cell>
          <cell r="J88">
            <v>7.333610073336101E-3</v>
          </cell>
          <cell r="K88">
            <v>11.385</v>
          </cell>
          <cell r="L88">
            <v>1.1384999999999999E-2</v>
          </cell>
          <cell r="M88">
            <v>500.96243392140588</v>
          </cell>
        </row>
        <row r="89">
          <cell r="A89" t="str">
            <v>902000016</v>
          </cell>
          <cell r="B89" t="str">
            <v>BATIDO TRES LECHES SPOON KILO</v>
          </cell>
          <cell r="C89" t="str">
            <v>ESP-RE-BAS-043</v>
          </cell>
          <cell r="D89" t="str">
            <v>05</v>
          </cell>
          <cell r="E89" t="str">
            <v>Kilo</v>
          </cell>
          <cell r="F89" t="str">
            <v>Gramo</v>
          </cell>
          <cell r="G89">
            <v>799.85380609836068</v>
          </cell>
          <cell r="H89">
            <v>0.79985380609836065</v>
          </cell>
          <cell r="I89">
            <v>3.8615664845173043</v>
          </cell>
          <cell r="J89">
            <v>3.8615664845173042E-3</v>
          </cell>
          <cell r="K89">
            <v>23.979855737704916</v>
          </cell>
          <cell r="L89">
            <v>2.3979855737704916E-2</v>
          </cell>
          <cell r="M89">
            <v>827.69522832058294</v>
          </cell>
        </row>
        <row r="90">
          <cell r="A90" t="str">
            <v>96292</v>
          </cell>
          <cell r="B90" t="str">
            <v>ROSQUETE TRES LECHES RED. (150g)</v>
          </cell>
          <cell r="C90" t="str">
            <v>ESP-RE-BAS-040</v>
          </cell>
          <cell r="D90" t="str">
            <v>04</v>
          </cell>
          <cell r="E90" t="str">
            <v>Und</v>
          </cell>
          <cell r="F90" t="str">
            <v>Und</v>
          </cell>
          <cell r="G90">
            <v>133.28528932261744</v>
          </cell>
          <cell r="H90">
            <v>133.28528932261744</v>
          </cell>
          <cell r="I90">
            <v>2.2948924097222223</v>
          </cell>
          <cell r="J90">
            <v>2.2948924097222223</v>
          </cell>
          <cell r="K90">
            <v>29.240178</v>
          </cell>
          <cell r="L90">
            <v>29.240178</v>
          </cell>
          <cell r="M90">
            <v>164.82035973233968</v>
          </cell>
        </row>
        <row r="91">
          <cell r="A91" t="str">
            <v>907000031</v>
          </cell>
          <cell r="B91" t="str">
            <v xml:space="preserve">Flan Caramelo Mini Redondo Spoon </v>
          </cell>
          <cell r="C91" t="str">
            <v>ESP-RE-POS-101</v>
          </cell>
          <cell r="D91" t="str">
            <v>05</v>
          </cell>
          <cell r="E91" t="str">
            <v>Und</v>
          </cell>
          <cell r="F91" t="str">
            <v>Und</v>
          </cell>
          <cell r="G91">
            <v>997.93642030942351</v>
          </cell>
          <cell r="H91">
            <v>997.93642030942351</v>
          </cell>
          <cell r="I91">
            <v>29.515999999999998</v>
          </cell>
          <cell r="J91">
            <v>29.515999999999998</v>
          </cell>
          <cell r="K91">
            <v>131.97800000000001</v>
          </cell>
          <cell r="L91">
            <v>131.97800000000001</v>
          </cell>
          <cell r="M91">
            <v>1159.4304203094237</v>
          </cell>
        </row>
        <row r="92">
          <cell r="A92" t="str">
            <v>907000012</v>
          </cell>
          <cell r="B92" t="str">
            <v>CARAMELO AZUCAR P/FLAN (KILO)</v>
          </cell>
          <cell r="C92" t="str">
            <v>ESP-RE-POS-105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767.96296296296327</v>
          </cell>
          <cell r="H92">
            <v>0.76796296296296329</v>
          </cell>
          <cell r="I92">
            <v>0</v>
          </cell>
          <cell r="J92">
            <v>0</v>
          </cell>
          <cell r="K92">
            <v>366.3</v>
          </cell>
          <cell r="L92">
            <v>0.36630000000000001</v>
          </cell>
          <cell r="M92">
            <v>1134.2629629629632</v>
          </cell>
        </row>
        <row r="93">
          <cell r="A93" t="str">
            <v>90200029</v>
          </cell>
          <cell r="B93" t="str">
            <v>RELLENO CHEESECAKE KILO</v>
          </cell>
          <cell r="C93" t="str">
            <v>ESP-RE-POS-038</v>
          </cell>
          <cell r="D93" t="str">
            <v>04</v>
          </cell>
          <cell r="E93" t="str">
            <v>Kilo</v>
          </cell>
          <cell r="F93" t="str">
            <v>Gramo</v>
          </cell>
          <cell r="G93">
            <v>1869.9122498730899</v>
          </cell>
          <cell r="H93">
            <v>1.8699122498730898</v>
          </cell>
          <cell r="I93">
            <v>7.4358974358974348E-3</v>
          </cell>
          <cell r="J93">
            <v>7.4358974358974352E-6</v>
          </cell>
          <cell r="K93">
            <v>98.35026666666667</v>
          </cell>
          <cell r="L93">
            <v>9.8350266666666672E-2</v>
          </cell>
          <cell r="M93">
            <v>1968.2699524371924</v>
          </cell>
        </row>
        <row r="94">
          <cell r="A94" t="str">
            <v>908000012</v>
          </cell>
          <cell r="B94" t="str">
            <v>QUESO PARMESANO RALLADO KILO</v>
          </cell>
          <cell r="C94" t="str">
            <v>ESP-RE-COS-042</v>
          </cell>
          <cell r="D94">
            <v>0</v>
          </cell>
          <cell r="E94" t="str">
            <v>Kilo</v>
          </cell>
          <cell r="F94" t="str">
            <v>Gramo</v>
          </cell>
          <cell r="G94">
            <v>10764.670000000002</v>
          </cell>
          <cell r="H94">
            <v>10.764670000000002</v>
          </cell>
          <cell r="I94">
            <v>7.5930144267274118</v>
          </cell>
          <cell r="J94">
            <v>7.5930144267274116E-3</v>
          </cell>
          <cell r="K94">
            <v>124.85</v>
          </cell>
          <cell r="L94">
            <v>0.12484999999999999</v>
          </cell>
          <cell r="M94">
            <v>10897.11301442673</v>
          </cell>
        </row>
        <row r="95">
          <cell r="A95" t="str">
            <v>90800033</v>
          </cell>
          <cell r="B95" t="str">
            <v>CALDO POLLO C/CARCASA (KILO)</v>
          </cell>
          <cell r="C95" t="str">
            <v>ESP-RE-COCS-049</v>
          </cell>
          <cell r="D95" t="str">
            <v>03</v>
          </cell>
          <cell r="E95" t="str">
            <v>Kilo</v>
          </cell>
          <cell r="F95" t="str">
            <v>Gramo</v>
          </cell>
          <cell r="G95">
            <v>505.29819929078013</v>
          </cell>
          <cell r="H95">
            <v>0.50529819929078013</v>
          </cell>
          <cell r="I95">
            <v>5.0936170212765948</v>
          </cell>
          <cell r="J95">
            <v>5.093617021276595E-3</v>
          </cell>
          <cell r="K95">
            <v>35.106382978723403</v>
          </cell>
          <cell r="L95">
            <v>3.5106382978723399E-2</v>
          </cell>
          <cell r="M95">
            <v>545.49819929078012</v>
          </cell>
        </row>
        <row r="96">
          <cell r="A96" t="str">
            <v>909000010</v>
          </cell>
          <cell r="B96" t="str">
            <v>EMPAQ CALDO POLLO C/CARCASA KILO</v>
          </cell>
          <cell r="C96" t="str">
            <v xml:space="preserve">ESP-RE-EMPS-010 </v>
          </cell>
          <cell r="D96" t="str">
            <v>02</v>
          </cell>
          <cell r="E96" t="str">
            <v>Kilo</v>
          </cell>
          <cell r="F96" t="str">
            <v>Gramo</v>
          </cell>
          <cell r="G96">
            <v>505.29819929078013</v>
          </cell>
          <cell r="H96">
            <v>0.50529819929078013</v>
          </cell>
          <cell r="I96">
            <v>12.225883687943261</v>
          </cell>
          <cell r="J96">
            <v>1.2225883687943261E-2</v>
          </cell>
          <cell r="K96">
            <v>46.106382978723403</v>
          </cell>
          <cell r="L96">
            <v>4.6106382978723402E-2</v>
          </cell>
          <cell r="M96">
            <v>563.63046595744686</v>
          </cell>
        </row>
        <row r="97">
          <cell r="A97" t="str">
            <v>901000084</v>
          </cell>
          <cell r="B97" t="str">
            <v>COCCCION CREMA DE AYOTE KILO</v>
          </cell>
          <cell r="C97" t="str">
            <v>ESP-RE-COCS-208</v>
          </cell>
          <cell r="D97" t="str">
            <v>13</v>
          </cell>
          <cell r="E97" t="str">
            <v>Kilo</v>
          </cell>
          <cell r="F97" t="str">
            <v>Gramo</v>
          </cell>
          <cell r="G97">
            <v>1556.7631699049768</v>
          </cell>
          <cell r="H97">
            <v>1.5567631699049769</v>
          </cell>
          <cell r="I97">
            <v>3.9003047350126168</v>
          </cell>
          <cell r="J97">
            <v>3.9003047350126166E-3</v>
          </cell>
          <cell r="K97">
            <v>69.715239678318142</v>
          </cell>
          <cell r="L97">
            <v>6.9715239678318136E-2</v>
          </cell>
          <cell r="M97">
            <v>1630.3787143183076</v>
          </cell>
        </row>
        <row r="98">
          <cell r="A98" t="str">
            <v>904000006</v>
          </cell>
          <cell r="B98" t="str">
            <v>SALSA ROJA SPOON KILO</v>
          </cell>
          <cell r="C98" t="str">
            <v>ESP-RE-COCS-025</v>
          </cell>
          <cell r="D98" t="str">
            <v>11</v>
          </cell>
          <cell r="E98" t="str">
            <v>Kilo</v>
          </cell>
          <cell r="F98" t="str">
            <v>Gramo</v>
          </cell>
          <cell r="G98">
            <v>1169.6985699053848</v>
          </cell>
          <cell r="H98">
            <v>1.1696985699053848</v>
          </cell>
          <cell r="I98">
            <v>1.4123622047244095</v>
          </cell>
          <cell r="J98">
            <v>1.4123622047244096E-3</v>
          </cell>
          <cell r="K98">
            <v>34.594999999999999</v>
          </cell>
          <cell r="L98">
            <v>3.4595000000000001E-2</v>
          </cell>
          <cell r="M98">
            <v>1205.7059321101092</v>
          </cell>
        </row>
        <row r="99">
          <cell r="A99" t="str">
            <v>909000004</v>
          </cell>
          <cell r="B99" t="str">
            <v>EMPAQUE SALSA ROJA PLANTA KILO</v>
          </cell>
          <cell r="C99" t="str">
            <v xml:space="preserve">ESP-RE-EMPS-004 </v>
          </cell>
          <cell r="D99" t="str">
            <v>05</v>
          </cell>
          <cell r="E99" t="str">
            <v>Kilo</v>
          </cell>
          <cell r="F99" t="str">
            <v>Gramo</v>
          </cell>
          <cell r="G99">
            <v>1169.6985699053848</v>
          </cell>
          <cell r="H99">
            <v>1.1696985699053848</v>
          </cell>
          <cell r="I99">
            <v>9.6550288713910746</v>
          </cell>
          <cell r="J99">
            <v>9.6550288713910751E-3</v>
          </cell>
          <cell r="K99">
            <v>58.96</v>
          </cell>
          <cell r="L99">
            <v>5.8959999999999999E-2</v>
          </cell>
          <cell r="M99">
            <v>1238.313598776776</v>
          </cell>
        </row>
        <row r="100">
          <cell r="A100" t="str">
            <v>905000013</v>
          </cell>
          <cell r="B100" t="str">
            <v>RELLENO CARNE P/LASAGNA KILO</v>
          </cell>
          <cell r="C100" t="str">
            <v>ESP-RE-COCS-075</v>
          </cell>
          <cell r="D100" t="str">
            <v>06</v>
          </cell>
          <cell r="E100" t="str">
            <v>Kilo</v>
          </cell>
          <cell r="F100" t="str">
            <v>Gramo</v>
          </cell>
          <cell r="G100">
            <v>2638.6243111862368</v>
          </cell>
          <cell r="H100">
            <v>2.6386243111862369</v>
          </cell>
          <cell r="I100">
            <v>7.5010574712643691E-2</v>
          </cell>
          <cell r="J100">
            <v>7.5010574712643688E-5</v>
          </cell>
          <cell r="K100">
            <v>83.186551724137928</v>
          </cell>
          <cell r="L100">
            <v>8.3186551724137928E-2</v>
          </cell>
          <cell r="M100">
            <v>2721.8858734850874</v>
          </cell>
        </row>
        <row r="101">
          <cell r="A101" t="str">
            <v>901000200</v>
          </cell>
          <cell r="B101" t="str">
            <v>MAYONESA SPOON PLANTA KILO</v>
          </cell>
          <cell r="C101" t="str">
            <v>ESP-RE-COCS-064</v>
          </cell>
          <cell r="D101" t="str">
            <v>04</v>
          </cell>
          <cell r="E101" t="str">
            <v>Kilo</v>
          </cell>
          <cell r="F101" t="str">
            <v>Gramo</v>
          </cell>
          <cell r="G101">
            <v>991.79493376645109</v>
          </cell>
          <cell r="H101">
            <v>0.99179493376645111</v>
          </cell>
          <cell r="I101">
            <v>1.3977962834224602</v>
          </cell>
          <cell r="J101">
            <v>1.3977962834224602E-3</v>
          </cell>
          <cell r="K101">
            <v>59.597941176470584</v>
          </cell>
          <cell r="L101">
            <v>5.9597941176470583E-2</v>
          </cell>
          <cell r="M101">
            <v>1052.7906712263441</v>
          </cell>
        </row>
        <row r="102">
          <cell r="A102" t="str">
            <v>904000022</v>
          </cell>
          <cell r="B102" t="str">
            <v>ADEREZO CHIPOTLE KILO</v>
          </cell>
          <cell r="C102" t="str">
            <v>ESP-RE-COFS-014</v>
          </cell>
          <cell r="D102" t="str">
            <v>09</v>
          </cell>
          <cell r="E102" t="str">
            <v>Kilo</v>
          </cell>
          <cell r="F102" t="str">
            <v>Gramo</v>
          </cell>
          <cell r="G102">
            <v>1383.2193921270011</v>
          </cell>
          <cell r="H102">
            <v>1.3832193921270011</v>
          </cell>
          <cell r="I102">
            <v>1.3089590682873697</v>
          </cell>
          <cell r="J102">
            <v>1.3089590682873698E-3</v>
          </cell>
          <cell r="K102">
            <v>73.800280816679418</v>
          </cell>
          <cell r="L102">
            <v>7.3800280816679414E-2</v>
          </cell>
          <cell r="M102">
            <v>1458.3286320119678</v>
          </cell>
        </row>
        <row r="103">
          <cell r="A103" t="str">
            <v>90100117</v>
          </cell>
          <cell r="B103" t="str">
            <v>RELLENO DE ESPINACA Y POLLO KILO</v>
          </cell>
          <cell r="C103">
            <v>0</v>
          </cell>
          <cell r="D103">
            <v>0</v>
          </cell>
          <cell r="E103" t="str">
            <v>Kilo</v>
          </cell>
          <cell r="F103" t="str">
            <v>Gramo</v>
          </cell>
          <cell r="G103">
            <v>3360.121828270233</v>
          </cell>
          <cell r="H103">
            <v>3.3601218282702332</v>
          </cell>
          <cell r="I103">
            <v>28.214454420500349</v>
          </cell>
          <cell r="J103">
            <v>2.821445442050035E-2</v>
          </cell>
          <cell r="K103">
            <v>229.09293478260872</v>
          </cell>
          <cell r="L103">
            <v>0.22909293478260873</v>
          </cell>
          <cell r="M103">
            <v>3617.4292174733419</v>
          </cell>
        </row>
        <row r="104">
          <cell r="A104" t="str">
            <v>908000008</v>
          </cell>
          <cell r="B104" t="str">
            <v>COCCION ESPINACA SALTEADA KILO</v>
          </cell>
          <cell r="C104" t="str">
            <v>ESP-RE-COCS-008</v>
          </cell>
          <cell r="D104" t="str">
            <v>03</v>
          </cell>
          <cell r="E104" t="str">
            <v>Kilo</v>
          </cell>
          <cell r="F104" t="str">
            <v>Gramo</v>
          </cell>
          <cell r="G104">
            <v>4330.9797272727274</v>
          </cell>
          <cell r="H104">
            <v>4.3309797272727275</v>
          </cell>
          <cell r="I104">
            <v>58.237012987012989</v>
          </cell>
          <cell r="J104">
            <v>5.823701298701299E-2</v>
          </cell>
          <cell r="K104">
            <v>357.11500000000001</v>
          </cell>
          <cell r="L104">
            <v>0.35711500000000002</v>
          </cell>
          <cell r="M104">
            <v>4746.3317402597404</v>
          </cell>
        </row>
        <row r="105">
          <cell r="A105" t="str">
            <v>95289</v>
          </cell>
          <cell r="B105" t="str">
            <v>COCCION ARROZ BLANCO KILO</v>
          </cell>
          <cell r="C105" t="str">
            <v>ESP-RE-COS-009</v>
          </cell>
          <cell r="D105" t="str">
            <v>15</v>
          </cell>
          <cell r="E105" t="str">
            <v>Kilo</v>
          </cell>
          <cell r="F105" t="str">
            <v>Gramo</v>
          </cell>
          <cell r="G105">
            <v>618.74202225307158</v>
          </cell>
          <cell r="H105">
            <v>0.61874202225307162</v>
          </cell>
          <cell r="I105">
            <v>22.815251849242692</v>
          </cell>
          <cell r="J105">
            <v>2.2815251849242692E-2</v>
          </cell>
          <cell r="K105">
            <v>38.72</v>
          </cell>
          <cell r="L105">
            <v>3.8719999999999997E-2</v>
          </cell>
          <cell r="M105">
            <v>680.27727410231432</v>
          </cell>
        </row>
        <row r="106">
          <cell r="A106" t="str">
            <v>901000024</v>
          </cell>
          <cell r="B106" t="str">
            <v>PREMEZCLA P/PASTA HOJALDRE KILO</v>
          </cell>
          <cell r="C106" t="str">
            <v>ESP-RE-PRES-024</v>
          </cell>
          <cell r="D106" t="str">
            <v>06</v>
          </cell>
          <cell r="E106" t="str">
            <v>Kilo</v>
          </cell>
          <cell r="F106" t="str">
            <v>Gramo</v>
          </cell>
          <cell r="G106">
            <v>710.91862378064855</v>
          </cell>
          <cell r="H106">
            <v>0.71091862378064852</v>
          </cell>
          <cell r="I106">
            <v>3.6866156955795759</v>
          </cell>
          <cell r="J106">
            <v>3.686615695579576E-3</v>
          </cell>
          <cell r="K106">
            <v>10.835000000000001</v>
          </cell>
          <cell r="L106">
            <v>1.0835000000000001E-2</v>
          </cell>
          <cell r="M106">
            <v>725.44023947622816</v>
          </cell>
        </row>
        <row r="107">
          <cell r="A107" t="str">
            <v>906000032</v>
          </cell>
          <cell r="B107" t="str">
            <v>PASTA HOJALDRE KILO</v>
          </cell>
          <cell r="C107" t="str">
            <v>ESP-RE-PAPS-005</v>
          </cell>
          <cell r="D107" t="str">
            <v>04</v>
          </cell>
          <cell r="E107" t="str">
            <v>Kilo</v>
          </cell>
          <cell r="F107" t="str">
            <v>Gramo</v>
          </cell>
          <cell r="G107">
            <v>583.94594901960784</v>
          </cell>
          <cell r="H107">
            <v>0.58394594901960784</v>
          </cell>
          <cell r="I107">
            <v>2.9504575163398687</v>
          </cell>
          <cell r="J107">
            <v>2.9504575163398689E-3</v>
          </cell>
          <cell r="K107">
            <v>81.758265686274513</v>
          </cell>
          <cell r="L107">
            <v>8.1758265686274506E-2</v>
          </cell>
          <cell r="M107">
            <v>668.65467222222219</v>
          </cell>
        </row>
        <row r="108">
          <cell r="A108" t="str">
            <v>96277</v>
          </cell>
          <cell r="B108" t="str">
            <v>ARREGLADOS HOJALDRE GRANDE (UND)</v>
          </cell>
          <cell r="C108" t="str">
            <v>ESP-RE-PAPS-019</v>
          </cell>
          <cell r="D108" t="str">
            <v>07</v>
          </cell>
          <cell r="E108" t="str">
            <v>Und</v>
          </cell>
          <cell r="F108" t="str">
            <v>Und</v>
          </cell>
          <cell r="G108">
            <v>71.124132579185527</v>
          </cell>
          <cell r="H108">
            <v>71.124132579185527</v>
          </cell>
          <cell r="I108">
            <v>1.5712066365007542</v>
          </cell>
          <cell r="J108">
            <v>1.5712066365007542</v>
          </cell>
          <cell r="K108">
            <v>14.713646040723983</v>
          </cell>
          <cell r="L108">
            <v>14.713646040723983</v>
          </cell>
          <cell r="M108">
            <v>87.408985256410261</v>
          </cell>
        </row>
        <row r="109">
          <cell r="A109" t="str">
            <v>95615</v>
          </cell>
          <cell r="B109" t="str">
            <v>BASE PREMEZCLA PASTA FROLA KILO</v>
          </cell>
          <cell r="C109" t="str">
            <v>ESP-RE-PRES-025</v>
          </cell>
          <cell r="D109" t="str">
            <v>08</v>
          </cell>
          <cell r="E109" t="str">
            <v>Kilo</v>
          </cell>
          <cell r="F109" t="str">
            <v>Gramo</v>
          </cell>
          <cell r="G109">
            <v>747.26340222634508</v>
          </cell>
          <cell r="H109">
            <v>0.74726340222634513</v>
          </cell>
          <cell r="I109">
            <v>4.1496598639455788</v>
          </cell>
          <cell r="J109">
            <v>4.1496598639455791E-3</v>
          </cell>
          <cell r="K109">
            <v>15.290000000000001</v>
          </cell>
          <cell r="L109">
            <v>1.5290000000000002E-2</v>
          </cell>
          <cell r="M109">
            <v>766.70306209029059</v>
          </cell>
        </row>
        <row r="110">
          <cell r="A110" t="str">
            <v>908000056</v>
          </cell>
          <cell r="B110" t="str">
            <v>COCCION POLLO DESMEN MARMITA KILO</v>
          </cell>
          <cell r="C110" t="str">
            <v>ESP-RE-COCS-083</v>
          </cell>
          <cell r="D110" t="str">
            <v>17</v>
          </cell>
          <cell r="E110" t="str">
            <v>Kilo</v>
          </cell>
          <cell r="F110" t="str">
            <v>Gramo</v>
          </cell>
          <cell r="G110">
            <v>4368.904010416667</v>
          </cell>
          <cell r="H110">
            <v>4.3689040104166672</v>
          </cell>
          <cell r="I110">
            <v>0.7</v>
          </cell>
          <cell r="J110">
            <v>6.9999999999999999E-4</v>
          </cell>
          <cell r="K110">
            <v>154.715</v>
          </cell>
          <cell r="L110">
            <v>0.15471499999999999</v>
          </cell>
          <cell r="M110">
            <v>4524.319010416667</v>
          </cell>
        </row>
        <row r="111">
          <cell r="A111" t="str">
            <v>909000003</v>
          </cell>
          <cell r="B111" t="str">
            <v>RELLENO POLLO P/PASTEL KILO</v>
          </cell>
          <cell r="C111" t="str">
            <v>ESP-RE-COCS-031</v>
          </cell>
          <cell r="D111" t="str">
            <v>06</v>
          </cell>
          <cell r="E111" t="str">
            <v>Kilo</v>
          </cell>
          <cell r="F111" t="str">
            <v>Gramo</v>
          </cell>
          <cell r="G111">
            <v>3233.0800458468307</v>
          </cell>
          <cell r="H111">
            <v>3.2330800458468305</v>
          </cell>
          <cell r="I111">
            <v>5.1915823358250943</v>
          </cell>
          <cell r="J111">
            <v>5.1915823358250944E-3</v>
          </cell>
          <cell r="K111">
            <v>162.46127320954906</v>
          </cell>
          <cell r="L111">
            <v>0.16246127320954906</v>
          </cell>
          <cell r="M111">
            <v>3400.7329013922044</v>
          </cell>
        </row>
        <row r="112">
          <cell r="A112" t="str">
            <v>906000034</v>
          </cell>
          <cell r="B112" t="str">
            <v>PASTA FROLA KILO</v>
          </cell>
          <cell r="C112" t="str">
            <v>ESP-RE-PAPS-013</v>
          </cell>
          <cell r="D112" t="str">
            <v>03</v>
          </cell>
          <cell r="E112" t="str">
            <v>Kilo</v>
          </cell>
          <cell r="F112" t="str">
            <v>Gramo</v>
          </cell>
          <cell r="G112">
            <v>692.11522360201695</v>
          </cell>
          <cell r="H112">
            <v>0.69211522360201694</v>
          </cell>
          <cell r="I112">
            <v>3.3666992799979933</v>
          </cell>
          <cell r="J112">
            <v>3.3666992799979934E-3</v>
          </cell>
          <cell r="K112">
            <v>86.65507262738015</v>
          </cell>
          <cell r="L112">
            <v>8.6655072627380147E-2</v>
          </cell>
          <cell r="M112">
            <v>782.13699550939509</v>
          </cell>
        </row>
        <row r="113">
          <cell r="A113" t="str">
            <v>905000011</v>
          </cell>
          <cell r="B113" t="str">
            <v>RELLENO POLLO LAPIZ KILO</v>
          </cell>
          <cell r="C113" t="str">
            <v xml:space="preserve">ESP-RE-COFS-058 </v>
          </cell>
          <cell r="D113" t="str">
            <v>10</v>
          </cell>
          <cell r="E113" t="str">
            <v>Kilo</v>
          </cell>
          <cell r="F113" t="str">
            <v>Gramo</v>
          </cell>
          <cell r="G113">
            <v>2629.3587883951832</v>
          </cell>
          <cell r="H113">
            <v>2.6293587883951832</v>
          </cell>
          <cell r="I113">
            <v>25.241002650542903</v>
          </cell>
          <cell r="J113">
            <v>2.5241002650542903E-2</v>
          </cell>
          <cell r="K113">
            <v>136.34058823529412</v>
          </cell>
          <cell r="L113">
            <v>0.13634058823529413</v>
          </cell>
          <cell r="M113">
            <v>2790.9403792810203</v>
          </cell>
        </row>
        <row r="114">
          <cell r="A114" t="str">
            <v>908000015</v>
          </cell>
          <cell r="B114" t="str">
            <v>COCCION FRIJOLES TIERNOS P/CHIFRIJO</v>
          </cell>
          <cell r="C114" t="str">
            <v xml:space="preserve">ESP-RE-COCS-017 </v>
          </cell>
          <cell r="D114" t="str">
            <v>13</v>
          </cell>
          <cell r="E114" t="str">
            <v>Kilo</v>
          </cell>
          <cell r="F114" t="str">
            <v>Gramo</v>
          </cell>
          <cell r="G114">
            <v>2811.2868849503434</v>
          </cell>
          <cell r="H114">
            <v>2.8112868849503432</v>
          </cell>
          <cell r="I114">
            <v>23.294805194805193</v>
          </cell>
          <cell r="J114">
            <v>2.3294805194805191E-2</v>
          </cell>
          <cell r="K114">
            <v>190.3</v>
          </cell>
          <cell r="L114">
            <v>0.19030000000000002</v>
          </cell>
          <cell r="M114">
            <v>3024.8816901451487</v>
          </cell>
        </row>
        <row r="115">
          <cell r="A115" t="str">
            <v>902000017</v>
          </cell>
          <cell r="B115" t="str">
            <v>BATIDO COCADA KILO</v>
          </cell>
          <cell r="C115" t="str">
            <v>ESP-RE-BAS-044</v>
          </cell>
          <cell r="D115" t="str">
            <v>06</v>
          </cell>
          <cell r="E115" t="str">
            <v>Kilo</v>
          </cell>
          <cell r="F115" t="str">
            <v>Gramo</v>
          </cell>
          <cell r="G115">
            <v>1918.7809943454713</v>
          </cell>
          <cell r="H115">
            <v>1.9187809943454712</v>
          </cell>
          <cell r="I115">
            <v>0</v>
          </cell>
          <cell r="J115">
            <v>0</v>
          </cell>
          <cell r="K115">
            <v>25.849999999999998</v>
          </cell>
          <cell r="L115">
            <v>2.5849999999999998E-2</v>
          </cell>
          <cell r="M115">
            <v>1944.6309943454712</v>
          </cell>
        </row>
        <row r="116">
          <cell r="A116" t="str">
            <v>903000002</v>
          </cell>
          <cell r="B116" t="str">
            <v>PLANCHA P/COCADAS 4300g (UND)</v>
          </cell>
          <cell r="C116" t="str">
            <v>ESP-RE-BAS-002</v>
          </cell>
          <cell r="D116" t="str">
            <v>05</v>
          </cell>
          <cell r="E116" t="str">
            <v>Und</v>
          </cell>
          <cell r="F116" t="str">
            <v>Und</v>
          </cell>
          <cell r="G116">
            <v>8304.1082756855267</v>
          </cell>
          <cell r="H116">
            <v>8304.1082756855267</v>
          </cell>
          <cell r="I116">
            <v>32</v>
          </cell>
          <cell r="J116">
            <v>32</v>
          </cell>
          <cell r="K116">
            <v>166.15499999999997</v>
          </cell>
          <cell r="L116">
            <v>166.15499999999997</v>
          </cell>
          <cell r="M116">
            <v>8502.2632756855273</v>
          </cell>
        </row>
        <row r="117">
          <cell r="A117" t="str">
            <v>905000006</v>
          </cell>
          <cell r="B117" t="str">
            <v>RELLENO POLLO P/EMPANADA KILO</v>
          </cell>
          <cell r="C117" t="str">
            <v>ESP-RE-COCS-029</v>
          </cell>
          <cell r="D117" t="str">
            <v>18</v>
          </cell>
          <cell r="E117" t="str">
            <v>Kilo</v>
          </cell>
          <cell r="F117" t="str">
            <v>Gramo</v>
          </cell>
          <cell r="G117">
            <v>2455.6595120842953</v>
          </cell>
          <cell r="H117">
            <v>2.4556595120842952</v>
          </cell>
          <cell r="I117">
            <v>0.29365853658536584</v>
          </cell>
          <cell r="J117">
            <v>2.9365853658536585E-4</v>
          </cell>
          <cell r="K117">
            <v>98.399829268292677</v>
          </cell>
          <cell r="L117">
            <v>9.8399829268292674E-2</v>
          </cell>
          <cell r="M117">
            <v>2554.3529998891736</v>
          </cell>
        </row>
        <row r="118">
          <cell r="A118" t="str">
            <v>909000001</v>
          </cell>
          <cell r="B118" t="str">
            <v>EMPAQ RELLENO POLLO EMPANADA KILO</v>
          </cell>
          <cell r="C118" t="str">
            <v>ESP-RE-EMPS-001</v>
          </cell>
          <cell r="D118" t="str">
            <v>06</v>
          </cell>
          <cell r="E118" t="str">
            <v>Kilo</v>
          </cell>
          <cell r="F118" t="str">
            <v>Gramo</v>
          </cell>
          <cell r="G118">
            <v>2455.6595120842953</v>
          </cell>
          <cell r="H118">
            <v>2.4556595120842952</v>
          </cell>
          <cell r="I118">
            <v>4.7984825365853663</v>
          </cell>
          <cell r="J118">
            <v>4.7984825365853662E-3</v>
          </cell>
          <cell r="K118">
            <v>116.54982926829268</v>
          </cell>
          <cell r="L118">
            <v>0.11654982926829269</v>
          </cell>
          <cell r="M118">
            <v>2577.0078238891733</v>
          </cell>
        </row>
        <row r="119">
          <cell r="A119" t="str">
            <v>906000004</v>
          </cell>
          <cell r="B119" t="str">
            <v>EMPANADA POLLO HOJALDRE GDE</v>
          </cell>
          <cell r="C119" t="str">
            <v>ESP-RE-PAPS-006</v>
          </cell>
          <cell r="D119" t="str">
            <v>04</v>
          </cell>
          <cell r="E119" t="str">
            <v>Und</v>
          </cell>
          <cell r="F119" t="str">
            <v>Und</v>
          </cell>
          <cell r="G119">
            <v>164.10452793446495</v>
          </cell>
          <cell r="H119">
            <v>164.10452793446495</v>
          </cell>
          <cell r="I119">
            <v>1.6755803217405663</v>
          </cell>
          <cell r="J119">
            <v>1.6755803217405663</v>
          </cell>
          <cell r="K119">
            <v>33.20515968540343</v>
          </cell>
          <cell r="L119">
            <v>33.20515968540343</v>
          </cell>
          <cell r="M119">
            <v>198.98526794160895</v>
          </cell>
        </row>
        <row r="120">
          <cell r="A120" t="str">
            <v>903000180</v>
          </cell>
          <cell r="B120" t="str">
            <v>CIRCULOS CHILENA INDIVIDUAL 14 cm</v>
          </cell>
          <cell r="C120" t="str">
            <v>ESP-RE-PAPS-103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52.458613417906456</v>
          </cell>
          <cell r="H120">
            <v>52.458613417906456</v>
          </cell>
          <cell r="I120">
            <v>0.22570392444444451</v>
          </cell>
          <cell r="J120">
            <v>0.22570392444444451</v>
          </cell>
          <cell r="K120">
            <v>15.149182619999999</v>
          </cell>
          <cell r="L120">
            <v>15.149182619999999</v>
          </cell>
          <cell r="M120">
            <v>67.833499962350899</v>
          </cell>
        </row>
        <row r="121">
          <cell r="A121" t="str">
            <v>96197</v>
          </cell>
          <cell r="B121" t="str">
            <v>MEZCLA DE YEMA PARA PINTAR KILO</v>
          </cell>
          <cell r="C121">
            <v>0</v>
          </cell>
          <cell r="D121">
            <v>0</v>
          </cell>
          <cell r="E121" t="str">
            <v>Kilo</v>
          </cell>
          <cell r="F121" t="str">
            <v>Gramo</v>
          </cell>
          <cell r="G121">
            <v>1695.5782863636364</v>
          </cell>
          <cell r="H121">
            <v>1.6955782863636364</v>
          </cell>
          <cell r="I121">
            <v>0</v>
          </cell>
          <cell r="J121">
            <v>0</v>
          </cell>
          <cell r="K121">
            <v>37.949999999999996</v>
          </cell>
          <cell r="L121">
            <v>3.7949999999999998E-2</v>
          </cell>
          <cell r="M121">
            <v>1733.5282863636364</v>
          </cell>
        </row>
        <row r="122">
          <cell r="A122" t="str">
            <v>903000161</v>
          </cell>
          <cell r="B122" t="str">
            <v xml:space="preserve">RUEDA FROLA EMPANADA TRES QUESOS </v>
          </cell>
          <cell r="C122" t="str">
            <v>ESP-RE-PAPS-176</v>
          </cell>
          <cell r="D122" t="str">
            <v>01</v>
          </cell>
          <cell r="E122" t="str">
            <v>Und</v>
          </cell>
          <cell r="F122" t="str">
            <v>Und</v>
          </cell>
          <cell r="G122">
            <v>16.962875366448404</v>
          </cell>
          <cell r="H122">
            <v>16.962875366448404</v>
          </cell>
          <cell r="I122">
            <v>8.0800782719951836E-2</v>
          </cell>
          <cell r="J122">
            <v>8.0800782719951836E-2</v>
          </cell>
          <cell r="K122">
            <v>11.209721743057123</v>
          </cell>
          <cell r="L122">
            <v>11.209721743057123</v>
          </cell>
          <cell r="M122">
            <v>28.253397892225479</v>
          </cell>
        </row>
        <row r="123">
          <cell r="A123" t="str">
            <v>90100137</v>
          </cell>
          <cell r="B123" t="str">
            <v>EMPAQUE HARINA ESTANDAR (KILO)</v>
          </cell>
          <cell r="C123" t="str">
            <v>ESP-RE-PRES-109</v>
          </cell>
          <cell r="D123" t="str">
            <v>01</v>
          </cell>
          <cell r="E123" t="str">
            <v>Kilo</v>
          </cell>
          <cell r="F123" t="str">
            <v>Gramo</v>
          </cell>
          <cell r="G123">
            <v>469.48</v>
          </cell>
          <cell r="H123">
            <v>0.46948000000000001</v>
          </cell>
          <cell r="I123">
            <v>7.0922666666666681</v>
          </cell>
          <cell r="J123">
            <v>7.0922666666666679E-3</v>
          </cell>
          <cell r="K123">
            <v>11</v>
          </cell>
          <cell r="L123">
            <v>1.0999999999999999E-2</v>
          </cell>
          <cell r="M123">
            <v>487.57226666666668</v>
          </cell>
        </row>
        <row r="124">
          <cell r="A124" t="str">
            <v>905000012</v>
          </cell>
          <cell r="B124" t="str">
            <v>RELLENO TRES QUESOS KILO</v>
          </cell>
          <cell r="C124" t="str">
            <v>ESP-RE-COCS-068</v>
          </cell>
          <cell r="D124" t="str">
            <v>02</v>
          </cell>
          <cell r="E124" t="str">
            <v>Kilo</v>
          </cell>
          <cell r="F124" t="str">
            <v>Gramo</v>
          </cell>
          <cell r="G124">
            <v>4065.0817691176471</v>
          </cell>
          <cell r="H124">
            <v>4.0650817691176471</v>
          </cell>
          <cell r="I124">
            <v>7.3955961640091115</v>
          </cell>
          <cell r="J124">
            <v>7.3955961640091118E-3</v>
          </cell>
          <cell r="K124">
            <v>111.0175</v>
          </cell>
          <cell r="L124">
            <v>0.11101750000000001</v>
          </cell>
          <cell r="M124">
            <v>4183.4948652816565</v>
          </cell>
        </row>
        <row r="125">
          <cell r="A125" t="str">
            <v>906000027</v>
          </cell>
          <cell r="B125" t="str">
            <v>EMPANADA TRES QUESOS (UND)</v>
          </cell>
          <cell r="C125" t="str">
            <v>ESP-RE-PAPS-036</v>
          </cell>
          <cell r="D125" t="str">
            <v>03</v>
          </cell>
          <cell r="E125" t="str">
            <v>Und</v>
          </cell>
          <cell r="F125" t="str">
            <v>Und</v>
          </cell>
          <cell r="G125">
            <v>91.16702405620363</v>
          </cell>
          <cell r="H125">
            <v>91.16702405620363</v>
          </cell>
          <cell r="I125">
            <v>0.22365545779711585</v>
          </cell>
          <cell r="J125">
            <v>0.22365545779711585</v>
          </cell>
          <cell r="K125">
            <v>22.364618243057123</v>
          </cell>
          <cell r="L125">
            <v>22.364618243057123</v>
          </cell>
          <cell r="M125">
            <v>113.75529775705787</v>
          </cell>
        </row>
        <row r="126">
          <cell r="A126" t="str">
            <v>907000005</v>
          </cell>
          <cell r="B126" t="str">
            <v>MEZCLA P/FLAN COCO SPOON KILO</v>
          </cell>
          <cell r="C126" t="str">
            <v>ESP-RE-POS-018</v>
          </cell>
          <cell r="D126" t="str">
            <v>04</v>
          </cell>
          <cell r="E126" t="str">
            <v>Kilo</v>
          </cell>
          <cell r="F126" t="str">
            <v>Gramo</v>
          </cell>
          <cell r="G126">
            <v>1769.9566478571433</v>
          </cell>
          <cell r="H126">
            <v>1.7699566478571434</v>
          </cell>
          <cell r="I126">
            <v>0</v>
          </cell>
          <cell r="J126">
            <v>0</v>
          </cell>
          <cell r="K126">
            <v>39.269999999999996</v>
          </cell>
          <cell r="L126">
            <v>3.9269999999999999E-2</v>
          </cell>
          <cell r="M126">
            <v>1809.2266478571432</v>
          </cell>
        </row>
        <row r="127">
          <cell r="A127" t="str">
            <v>908000060</v>
          </cell>
          <cell r="B127" t="str">
            <v>BASTONES QUESO TURRIALBA KILO</v>
          </cell>
          <cell r="C127">
            <v>0</v>
          </cell>
          <cell r="D127">
            <v>0</v>
          </cell>
          <cell r="E127" t="str">
            <v>Kilo</v>
          </cell>
          <cell r="F127" t="str">
            <v>Gramo</v>
          </cell>
          <cell r="G127">
            <v>3182.836046511628</v>
          </cell>
          <cell r="H127">
            <v>3.1828360465116279</v>
          </cell>
          <cell r="I127">
            <v>1.2494186046511631</v>
          </cell>
          <cell r="J127">
            <v>1.2494186046511631E-3</v>
          </cell>
          <cell r="K127">
            <v>89.100000000000009</v>
          </cell>
          <cell r="L127">
            <v>8.9100000000000013E-2</v>
          </cell>
          <cell r="M127">
            <v>3273.1854651162789</v>
          </cell>
        </row>
        <row r="128">
          <cell r="A128" t="str">
            <v>901000204</v>
          </cell>
          <cell r="B128" t="str">
            <v>TIQUEÑOS DE QUESO UND</v>
          </cell>
          <cell r="C128" t="str">
            <v>ESP-RE-COCS-214</v>
          </cell>
          <cell r="D128" t="str">
            <v>03</v>
          </cell>
          <cell r="E128" t="str">
            <v>Und</v>
          </cell>
          <cell r="F128" t="str">
            <v>Und</v>
          </cell>
          <cell r="G128">
            <v>51.287347621219027</v>
          </cell>
          <cell r="H128">
            <v>51.287347621219027</v>
          </cell>
          <cell r="I128">
            <v>9.2549526270456518E-3</v>
          </cell>
          <cell r="J128">
            <v>9.2549526270456518E-3</v>
          </cell>
          <cell r="K128">
            <v>5.72</v>
          </cell>
          <cell r="L128">
            <v>5.72</v>
          </cell>
          <cell r="M128">
            <v>57.016602573846072</v>
          </cell>
        </row>
        <row r="129">
          <cell r="A129" t="str">
            <v>901000112</v>
          </cell>
          <cell r="B129" t="str">
            <v>COCCION PICADILLO PLATANO CON CHORIZO KILO</v>
          </cell>
          <cell r="C129" t="str">
            <v>ESP-RE-COCS-141</v>
          </cell>
          <cell r="D129" t="str">
            <v>03</v>
          </cell>
          <cell r="E129" t="str">
            <v>Kilo</v>
          </cell>
          <cell r="F129" t="str">
            <v>Gramo</v>
          </cell>
          <cell r="G129">
            <v>1838.1908910423144</v>
          </cell>
          <cell r="H129">
            <v>1.8381908910423144</v>
          </cell>
          <cell r="I129">
            <v>0</v>
          </cell>
          <cell r="J129">
            <v>0</v>
          </cell>
          <cell r="K129">
            <v>82.83</v>
          </cell>
          <cell r="L129">
            <v>8.2830000000000001E-2</v>
          </cell>
          <cell r="M129">
            <v>1921.0208910423144</v>
          </cell>
        </row>
        <row r="130">
          <cell r="A130" t="str">
            <v>905000007</v>
          </cell>
          <cell r="B130" t="str">
            <v>RELLENO PALMITO P/PASTEL (KILO)</v>
          </cell>
          <cell r="C130" t="str">
            <v>ESP-RE-COCS-030</v>
          </cell>
          <cell r="D130" t="str">
            <v>08</v>
          </cell>
          <cell r="E130" t="str">
            <v>Kilo</v>
          </cell>
          <cell r="F130" t="str">
            <v>Gramo</v>
          </cell>
          <cell r="G130">
            <v>1737.7668448772984</v>
          </cell>
          <cell r="H130">
            <v>1.7377668448772983</v>
          </cell>
          <cell r="I130">
            <v>14.064905286277517</v>
          </cell>
          <cell r="J130">
            <v>1.4064905286277516E-2</v>
          </cell>
          <cell r="K130">
            <v>89.76623711340207</v>
          </cell>
          <cell r="L130">
            <v>8.9766237113402064E-2</v>
          </cell>
          <cell r="M130">
            <v>1841.5979872769778</v>
          </cell>
        </row>
        <row r="131">
          <cell r="A131" t="str">
            <v>903000128</v>
          </cell>
          <cell r="B131" t="str">
            <v>SOMBRERO PALMITO 65g UND</v>
          </cell>
          <cell r="C131" t="str">
            <v>ESP-RE-PAPS-146</v>
          </cell>
          <cell r="D131" t="str">
            <v>01</v>
          </cell>
          <cell r="E131" t="str">
            <v>Und</v>
          </cell>
          <cell r="F131" t="str">
            <v>Und</v>
          </cell>
          <cell r="G131">
            <v>73.682873041404633</v>
          </cell>
          <cell r="H131">
            <v>73.682873041404633</v>
          </cell>
          <cell r="I131">
            <v>1.0311755408568577</v>
          </cell>
          <cell r="J131">
            <v>1.0311755408568577</v>
          </cell>
          <cell r="K131">
            <v>36.869875499596922</v>
          </cell>
          <cell r="L131">
            <v>36.869875499596922</v>
          </cell>
          <cell r="M131">
            <v>111.58392408185841</v>
          </cell>
        </row>
        <row r="132">
          <cell r="A132" t="str">
            <v>903000026</v>
          </cell>
          <cell r="B132" t="str">
            <v>ROSQUETE TRES LECHES 430g</v>
          </cell>
          <cell r="C132" t="str">
            <v>ESP-RE-BAS-039</v>
          </cell>
          <cell r="D132" t="str">
            <v>15</v>
          </cell>
          <cell r="E132" t="str">
            <v>Und</v>
          </cell>
          <cell r="F132" t="str">
            <v>Und</v>
          </cell>
          <cell r="G132">
            <v>363.5845083234899</v>
          </cell>
          <cell r="H132">
            <v>363.5845083234899</v>
          </cell>
          <cell r="I132">
            <v>207.45416342460317</v>
          </cell>
          <cell r="J132">
            <v>207.45416342460317</v>
          </cell>
          <cell r="K132">
            <v>37.739365714285711</v>
          </cell>
          <cell r="L132">
            <v>37.739365714285711</v>
          </cell>
          <cell r="M132">
            <v>608.77803746237873</v>
          </cell>
        </row>
        <row r="133">
          <cell r="A133" t="str">
            <v>903000154</v>
          </cell>
          <cell r="B133" t="str">
            <v>RUEDA HOJALDRE EMPANADA POLLO PEQ</v>
          </cell>
          <cell r="C133" t="str">
            <v>ESP-RE-PAPS-173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14.950758725490196</v>
          </cell>
          <cell r="H133">
            <v>14.950758725490196</v>
          </cell>
          <cell r="I133">
            <v>7.3761437908496721E-2</v>
          </cell>
          <cell r="J133">
            <v>7.3761437908496721E-2</v>
          </cell>
          <cell r="K133">
            <v>11.173956642156863</v>
          </cell>
          <cell r="L133">
            <v>11.173956642156863</v>
          </cell>
          <cell r="M133">
            <v>26.198476805555558</v>
          </cell>
        </row>
        <row r="134">
          <cell r="A134" t="str">
            <v>906000005</v>
          </cell>
          <cell r="B134" t="str">
            <v>EMPANADA POLLO PEQUEÑA UND</v>
          </cell>
          <cell r="C134" t="str">
            <v>ESP-RE-PAPS-007</v>
          </cell>
          <cell r="D134" t="str">
            <v>05</v>
          </cell>
          <cell r="E134" t="str">
            <v>Und</v>
          </cell>
          <cell r="F134" t="str">
            <v>Und</v>
          </cell>
          <cell r="G134">
            <v>53.648304740087958</v>
          </cell>
          <cell r="H134">
            <v>53.648304740087958</v>
          </cell>
          <cell r="I134">
            <v>1.2335921870683881</v>
          </cell>
          <cell r="J134">
            <v>1.2335921870683881</v>
          </cell>
          <cell r="K134">
            <v>26.679537414514584</v>
          </cell>
          <cell r="L134">
            <v>26.679537414514584</v>
          </cell>
          <cell r="M134">
            <v>81.561434341670932</v>
          </cell>
        </row>
        <row r="135">
          <cell r="A135" t="str">
            <v>908000018</v>
          </cell>
          <cell r="B135" t="str">
            <v>COCCION SOPA AZTECA KILO</v>
          </cell>
          <cell r="C135" t="str">
            <v>ESP-RE-COCS-028</v>
          </cell>
          <cell r="D135" t="str">
            <v>17</v>
          </cell>
          <cell r="E135" t="str">
            <v>Kilo</v>
          </cell>
          <cell r="F135" t="str">
            <v>Gramo</v>
          </cell>
          <cell r="G135">
            <v>1006.498368851122</v>
          </cell>
          <cell r="H135">
            <v>1.006498368851122</v>
          </cell>
          <cell r="I135">
            <v>0</v>
          </cell>
          <cell r="J135">
            <v>0</v>
          </cell>
          <cell r="K135">
            <v>47.685000000000002</v>
          </cell>
          <cell r="L135">
            <v>4.7685000000000005E-2</v>
          </cell>
          <cell r="M135">
            <v>1054.1833688511219</v>
          </cell>
        </row>
        <row r="136">
          <cell r="A136" t="str">
            <v>903000155</v>
          </cell>
          <cell r="B136" t="str">
            <v>CUADRO HOJALDRE ENCHILADA PAPA Y CARNE</v>
          </cell>
          <cell r="C136" t="str">
            <v>ESP-RE-PAPS-172</v>
          </cell>
          <cell r="D136" t="str">
            <v>01</v>
          </cell>
          <cell r="E136" t="str">
            <v>Und</v>
          </cell>
          <cell r="F136" t="str">
            <v>Und</v>
          </cell>
          <cell r="G136">
            <v>23.749000961784311</v>
          </cell>
          <cell r="H136">
            <v>23.749000961784311</v>
          </cell>
          <cell r="I136">
            <v>0.11801830065359475</v>
          </cell>
          <cell r="J136">
            <v>0.11801830065359475</v>
          </cell>
          <cell r="K136">
            <v>12.40033062745098</v>
          </cell>
          <cell r="L136">
            <v>12.40033062745098</v>
          </cell>
          <cell r="M136">
            <v>36.267349889888891</v>
          </cell>
        </row>
        <row r="137">
          <cell r="A137" t="str">
            <v>95460</v>
          </cell>
          <cell r="B137" t="str">
            <v>COCCION CARNE MECHADA KILO</v>
          </cell>
          <cell r="C137" t="str">
            <v>ESP-RE-COCS-057</v>
          </cell>
          <cell r="D137" t="str">
            <v>11</v>
          </cell>
          <cell r="E137" t="str">
            <v>Kilo</v>
          </cell>
          <cell r="F137" t="str">
            <v>Gramo</v>
          </cell>
          <cell r="G137">
            <v>6275.7555059523802</v>
          </cell>
          <cell r="H137">
            <v>6.2757555059523806</v>
          </cell>
          <cell r="I137">
            <v>11.444642857142856</v>
          </cell>
          <cell r="J137">
            <v>1.1444642857142856E-2</v>
          </cell>
          <cell r="K137">
            <v>183.33333333333331</v>
          </cell>
          <cell r="L137">
            <v>0.18333333333333332</v>
          </cell>
          <cell r="M137">
            <v>6470.533482142856</v>
          </cell>
        </row>
        <row r="138">
          <cell r="A138" t="str">
            <v>905000073</v>
          </cell>
          <cell r="B138" t="str">
            <v>RELLENO PAPA C/CARNE  ENCHILADA KILO</v>
          </cell>
          <cell r="C138" t="str">
            <v xml:space="preserve">ESP-RE-COCS-077 </v>
          </cell>
          <cell r="D138" t="str">
            <v>02</v>
          </cell>
          <cell r="E138" t="str">
            <v>Kilo</v>
          </cell>
          <cell r="F138" t="str">
            <v>Gramo</v>
          </cell>
          <cell r="G138">
            <v>2229.4880460901027</v>
          </cell>
          <cell r="H138">
            <v>2.2294880460901028</v>
          </cell>
          <cell r="I138">
            <v>1.907440476190476</v>
          </cell>
          <cell r="J138">
            <v>1.907440476190476E-3</v>
          </cell>
          <cell r="K138">
            <v>168.05555555555554</v>
          </cell>
          <cell r="L138">
            <v>0.16805555555555554</v>
          </cell>
          <cell r="M138">
            <v>2399.4510421218488</v>
          </cell>
        </row>
        <row r="139">
          <cell r="A139" t="str">
            <v>909000021</v>
          </cell>
          <cell r="B139" t="str">
            <v>EMPAQ RELL CARNE/PAPA ENCHILADA KILO</v>
          </cell>
          <cell r="C139" t="str">
            <v xml:space="preserve">ESP-RE-EMPS-016 </v>
          </cell>
          <cell r="D139" t="str">
            <v>01</v>
          </cell>
          <cell r="E139" t="str">
            <v>Kilo</v>
          </cell>
          <cell r="F139" t="str">
            <v>Gramo</v>
          </cell>
          <cell r="G139">
            <v>2229.4880460901027</v>
          </cell>
          <cell r="H139">
            <v>2.2294880460901028</v>
          </cell>
          <cell r="I139">
            <v>7.884662698412698</v>
          </cell>
          <cell r="J139">
            <v>7.8846626984126981E-3</v>
          </cell>
          <cell r="K139">
            <v>209.30555555555554</v>
          </cell>
          <cell r="L139">
            <v>0.20930555555555555</v>
          </cell>
          <cell r="M139">
            <v>2446.6782643440711</v>
          </cell>
        </row>
        <row r="140">
          <cell r="A140" t="str">
            <v>903000127</v>
          </cell>
          <cell r="B140" t="str">
            <v>ENCHILADA DE CARNE CON PAPA UND</v>
          </cell>
          <cell r="C140" t="str">
            <v xml:space="preserve">ESP-RE-PAPS-144  </v>
          </cell>
          <cell r="D140" t="str">
            <v>03</v>
          </cell>
          <cell r="E140" t="str">
            <v>Und</v>
          </cell>
          <cell r="F140" t="str">
            <v>Und</v>
          </cell>
          <cell r="G140">
            <v>113.58108773775082</v>
          </cell>
          <cell r="H140">
            <v>113.58108773775082</v>
          </cell>
          <cell r="I140">
            <v>0.94763447734010264</v>
          </cell>
          <cell r="J140">
            <v>0.94763447734010264</v>
          </cell>
          <cell r="K140">
            <v>23.531811183006536</v>
          </cell>
          <cell r="L140">
            <v>23.531811183006536</v>
          </cell>
          <cell r="M140">
            <v>138.06053339809745</v>
          </cell>
        </row>
        <row r="141">
          <cell r="A141" t="str">
            <v>90100084</v>
          </cell>
          <cell r="B141" t="str">
            <v>COCCION PAPA PICADA KILO</v>
          </cell>
          <cell r="C141" t="str">
            <v>ESP-RE-COCS-138</v>
          </cell>
          <cell r="D141" t="str">
            <v>01</v>
          </cell>
          <cell r="E141" t="str">
            <v>Kilo</v>
          </cell>
          <cell r="F141" t="str">
            <v>Gramo</v>
          </cell>
          <cell r="G141">
            <v>1661.4766666666667</v>
          </cell>
          <cell r="H141">
            <v>1.6614766666666667</v>
          </cell>
          <cell r="I141">
            <v>2.1280000000000001</v>
          </cell>
          <cell r="J141">
            <v>2.1280000000000001E-3</v>
          </cell>
          <cell r="K141">
            <v>110</v>
          </cell>
          <cell r="L141">
            <v>0.11</v>
          </cell>
          <cell r="M141">
            <v>1773.6046666666666</v>
          </cell>
        </row>
        <row r="142">
          <cell r="A142" t="str">
            <v>908000055</v>
          </cell>
          <cell r="B142" t="str">
            <v>PURE PAPA NATURAL PLANTA KILO</v>
          </cell>
          <cell r="C142" t="str">
            <v>ESP-RE-COCS-082</v>
          </cell>
          <cell r="D142" t="str">
            <v>04</v>
          </cell>
          <cell r="E142" t="str">
            <v>Kilo</v>
          </cell>
          <cell r="F142" t="str">
            <v>Gramo</v>
          </cell>
          <cell r="G142">
            <v>1474.5056401646091</v>
          </cell>
          <cell r="H142">
            <v>1.4745056401646091</v>
          </cell>
          <cell r="I142">
            <v>6.4150617283950631</v>
          </cell>
          <cell r="J142">
            <v>6.4150617283950627E-3</v>
          </cell>
          <cell r="K142">
            <v>162.67098765432098</v>
          </cell>
          <cell r="L142">
            <v>0.16267098765432098</v>
          </cell>
          <cell r="M142">
            <v>1643.5916895473251</v>
          </cell>
        </row>
        <row r="143">
          <cell r="A143" t="str">
            <v>906000008</v>
          </cell>
          <cell r="B143" t="str">
            <v>PASTEL DE PALMITO PERSONAL (UND)</v>
          </cell>
          <cell r="C143" t="str">
            <v>ESP-RE-PAPS-011</v>
          </cell>
          <cell r="D143" t="str">
            <v>07</v>
          </cell>
          <cell r="E143" t="str">
            <v>Und</v>
          </cell>
          <cell r="F143" t="str">
            <v>Und</v>
          </cell>
          <cell r="G143">
            <v>181.63570313050323</v>
          </cell>
          <cell r="H143">
            <v>181.63570313050323</v>
          </cell>
          <cell r="I143">
            <v>1.2613999226146044</v>
          </cell>
          <cell r="J143">
            <v>1.2613999226146044</v>
          </cell>
          <cell r="K143">
            <v>58.287046381544371</v>
          </cell>
          <cell r="L143">
            <v>58.287046381544371</v>
          </cell>
          <cell r="M143">
            <v>241.1841494346622</v>
          </cell>
        </row>
        <row r="144">
          <cell r="A144" t="str">
            <v>95369</v>
          </cell>
          <cell r="B144" t="str">
            <v>BASE PREMEZCLA QUEQUE SECO KILO</v>
          </cell>
          <cell r="C144" t="str">
            <v xml:space="preserve">ESP-RE-PRES-010 </v>
          </cell>
          <cell r="D144" t="str">
            <v>04</v>
          </cell>
          <cell r="E144" t="str">
            <v>Kilo</v>
          </cell>
          <cell r="F144" t="str">
            <v>Gramo</v>
          </cell>
          <cell r="G144">
            <v>1024.8410909090908</v>
          </cell>
          <cell r="H144">
            <v>1.0248410909090908</v>
          </cell>
          <cell r="I144">
            <v>13.450734893848667</v>
          </cell>
          <cell r="J144">
            <v>1.3450734893848668E-2</v>
          </cell>
          <cell r="K144">
            <v>37.400000000000006</v>
          </cell>
          <cell r="L144">
            <v>3.7400000000000003E-2</v>
          </cell>
          <cell r="M144">
            <v>1075.6918258029395</v>
          </cell>
        </row>
        <row r="145">
          <cell r="A145" t="str">
            <v>95345</v>
          </cell>
          <cell r="B145" t="str">
            <v>ROSQUETE QQ SECO C/PASAS (750g)</v>
          </cell>
          <cell r="C145" t="str">
            <v>ESP-RE-BAS-010</v>
          </cell>
          <cell r="D145" t="str">
            <v>06</v>
          </cell>
          <cell r="E145" t="str">
            <v>Und</v>
          </cell>
          <cell r="F145" t="str">
            <v>Und</v>
          </cell>
          <cell r="G145">
            <v>1548.6269858315186</v>
          </cell>
          <cell r="H145">
            <v>1548.6269858315186</v>
          </cell>
          <cell r="I145">
            <v>11.763518100532702</v>
          </cell>
          <cell r="J145">
            <v>11.763518100532702</v>
          </cell>
          <cell r="K145">
            <v>170.25642857142859</v>
          </cell>
          <cell r="L145">
            <v>170.25642857142859</v>
          </cell>
          <cell r="M145">
            <v>1730.64693250348</v>
          </cell>
        </row>
        <row r="146">
          <cell r="A146" t="str">
            <v>908000011</v>
          </cell>
          <cell r="B146" t="str">
            <v>ALMIBAR P/PLATANOS KILO</v>
          </cell>
          <cell r="C146" t="str">
            <v>ESP-RE-COCS-012</v>
          </cell>
          <cell r="D146" t="str">
            <v>03</v>
          </cell>
          <cell r="E146" t="str">
            <v>Kilo</v>
          </cell>
          <cell r="F146" t="str">
            <v>Gramo</v>
          </cell>
          <cell r="G146">
            <v>296.82930402930407</v>
          </cell>
          <cell r="H146">
            <v>0.29682930402930408</v>
          </cell>
          <cell r="I146">
            <v>0</v>
          </cell>
          <cell r="J146">
            <v>0</v>
          </cell>
          <cell r="K146">
            <v>11</v>
          </cell>
          <cell r="L146">
            <v>1.0999999999999999E-2</v>
          </cell>
          <cell r="M146">
            <v>307.82930402930407</v>
          </cell>
        </row>
        <row r="147">
          <cell r="A147" t="str">
            <v>908000023</v>
          </cell>
          <cell r="B147" t="str">
            <v>PLATANOS MADUROS FRITOS (KILO)</v>
          </cell>
          <cell r="C147" t="str">
            <v>ESP-RE-COCS-039</v>
          </cell>
          <cell r="D147" t="str">
            <v>10</v>
          </cell>
          <cell r="E147" t="str">
            <v>Kilo</v>
          </cell>
          <cell r="F147" t="str">
            <v>Gramo</v>
          </cell>
          <cell r="G147">
            <v>1389.6111050268316</v>
          </cell>
          <cell r="H147">
            <v>1.3896111050268316</v>
          </cell>
          <cell r="I147">
            <v>0</v>
          </cell>
          <cell r="J147">
            <v>0</v>
          </cell>
          <cell r="K147">
            <v>47.795000000000002</v>
          </cell>
          <cell r="L147">
            <v>4.7795000000000004E-2</v>
          </cell>
          <cell r="M147">
            <v>1437.4061050268317</v>
          </cell>
        </row>
        <row r="148">
          <cell r="A148" t="str">
            <v>901000051</v>
          </cell>
          <cell r="B148" t="str">
            <v>PREMEZCLA PASTA PIÑA SPOON KILO</v>
          </cell>
          <cell r="C148" t="str">
            <v>ESP-RE-PRES-055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780.0741444561005</v>
          </cell>
          <cell r="H148">
            <v>0.78007414445610046</v>
          </cell>
          <cell r="I148">
            <v>4.9790954009882178</v>
          </cell>
          <cell r="J148">
            <v>4.9790954009882177E-3</v>
          </cell>
          <cell r="K148">
            <v>49.72</v>
          </cell>
          <cell r="L148">
            <v>4.972E-2</v>
          </cell>
          <cell r="M148">
            <v>834.7732398570887</v>
          </cell>
        </row>
        <row r="149">
          <cell r="A149" t="str">
            <v>906000039</v>
          </cell>
          <cell r="B149" t="str">
            <v>PASTA P/EMPANADA PIÑA KILO</v>
          </cell>
          <cell r="C149" t="str">
            <v>ESP-RE-PAPS-041</v>
          </cell>
          <cell r="D149" t="str">
            <v>01</v>
          </cell>
          <cell r="E149" t="str">
            <v>Kilo</v>
          </cell>
          <cell r="F149" t="str">
            <v>Gramo</v>
          </cell>
          <cell r="G149">
            <v>1078.4760095074762</v>
          </cell>
          <cell r="H149">
            <v>1.0784760095074761</v>
          </cell>
          <cell r="I149">
            <v>10.001845357567888</v>
          </cell>
          <cell r="J149">
            <v>1.0001845357567887E-2</v>
          </cell>
          <cell r="K149">
            <v>131.7148068808828</v>
          </cell>
          <cell r="L149">
            <v>0.1317148068808828</v>
          </cell>
          <cell r="M149">
            <v>1220.1926617459269</v>
          </cell>
        </row>
        <row r="150">
          <cell r="A150" t="str">
            <v>90100098</v>
          </cell>
          <cell r="B150" t="str">
            <v>RELLENO PARA TARTA DE  ALMENDRAS KILO</v>
          </cell>
          <cell r="C150" t="str">
            <v>ESP-RE-POS-168</v>
          </cell>
          <cell r="D150" t="str">
            <v>01</v>
          </cell>
          <cell r="E150" t="str">
            <v>Kilo</v>
          </cell>
          <cell r="F150" t="str">
            <v>Gramo</v>
          </cell>
          <cell r="G150">
            <v>2070.9112810846214</v>
          </cell>
          <cell r="H150">
            <v>2.0709112810846215</v>
          </cell>
          <cell r="I150">
            <v>4.7281777777777778</v>
          </cell>
          <cell r="J150">
            <v>4.728177777777778E-3</v>
          </cell>
          <cell r="K150">
            <v>73.314999999999998</v>
          </cell>
          <cell r="L150">
            <v>7.3314999999999991E-2</v>
          </cell>
          <cell r="M150">
            <v>2148.9544588623994</v>
          </cell>
        </row>
        <row r="151">
          <cell r="A151" t="str">
            <v>90100099</v>
          </cell>
          <cell r="B151" t="str">
            <v>PIE ALMENDRAS Y PECANAS PERS. UND</v>
          </cell>
          <cell r="C151" t="str">
            <v>ESP-RE-PAPS-169</v>
          </cell>
          <cell r="D151" t="str">
            <v>01</v>
          </cell>
          <cell r="E151" t="str">
            <v>Und</v>
          </cell>
          <cell r="F151" t="str">
            <v>Und</v>
          </cell>
          <cell r="G151">
            <v>222.28842343031866</v>
          </cell>
          <cell r="H151">
            <v>222.28842343031866</v>
          </cell>
          <cell r="I151">
            <v>0.99485809228740663</v>
          </cell>
          <cell r="J151">
            <v>0.99485809228740663</v>
          </cell>
          <cell r="K151">
            <v>54.818163412852968</v>
          </cell>
          <cell r="L151">
            <v>54.818163412852968</v>
          </cell>
          <cell r="M151">
            <v>278.10144493545903</v>
          </cell>
        </row>
        <row r="152">
          <cell r="A152" t="str">
            <v>95362</v>
          </cell>
          <cell r="B152" t="str">
            <v>BASE PREMEZCLA ARROLLADO SPOON KILO</v>
          </cell>
          <cell r="C152" t="str">
            <v xml:space="preserve">ESP-RE-PRES-008 </v>
          </cell>
          <cell r="D152" t="str">
            <v>08</v>
          </cell>
          <cell r="E152" t="str">
            <v>Kilo</v>
          </cell>
          <cell r="F152" t="str">
            <v>Gramo</v>
          </cell>
          <cell r="G152">
            <v>441.53493072534638</v>
          </cell>
          <cell r="H152">
            <v>0.44153493072534639</v>
          </cell>
          <cell r="I152">
            <v>16.136919315403421</v>
          </cell>
          <cell r="J152">
            <v>1.6136919315403422E-2</v>
          </cell>
          <cell r="K152">
            <v>44.769999999999996</v>
          </cell>
          <cell r="L152">
            <v>4.4769999999999997E-2</v>
          </cell>
          <cell r="M152">
            <v>502.44185004074978</v>
          </cell>
        </row>
        <row r="153">
          <cell r="A153" t="str">
            <v>907000200</v>
          </cell>
          <cell r="B153" t="str">
            <v>BATIDO ROSQUETE ARROLLADO KILO</v>
          </cell>
          <cell r="C153" t="str">
            <v>ESP-RE-BAS-004</v>
          </cell>
          <cell r="D153" t="str">
            <v>08</v>
          </cell>
          <cell r="E153" t="str">
            <v>Kilo</v>
          </cell>
          <cell r="F153" t="str">
            <v>Gramo</v>
          </cell>
          <cell r="G153">
            <v>1338.1543209998531</v>
          </cell>
          <cell r="H153">
            <v>1.3381543209998532</v>
          </cell>
          <cell r="I153">
            <v>6.6</v>
          </cell>
          <cell r="J153">
            <v>6.6E-3</v>
          </cell>
          <cell r="K153">
            <v>109.94092999999999</v>
          </cell>
          <cell r="L153">
            <v>0.10994092999999999</v>
          </cell>
          <cell r="M153">
            <v>1454.695250999853</v>
          </cell>
        </row>
        <row r="154">
          <cell r="A154" t="str">
            <v>903000003</v>
          </cell>
          <cell r="B154" t="str">
            <v>ROSQUETE P/ARROLLADO 1000g (UND)</v>
          </cell>
          <cell r="C154" t="str">
            <v>ESP-RE-BAS-110</v>
          </cell>
          <cell r="D154" t="str">
            <v>01</v>
          </cell>
          <cell r="E154" t="str">
            <v>Und</v>
          </cell>
          <cell r="F154" t="str">
            <v>Und</v>
          </cell>
          <cell r="G154">
            <v>1347.2003881139472</v>
          </cell>
          <cell r="H154">
            <v>1347.2003881139472</v>
          </cell>
          <cell r="I154">
            <v>88.760536150000007</v>
          </cell>
          <cell r="J154">
            <v>88.760536150000007</v>
          </cell>
          <cell r="K154">
            <v>165.60753</v>
          </cell>
          <cell r="L154">
            <v>165.60753</v>
          </cell>
          <cell r="M154">
            <v>1601.5684542639472</v>
          </cell>
        </row>
        <row r="155">
          <cell r="A155" t="str">
            <v>90100127</v>
          </cell>
          <cell r="B155" t="str">
            <v>SALSA DE AJI ( lasaña lomo) KILO</v>
          </cell>
          <cell r="C155" t="str">
            <v>ESP-RE-COCS-240</v>
          </cell>
          <cell r="D155" t="str">
            <v>01</v>
          </cell>
          <cell r="E155" t="str">
            <v>Kilo</v>
          </cell>
          <cell r="F155" t="str">
            <v>Gramo</v>
          </cell>
          <cell r="G155">
            <v>1865.7082496252726</v>
          </cell>
          <cell r="H155">
            <v>1.8657082496252726</v>
          </cell>
          <cell r="I155">
            <v>5.2094017094017095</v>
          </cell>
          <cell r="J155">
            <v>5.2094017094017099E-3</v>
          </cell>
          <cell r="K155">
            <v>112.80500000000001</v>
          </cell>
          <cell r="L155">
            <v>0.112805</v>
          </cell>
          <cell r="M155">
            <v>1983.7226513346743</v>
          </cell>
        </row>
        <row r="156">
          <cell r="A156" t="str">
            <v>90100126</v>
          </cell>
          <cell r="B156" t="str">
            <v>RELLENO LOMO SALTEADO KILO</v>
          </cell>
          <cell r="C156" t="str">
            <v>ESP-RE-COCS-241</v>
          </cell>
          <cell r="D156" t="str">
            <v>02</v>
          </cell>
          <cell r="E156" t="str">
            <v>Kilo</v>
          </cell>
          <cell r="F156" t="str">
            <v>Gramo</v>
          </cell>
          <cell r="G156">
            <v>7705.0577487683431</v>
          </cell>
          <cell r="H156">
            <v>7.7050577487683434</v>
          </cell>
          <cell r="I156">
            <v>20.574603174603173</v>
          </cell>
          <cell r="J156">
            <v>2.0574603174603173E-2</v>
          </cell>
          <cell r="K156">
            <v>139.14999999999998</v>
          </cell>
          <cell r="L156">
            <v>0.13914999999999997</v>
          </cell>
          <cell r="M156">
            <v>7864.7823519429458</v>
          </cell>
        </row>
        <row r="157">
          <cell r="A157" t="str">
            <v>95361</v>
          </cell>
          <cell r="B157" t="str">
            <v>BASE PREMEZCLA P/BROWNIE CASERO KILO</v>
          </cell>
          <cell r="C157" t="str">
            <v xml:space="preserve">ESP-RE-PRES-031 </v>
          </cell>
          <cell r="D157" t="str">
            <v>04</v>
          </cell>
          <cell r="E157" t="str">
            <v>Kilo</v>
          </cell>
          <cell r="F157" t="str">
            <v>Gramo</v>
          </cell>
          <cell r="G157">
            <v>1012.8699538106234</v>
          </cell>
          <cell r="H157">
            <v>1.0128699538106234</v>
          </cell>
          <cell r="I157">
            <v>11.743299041220521</v>
          </cell>
          <cell r="J157">
            <v>1.174329904122052E-2</v>
          </cell>
          <cell r="K157">
            <v>28.82</v>
          </cell>
          <cell r="L157">
            <v>2.8820000000000002E-2</v>
          </cell>
          <cell r="M157">
            <v>1053.4332528518439</v>
          </cell>
        </row>
        <row r="158">
          <cell r="A158" t="str">
            <v>902000014</v>
          </cell>
          <cell r="B158" t="str">
            <v>BATIDO BROWNIE CASERO KILO</v>
          </cell>
          <cell r="C158" t="str">
            <v>ESP-RE-BAS-036</v>
          </cell>
          <cell r="D158" t="str">
            <v>06</v>
          </cell>
          <cell r="E158" t="str">
            <v>Kilo</v>
          </cell>
          <cell r="F158" t="str">
            <v>Gramo</v>
          </cell>
          <cell r="G158">
            <v>1145.3216253373016</v>
          </cell>
          <cell r="H158">
            <v>1.1453216253373015</v>
          </cell>
          <cell r="I158">
            <v>13.507666666666667</v>
          </cell>
          <cell r="J158">
            <v>1.3507666666666668E-2</v>
          </cell>
          <cell r="K158">
            <v>51.533707500000006</v>
          </cell>
          <cell r="L158">
            <v>5.1533707500000005E-2</v>
          </cell>
          <cell r="M158">
            <v>1210.3629995039682</v>
          </cell>
        </row>
        <row r="159">
          <cell r="A159" t="str">
            <v>903000025</v>
          </cell>
          <cell r="B159" t="str">
            <v>ROSQUETE BROWNIE CASERO 2000g</v>
          </cell>
          <cell r="C159" t="str">
            <v>ESP-RE-BAS-037</v>
          </cell>
          <cell r="D159" t="str">
            <v>04</v>
          </cell>
          <cell r="E159" t="str">
            <v>Und</v>
          </cell>
          <cell r="F159" t="str">
            <v>Und</v>
          </cell>
          <cell r="G159">
            <v>2343.5903094981327</v>
          </cell>
          <cell r="H159">
            <v>2343.5903094981327</v>
          </cell>
          <cell r="I159">
            <v>55.905333333333331</v>
          </cell>
          <cell r="J159">
            <v>55.905333333333331</v>
          </cell>
          <cell r="K159">
            <v>171.81741500000001</v>
          </cell>
          <cell r="L159">
            <v>171.81741500000001</v>
          </cell>
          <cell r="M159">
            <v>2571.3130578314658</v>
          </cell>
        </row>
        <row r="160">
          <cell r="A160" t="str">
            <v>901000025</v>
          </cell>
          <cell r="B160" t="str">
            <v>HUMUS GARBANZO KILO</v>
          </cell>
          <cell r="C160" t="str">
            <v>ESP-RE-COFS-057</v>
          </cell>
          <cell r="D160" t="str">
            <v>03</v>
          </cell>
          <cell r="E160" t="str">
            <v>Kilo</v>
          </cell>
          <cell r="F160" t="str">
            <v>Gramo</v>
          </cell>
          <cell r="G160">
            <v>1563.2256090867143</v>
          </cell>
          <cell r="H160">
            <v>1.5632256090867143</v>
          </cell>
          <cell r="I160">
            <v>9.4815952687500005</v>
          </cell>
          <cell r="J160">
            <v>9.4815952687500003E-3</v>
          </cell>
          <cell r="K160">
            <v>103.6880625</v>
          </cell>
          <cell r="L160">
            <v>0.1036880625</v>
          </cell>
          <cell r="M160">
            <v>1676.3952668554643</v>
          </cell>
        </row>
        <row r="161">
          <cell r="A161" t="str">
            <v>908000006</v>
          </cell>
          <cell r="B161" t="str">
            <v>COCCION FRIJOLES ARREGLADO P/CASADO KILO</v>
          </cell>
          <cell r="C161" t="str">
            <v>ESP-RE-COCS-006</v>
          </cell>
          <cell r="D161" t="str">
            <v>12</v>
          </cell>
          <cell r="E161" t="str">
            <v>Kilo</v>
          </cell>
          <cell r="F161" t="str">
            <v>Gramo</v>
          </cell>
          <cell r="G161">
            <v>1859.5792439152224</v>
          </cell>
          <cell r="H161">
            <v>1.8595792439152223</v>
          </cell>
          <cell r="I161">
            <v>35.143025078369902</v>
          </cell>
          <cell r="J161">
            <v>3.5143025078369902E-2</v>
          </cell>
          <cell r="K161">
            <v>129.25</v>
          </cell>
          <cell r="L161">
            <v>0.12925</v>
          </cell>
          <cell r="M161">
            <v>2023.9722689935923</v>
          </cell>
        </row>
        <row r="162">
          <cell r="A162" t="str">
            <v>904000021</v>
          </cell>
          <cell r="B162" t="str">
            <v>ADEREZO ALBAHACA KILO</v>
          </cell>
          <cell r="C162" t="str">
            <v>ESP-RE-COFS-013</v>
          </cell>
          <cell r="D162" t="str">
            <v>07</v>
          </cell>
          <cell r="E162" t="str">
            <v>Kilo</v>
          </cell>
          <cell r="F162" t="str">
            <v>Gramo</v>
          </cell>
          <cell r="G162">
            <v>1487.3020231727003</v>
          </cell>
          <cell r="H162">
            <v>1.4873020231727003</v>
          </cell>
          <cell r="I162">
            <v>15.31125157792208</v>
          </cell>
          <cell r="J162">
            <v>1.531125157792208E-2</v>
          </cell>
          <cell r="K162">
            <v>168.82135714285712</v>
          </cell>
          <cell r="L162">
            <v>0.16882135714285712</v>
          </cell>
          <cell r="M162">
            <v>1671.4346318934795</v>
          </cell>
        </row>
        <row r="163">
          <cell r="A163" t="str">
            <v>909000009</v>
          </cell>
          <cell r="B163" t="str">
            <v>EMPAQUE MAYONESA SPOON KILO</v>
          </cell>
          <cell r="C163" t="str">
            <v xml:space="preserve">ESP-RE-EMPS-009 </v>
          </cell>
          <cell r="D163" t="str">
            <v>04</v>
          </cell>
          <cell r="E163" t="str">
            <v>Kilo</v>
          </cell>
          <cell r="F163" t="str">
            <v>Gramo</v>
          </cell>
          <cell r="G163">
            <v>991.79493376645109</v>
          </cell>
          <cell r="H163">
            <v>0.99179493376645111</v>
          </cell>
          <cell r="I163">
            <v>16.947129616755792</v>
          </cell>
          <cell r="J163">
            <v>1.6947129616755791E-2</v>
          </cell>
          <cell r="K163">
            <v>77.74794117647059</v>
          </cell>
          <cell r="L163">
            <v>7.7747941176470589E-2</v>
          </cell>
          <cell r="M163">
            <v>1086.4900045596773</v>
          </cell>
        </row>
        <row r="164">
          <cell r="A164" t="str">
            <v>90100142</v>
          </cell>
          <cell r="B164" t="str">
            <v>EMPAQUE SAL KILO</v>
          </cell>
          <cell r="C164" t="str">
            <v>ESP-RE-PRES-101</v>
          </cell>
          <cell r="D164" t="str">
            <v>01</v>
          </cell>
          <cell r="E164" t="str">
            <v>Kilo</v>
          </cell>
          <cell r="F164" t="str">
            <v>Gramo</v>
          </cell>
          <cell r="G164">
            <v>376</v>
          </cell>
          <cell r="H164">
            <v>0.376</v>
          </cell>
          <cell r="I164">
            <v>5.3311999999999999</v>
          </cell>
          <cell r="J164">
            <v>5.3312000000000003E-3</v>
          </cell>
          <cell r="K164">
            <v>22</v>
          </cell>
          <cell r="L164">
            <v>2.1999999999999999E-2</v>
          </cell>
          <cell r="M164">
            <v>403.33120000000002</v>
          </cell>
        </row>
        <row r="165">
          <cell r="A165" t="str">
            <v>901000090</v>
          </cell>
          <cell r="B165" t="str">
            <v>ADEREZO ROSADO KILO</v>
          </cell>
          <cell r="C165" t="str">
            <v>ESP-RE-COFS-025</v>
          </cell>
          <cell r="D165" t="str">
            <v>02</v>
          </cell>
          <cell r="E165" t="str">
            <v>Kilo</v>
          </cell>
          <cell r="F165" t="str">
            <v>Gramo</v>
          </cell>
          <cell r="G165">
            <v>807.68956538123223</v>
          </cell>
          <cell r="H165">
            <v>0.80768956538123227</v>
          </cell>
          <cell r="I165">
            <v>7.9707667388910775</v>
          </cell>
          <cell r="J165">
            <v>7.9707667388910775E-3</v>
          </cell>
          <cell r="K165">
            <v>57.667537151702788</v>
          </cell>
          <cell r="L165">
            <v>5.7667537151702787E-2</v>
          </cell>
          <cell r="M165">
            <v>873.3278692718261</v>
          </cell>
        </row>
        <row r="166">
          <cell r="A166" t="str">
            <v>903000177</v>
          </cell>
          <cell r="B166" t="str">
            <v>CORTE GALLETA ALFAJOR FLOR UND</v>
          </cell>
          <cell r="C166" t="str">
            <v xml:space="preserve">ESP-RE-PAPS-187 </v>
          </cell>
          <cell r="D166" t="str">
            <v>01</v>
          </cell>
          <cell r="E166" t="str">
            <v>und</v>
          </cell>
          <cell r="F166" t="str">
            <v>Und</v>
          </cell>
          <cell r="G166">
            <v>13.025980020030035</v>
          </cell>
          <cell r="H166">
            <v>13.025980020030035</v>
          </cell>
          <cell r="I166">
            <v>5.2844755438308182E-2</v>
          </cell>
          <cell r="J166">
            <v>5.2844755438308182E-2</v>
          </cell>
          <cell r="K166">
            <v>2.9129341326045184</v>
          </cell>
          <cell r="L166">
            <v>2.9129341326045184</v>
          </cell>
          <cell r="M166">
            <v>15.99175890807286</v>
          </cell>
        </row>
        <row r="167">
          <cell r="A167" t="str">
            <v>90100281</v>
          </cell>
          <cell r="B167" t="str">
            <v>COCCION CREMA DE GARBANZOS KILO</v>
          </cell>
          <cell r="C167" t="str">
            <v>ESP-RE-COCS-299</v>
          </cell>
          <cell r="D167" t="str">
            <v>03</v>
          </cell>
          <cell r="E167" t="str">
            <v>Kilo</v>
          </cell>
          <cell r="F167" t="str">
            <v>Gramo</v>
          </cell>
          <cell r="G167">
            <v>1262.2726158905543</v>
          </cell>
          <cell r="H167">
            <v>1.2622726158905544</v>
          </cell>
          <cell r="I167">
            <v>3.2840680851063828</v>
          </cell>
          <cell r="J167">
            <v>3.2840680851063827E-3</v>
          </cell>
          <cell r="K167">
            <v>99.175531914893611</v>
          </cell>
          <cell r="L167">
            <v>9.9175531914893617E-2</v>
          </cell>
          <cell r="M167">
            <v>1364.7322158905542</v>
          </cell>
        </row>
        <row r="168">
          <cell r="A168" t="str">
            <v>901000182</v>
          </cell>
          <cell r="B168" t="str">
            <v>ADEREZO CULANTRO KILO</v>
          </cell>
          <cell r="C168" t="str">
            <v>ESP-RE-COFS-056</v>
          </cell>
          <cell r="D168" t="str">
            <v>01</v>
          </cell>
          <cell r="E168" t="str">
            <v>Kilo</v>
          </cell>
          <cell r="F168" t="str">
            <v>Gramo</v>
          </cell>
          <cell r="G168">
            <v>1744.7386404749591</v>
          </cell>
          <cell r="H168">
            <v>1.7447386404749592</v>
          </cell>
          <cell r="I168">
            <v>11.017739832837567</v>
          </cell>
          <cell r="J168">
            <v>1.1017739832837567E-2</v>
          </cell>
          <cell r="K168">
            <v>90.710452205882348</v>
          </cell>
          <cell r="L168">
            <v>9.071045220588235E-2</v>
          </cell>
          <cell r="M168">
            <v>1846.466832513679</v>
          </cell>
        </row>
        <row r="169">
          <cell r="A169" t="str">
            <v>908000020</v>
          </cell>
          <cell r="B169" t="str">
            <v>COCCION FRIJOLES MOLIDOS SPOON KILO</v>
          </cell>
          <cell r="C169" t="str">
            <v>ESP-RE-COCS-033</v>
          </cell>
          <cell r="D169" t="str">
            <v>11</v>
          </cell>
          <cell r="E169" t="str">
            <v>Kilo</v>
          </cell>
          <cell r="F169" t="str">
            <v>Gramo</v>
          </cell>
          <cell r="G169">
            <v>1092.3879607633025</v>
          </cell>
          <cell r="H169">
            <v>1.0923879607633025</v>
          </cell>
          <cell r="I169">
            <v>3.5091147432722471</v>
          </cell>
          <cell r="J169">
            <v>3.5091147432722469E-3</v>
          </cell>
          <cell r="K169">
            <v>97.318361282105712</v>
          </cell>
          <cell r="L169">
            <v>9.7318361282105706E-2</v>
          </cell>
          <cell r="M169">
            <v>1193.2154367886806</v>
          </cell>
        </row>
        <row r="170">
          <cell r="A170" t="str">
            <v>905000010</v>
          </cell>
          <cell r="B170" t="str">
            <v>COCCION RELL POLLO/AJONJO (KILO)</v>
          </cell>
          <cell r="C170">
            <v>0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3336.975626440711</v>
          </cell>
          <cell r="H170">
            <v>3.3369756264407111</v>
          </cell>
          <cell r="I170">
            <v>1.968177070201347</v>
          </cell>
          <cell r="J170">
            <v>1.9681770702013471E-3</v>
          </cell>
          <cell r="K170">
            <v>137.41786550444834</v>
          </cell>
          <cell r="L170">
            <v>0.13741786550444834</v>
          </cell>
          <cell r="M170">
            <v>3476.3616690153608</v>
          </cell>
        </row>
        <row r="171">
          <cell r="A171" t="str">
            <v>903000144</v>
          </cell>
          <cell r="B171" t="str">
            <v>RUEDA FROLA 14 CM</v>
          </cell>
          <cell r="C171" t="str">
            <v>ESP-RE-PAPS-163</v>
          </cell>
          <cell r="D171" t="str">
            <v>02</v>
          </cell>
          <cell r="E171" t="str">
            <v>Und</v>
          </cell>
          <cell r="F171" t="str">
            <v>Und</v>
          </cell>
          <cell r="G171">
            <v>47.261656879999997</v>
          </cell>
          <cell r="H171">
            <v>47.261656879999997</v>
          </cell>
          <cell r="I171">
            <v>0.22366666666666671</v>
          </cell>
          <cell r="J171">
            <v>0.22366666666666671</v>
          </cell>
          <cell r="K171">
            <v>12.631929750000001</v>
          </cell>
          <cell r="L171">
            <v>12.631929750000001</v>
          </cell>
          <cell r="M171">
            <v>60.117253296666661</v>
          </cell>
        </row>
        <row r="172">
          <cell r="A172" t="str">
            <v>909000019</v>
          </cell>
          <cell r="B172" t="str">
            <v>EMPAQ RELLENO /AJONJOLI KILO</v>
          </cell>
          <cell r="C172" t="str">
            <v xml:space="preserve">ESP-RE-EMPS-051 </v>
          </cell>
          <cell r="D172" t="str">
            <v>04</v>
          </cell>
          <cell r="E172" t="str">
            <v>Kilo</v>
          </cell>
          <cell r="F172" t="str">
            <v>Gramo</v>
          </cell>
          <cell r="G172">
            <v>3336.975626440711</v>
          </cell>
          <cell r="H172">
            <v>3.3369756264407111</v>
          </cell>
          <cell r="I172">
            <v>6.47751040353468</v>
          </cell>
          <cell r="J172">
            <v>6.4775104035346802E-3</v>
          </cell>
          <cell r="K172">
            <v>155.56786550444835</v>
          </cell>
          <cell r="L172">
            <v>0.15556786550444834</v>
          </cell>
          <cell r="M172">
            <v>3499.0210023486943</v>
          </cell>
        </row>
        <row r="173">
          <cell r="A173" t="str">
            <v>903000146</v>
          </cell>
          <cell r="B173" t="str">
            <v>EMPANADA POLLO Y HONGOS UND 130g</v>
          </cell>
          <cell r="C173" t="str">
            <v>ESP-RE-PAPS-164</v>
          </cell>
          <cell r="D173" t="str">
            <v>03</v>
          </cell>
          <cell r="E173" t="str">
            <v>Und</v>
          </cell>
          <cell r="F173" t="str">
            <v>Und</v>
          </cell>
          <cell r="G173">
            <v>270.46276044005589</v>
          </cell>
          <cell r="H173">
            <v>270.46276044005589</v>
          </cell>
          <cell r="I173">
            <v>2.0153715095630877</v>
          </cell>
          <cell r="J173">
            <v>2.0153715095630877</v>
          </cell>
          <cell r="K173">
            <v>54.808841007789141</v>
          </cell>
          <cell r="L173">
            <v>54.808841007789141</v>
          </cell>
          <cell r="M173">
            <v>327.28697295740812</v>
          </cell>
        </row>
        <row r="174">
          <cell r="A174" t="str">
            <v>904000004</v>
          </cell>
          <cell r="B174" t="str">
            <v>SALSA TAMARINDO (KILO)</v>
          </cell>
          <cell r="C174" t="str">
            <v xml:space="preserve">ESP-RE-COCS-023 </v>
          </cell>
          <cell r="D174" t="str">
            <v>10</v>
          </cell>
          <cell r="E174" t="str">
            <v>Kilo</v>
          </cell>
          <cell r="F174" t="str">
            <v>Gramo</v>
          </cell>
          <cell r="G174">
            <v>787.55767338917065</v>
          </cell>
          <cell r="H174">
            <v>0.7875576733891706</v>
          </cell>
          <cell r="I174">
            <v>3.1111111111111116</v>
          </cell>
          <cell r="J174">
            <v>3.1111111111111118E-3</v>
          </cell>
          <cell r="K174">
            <v>72.600000000000009</v>
          </cell>
          <cell r="L174">
            <v>7.2600000000000012E-2</v>
          </cell>
          <cell r="M174">
            <v>863.26878450028175</v>
          </cell>
        </row>
        <row r="175">
          <cell r="A175" t="str">
            <v>904000026</v>
          </cell>
          <cell r="B175" t="str">
            <v>ADEREZO VINAGRETA ALBAHACA (KILO)</v>
          </cell>
          <cell r="C175" t="str">
            <v>ESP-RE-COFS-019</v>
          </cell>
          <cell r="D175" t="str">
            <v>03</v>
          </cell>
          <cell r="E175" t="str">
            <v>Kilo</v>
          </cell>
          <cell r="F175" t="str">
            <v>Gramo</v>
          </cell>
          <cell r="G175">
            <v>2730.6750334510602</v>
          </cell>
          <cell r="H175">
            <v>2.7306750334510603</v>
          </cell>
          <cell r="I175">
            <v>1.8430267062314538</v>
          </cell>
          <cell r="J175">
            <v>1.8430267062314537E-3</v>
          </cell>
          <cell r="K175">
            <v>104.44500000000001</v>
          </cell>
          <cell r="L175">
            <v>0.10444500000000001</v>
          </cell>
          <cell r="M175">
            <v>2836.9630601572917</v>
          </cell>
        </row>
        <row r="176">
          <cell r="A176" t="str">
            <v>908000057</v>
          </cell>
          <cell r="B176" t="str">
            <v>CHAOMING FRITO (KILO)</v>
          </cell>
          <cell r="C176" t="str">
            <v>ESP-RE-COCS-084</v>
          </cell>
          <cell r="D176" t="str">
            <v>07</v>
          </cell>
          <cell r="E176" t="str">
            <v>Kilo</v>
          </cell>
          <cell r="F176" t="str">
            <v>Gramo</v>
          </cell>
          <cell r="G176">
            <v>3723.1932773109243</v>
          </cell>
          <cell r="H176">
            <v>3.7231932773109242</v>
          </cell>
          <cell r="I176">
            <v>0</v>
          </cell>
          <cell r="J176">
            <v>0</v>
          </cell>
          <cell r="K176">
            <v>282.85950000000003</v>
          </cell>
          <cell r="L176">
            <v>0.28285950000000004</v>
          </cell>
          <cell r="M176">
            <v>4006.0527773109243</v>
          </cell>
        </row>
        <row r="177">
          <cell r="A177" t="str">
            <v>906000116</v>
          </cell>
          <cell r="B177" t="str">
            <v>PREMEZCLA PASTA HOJALDRE DEBIL KILO</v>
          </cell>
          <cell r="C177" t="str">
            <v>ESP-RE-PRES-114</v>
          </cell>
          <cell r="D177" t="str">
            <v>01</v>
          </cell>
          <cell r="E177" t="str">
            <v>Kilo</v>
          </cell>
          <cell r="F177" t="str">
            <v>Gramo</v>
          </cell>
          <cell r="G177">
            <v>655.03396295171569</v>
          </cell>
          <cell r="H177">
            <v>0.65503396295171568</v>
          </cell>
          <cell r="I177">
            <v>4.2463812126733469</v>
          </cell>
          <cell r="J177">
            <v>4.2463812126733473E-3</v>
          </cell>
          <cell r="K177">
            <v>12.485000000000001</v>
          </cell>
          <cell r="L177">
            <v>1.2485000000000001E-2</v>
          </cell>
          <cell r="M177">
            <v>671.76534416438903</v>
          </cell>
        </row>
        <row r="178">
          <cell r="A178" t="str">
            <v>906000117</v>
          </cell>
          <cell r="B178" t="str">
            <v>PASTA HOJALDRE DEBIL KILO</v>
          </cell>
          <cell r="C178" t="str">
            <v>ESP-RE-PAPS-184</v>
          </cell>
          <cell r="D178" t="str">
            <v>01</v>
          </cell>
          <cell r="E178" t="str">
            <v>Kilo</v>
          </cell>
          <cell r="F178" t="str">
            <v>Gramo</v>
          </cell>
          <cell r="G178">
            <v>523.03203002680971</v>
          </cell>
          <cell r="H178">
            <v>0.52303203002680976</v>
          </cell>
          <cell r="I178">
            <v>3.2273100983020555</v>
          </cell>
          <cell r="J178">
            <v>3.2273100983020555E-3</v>
          </cell>
          <cell r="K178">
            <v>89.942824128686325</v>
          </cell>
          <cell r="L178">
            <v>8.994282412868633E-2</v>
          </cell>
          <cell r="M178">
            <v>616.20216425379806</v>
          </cell>
        </row>
        <row r="179">
          <cell r="A179" t="str">
            <v>906000014</v>
          </cell>
          <cell r="B179" t="str">
            <v>LAMINADO PASTA HOJALDRE (KILO)</v>
          </cell>
          <cell r="C179" t="str">
            <v>ESP-RE-PAPS-018</v>
          </cell>
          <cell r="D179" t="str">
            <v>06</v>
          </cell>
          <cell r="E179" t="str">
            <v>Und</v>
          </cell>
          <cell r="F179" t="str">
            <v>Und</v>
          </cell>
          <cell r="G179">
            <v>628.83268550925482</v>
          </cell>
          <cell r="H179">
            <v>628.83268550925482</v>
          </cell>
          <cell r="I179">
            <v>32.934663179267204</v>
          </cell>
          <cell r="J179">
            <v>32.934663179267204</v>
          </cell>
          <cell r="K179">
            <v>162.75375150722255</v>
          </cell>
          <cell r="L179">
            <v>162.75375150722255</v>
          </cell>
          <cell r="M179">
            <v>824.52110019574457</v>
          </cell>
        </row>
        <row r="180">
          <cell r="A180" t="str">
            <v>903000179</v>
          </cell>
          <cell r="B180" t="str">
            <v>CORTE LAMINAS MIL HOJAS 57 g</v>
          </cell>
          <cell r="C180" t="str">
            <v>ESP-RE-POS-197</v>
          </cell>
          <cell r="D180" t="str">
            <v>01</v>
          </cell>
          <cell r="E180" t="str">
            <v>Und</v>
          </cell>
          <cell r="F180" t="str">
            <v>Und</v>
          </cell>
          <cell r="G180">
            <v>54.681103087761286</v>
          </cell>
          <cell r="H180">
            <v>54.681103087761286</v>
          </cell>
          <cell r="I180">
            <v>2.8638837547188873</v>
          </cell>
          <cell r="J180">
            <v>2.8638837547188873</v>
          </cell>
          <cell r="K180">
            <v>23.66750013106283</v>
          </cell>
          <cell r="L180">
            <v>23.66750013106283</v>
          </cell>
          <cell r="M180">
            <v>81.212486973543008</v>
          </cell>
        </row>
        <row r="181">
          <cell r="A181" t="str">
            <v>904000014</v>
          </cell>
          <cell r="B181" t="str">
            <v>ADEREZO GRILL (KILO)</v>
          </cell>
          <cell r="C181" t="str">
            <v>ESP-RE-COFS-001</v>
          </cell>
          <cell r="D181" t="str">
            <v>11</v>
          </cell>
          <cell r="E181" t="str">
            <v>Kilo</v>
          </cell>
          <cell r="F181" t="str">
            <v>Gramo</v>
          </cell>
          <cell r="G181">
            <v>1760.2958605654549</v>
          </cell>
          <cell r="H181">
            <v>1.7602958605654548</v>
          </cell>
          <cell r="I181">
            <v>9.1868647860812516</v>
          </cell>
          <cell r="J181">
            <v>9.1868647860812516E-3</v>
          </cell>
          <cell r="K181">
            <v>69.215538225391157</v>
          </cell>
          <cell r="L181">
            <v>6.9215538225391157E-2</v>
          </cell>
          <cell r="M181">
            <v>1838.6982635769273</v>
          </cell>
        </row>
        <row r="182">
          <cell r="A182" t="str">
            <v>90100295</v>
          </cell>
          <cell r="B182" t="str">
            <v>ARROZ AMARILLO SPOON KILO</v>
          </cell>
          <cell r="C182" t="str">
            <v>ESP-RE-COCS-309</v>
          </cell>
          <cell r="D182" t="str">
            <v>01</v>
          </cell>
          <cell r="E182" t="str">
            <v>Kilo</v>
          </cell>
          <cell r="F182" t="str">
            <v>Gramo</v>
          </cell>
          <cell r="G182">
            <v>525.07318173965621</v>
          </cell>
          <cell r="H182">
            <v>0.52507318173965623</v>
          </cell>
          <cell r="I182">
            <v>1.9745185185185185E-2</v>
          </cell>
          <cell r="J182">
            <v>1.9745185185185184E-5</v>
          </cell>
          <cell r="K182">
            <v>127.13148148148147</v>
          </cell>
          <cell r="L182">
            <v>0.12713148148148148</v>
          </cell>
          <cell r="M182">
            <v>652.22440840632294</v>
          </cell>
        </row>
        <row r="183">
          <cell r="A183" t="str">
            <v>90100296</v>
          </cell>
          <cell r="B183" t="str">
            <v>PECHUGA DESMENUZADA A MANO KILO</v>
          </cell>
          <cell r="C183" t="str">
            <v xml:space="preserve">ESP-RE-COCS-308 </v>
          </cell>
          <cell r="D183" t="str">
            <v>01</v>
          </cell>
          <cell r="E183" t="str">
            <v>Kilo</v>
          </cell>
          <cell r="F183" t="str">
            <v>Gramo</v>
          </cell>
          <cell r="G183">
            <v>3774.0509643108294</v>
          </cell>
          <cell r="H183">
            <v>3.7740509643108293</v>
          </cell>
          <cell r="I183">
            <v>37.03529535864979</v>
          </cell>
          <cell r="J183">
            <v>3.7035295358649793E-2</v>
          </cell>
          <cell r="K183">
            <v>145.2825</v>
          </cell>
          <cell r="L183">
            <v>0.14528250000000001</v>
          </cell>
          <cell r="M183">
            <v>3956.368759669479</v>
          </cell>
        </row>
        <row r="184">
          <cell r="A184" t="str">
            <v>90100297</v>
          </cell>
          <cell r="B184" t="str">
            <v>ARROZ CON POLLO SPOON KILO</v>
          </cell>
          <cell r="C184" t="str">
            <v>ESP-RE-COCS-210</v>
          </cell>
          <cell r="D184" t="str">
            <v>04</v>
          </cell>
          <cell r="E184" t="str">
            <v>Kilo</v>
          </cell>
          <cell r="F184" t="str">
            <v>Gramo</v>
          </cell>
          <cell r="G184">
            <v>1826.4494558570327</v>
          </cell>
          <cell r="H184">
            <v>1.8264494558570328</v>
          </cell>
          <cell r="I184">
            <v>11.371443326162005</v>
          </cell>
          <cell r="J184">
            <v>1.1371443326162006E-2</v>
          </cell>
          <cell r="K184">
            <v>164.81543478260869</v>
          </cell>
          <cell r="L184">
            <v>0.16481543478260868</v>
          </cell>
          <cell r="M184">
            <v>2002.6363339658035</v>
          </cell>
        </row>
        <row r="185">
          <cell r="A185" t="str">
            <v>903000159</v>
          </cell>
          <cell r="B185" t="str">
            <v>CORTE COSTILLAS PASTA HOJALDRE UND</v>
          </cell>
          <cell r="C185" t="str">
            <v>ESP-RE-PAPS-174</v>
          </cell>
          <cell r="D185" t="str">
            <v>01</v>
          </cell>
          <cell r="E185" t="str">
            <v>Und</v>
          </cell>
          <cell r="F185" t="str">
            <v>Und</v>
          </cell>
          <cell r="G185">
            <v>17.811803470588234</v>
          </cell>
          <cell r="H185">
            <v>17.811803470588234</v>
          </cell>
          <cell r="I185">
            <v>8.8513725490196066E-2</v>
          </cell>
          <cell r="J185">
            <v>8.8513725490196066E-2</v>
          </cell>
          <cell r="K185">
            <v>8.1727479705882349</v>
          </cell>
          <cell r="L185">
            <v>8.1727479705882349</v>
          </cell>
          <cell r="M185">
            <v>26.073065166666666</v>
          </cell>
        </row>
        <row r="186">
          <cell r="A186" t="str">
            <v>903000160</v>
          </cell>
          <cell r="B186" t="str">
            <v>COSTILLAS  HOJALDRE SIN RELLENO UND</v>
          </cell>
          <cell r="C186" t="str">
            <v>ESP-RE-PAPS-014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18.93439435425714</v>
          </cell>
          <cell r="H186">
            <v>18.93439435425714</v>
          </cell>
          <cell r="I186">
            <v>9.8268526271446069E-2</v>
          </cell>
          <cell r="J186">
            <v>9.8268526271446069E-2</v>
          </cell>
          <cell r="K186">
            <v>11.073253178921568</v>
          </cell>
          <cell r="L186">
            <v>11.073253178921568</v>
          </cell>
          <cell r="M186">
            <v>30.105916059450156</v>
          </cell>
        </row>
        <row r="187">
          <cell r="A187" t="str">
            <v>907000217</v>
          </cell>
          <cell r="B187" t="str">
            <v>RELLENO DE CHOCOMENTA KILO</v>
          </cell>
          <cell r="C187" t="str">
            <v>ESP-RE-POS-195</v>
          </cell>
          <cell r="D187" t="str">
            <v>01</v>
          </cell>
          <cell r="E187" t="str">
            <v>Kilo</v>
          </cell>
          <cell r="F187" t="str">
            <v>Gramo</v>
          </cell>
          <cell r="G187">
            <v>2805.1004700000008</v>
          </cell>
          <cell r="H187">
            <v>2.8051004700000006</v>
          </cell>
          <cell r="I187">
            <v>0</v>
          </cell>
          <cell r="J187">
            <v>0</v>
          </cell>
          <cell r="K187">
            <v>275</v>
          </cell>
          <cell r="L187">
            <v>0.27500000000000002</v>
          </cell>
          <cell r="M187">
            <v>3080.1004700000008</v>
          </cell>
        </row>
        <row r="188">
          <cell r="A188" t="str">
            <v>908000045</v>
          </cell>
          <cell r="B188" t="str">
            <v>GANACHE CHOCOLATE BLANCO (KILO)</v>
          </cell>
          <cell r="C188" t="str">
            <v>ESP-RE-COCS-067</v>
          </cell>
          <cell r="D188" t="str">
            <v>04</v>
          </cell>
          <cell r="E188" t="str">
            <v>Kilo</v>
          </cell>
          <cell r="F188" t="str">
            <v>Gramo</v>
          </cell>
          <cell r="G188">
            <v>2658.7896082278103</v>
          </cell>
          <cell r="H188">
            <v>2.6587896082278104</v>
          </cell>
          <cell r="I188">
            <v>0</v>
          </cell>
          <cell r="J188">
            <v>0</v>
          </cell>
          <cell r="K188">
            <v>36.630000000000003</v>
          </cell>
          <cell r="L188">
            <v>3.6630000000000003E-2</v>
          </cell>
          <cell r="M188">
            <v>2695.4196082278104</v>
          </cell>
        </row>
        <row r="189">
          <cell r="A189" t="str">
            <v>907000219</v>
          </cell>
          <cell r="B189" t="str">
            <v>ROSQUETE BROWNIE MENTA UND</v>
          </cell>
          <cell r="C189" t="str">
            <v>ESP-RE-BAS-123</v>
          </cell>
          <cell r="D189" t="str">
            <v>01</v>
          </cell>
          <cell r="E189" t="str">
            <v>Und</v>
          </cell>
          <cell r="F189" t="str">
            <v>Und</v>
          </cell>
          <cell r="G189">
            <v>1198.2686841608311</v>
          </cell>
          <cell r="H189">
            <v>1198.2686841608311</v>
          </cell>
          <cell r="I189">
            <v>54.607666666666667</v>
          </cell>
          <cell r="J189">
            <v>54.607666666666667</v>
          </cell>
          <cell r="K189">
            <v>120.28370750000001</v>
          </cell>
          <cell r="L189">
            <v>120.28370750000001</v>
          </cell>
          <cell r="M189">
            <v>1373.1600583274978</v>
          </cell>
        </row>
        <row r="190">
          <cell r="A190" t="str">
            <v>907000220</v>
          </cell>
          <cell r="B190" t="str">
            <v>ENSAMBLE BROWNIE CHOCOMENTA PLANCHA</v>
          </cell>
          <cell r="C190" t="str">
            <v>ESP-RE-POS-194</v>
          </cell>
          <cell r="D190" t="str">
            <v>01</v>
          </cell>
          <cell r="E190" t="str">
            <v>Und</v>
          </cell>
          <cell r="F190" t="str">
            <v>Und</v>
          </cell>
          <cell r="G190">
            <v>4003.3691541608318</v>
          </cell>
          <cell r="H190">
            <v>4003.3691541608318</v>
          </cell>
          <cell r="I190">
            <v>54.607666666666667</v>
          </cell>
          <cell r="J190">
            <v>54.607666666666667</v>
          </cell>
          <cell r="K190">
            <v>670.28370749999999</v>
          </cell>
          <cell r="L190">
            <v>670.28370749999999</v>
          </cell>
          <cell r="M190">
            <v>4728.2605283274988</v>
          </cell>
        </row>
        <row r="191">
          <cell r="A191" t="str">
            <v>907000223</v>
          </cell>
          <cell r="B191" t="str">
            <v xml:space="preserve">PREMEZCLA BROWNIE BLONDIE PECANA </v>
          </cell>
          <cell r="C191" t="str">
            <v xml:space="preserve">ESP-RE-PRES-116  </v>
          </cell>
          <cell r="D191" t="str">
            <v>01</v>
          </cell>
          <cell r="E191" t="str">
            <v>Kilo</v>
          </cell>
          <cell r="F191" t="str">
            <v>Gramo</v>
          </cell>
          <cell r="G191">
            <v>982.78462840775069</v>
          </cell>
          <cell r="H191">
            <v>0.98278462840775072</v>
          </cell>
          <cell r="I191">
            <v>7.7268183094636331</v>
          </cell>
          <cell r="J191">
            <v>7.7268183094636334E-3</v>
          </cell>
          <cell r="K191">
            <v>37.055589721988206</v>
          </cell>
          <cell r="L191">
            <v>3.7055589721988205E-2</v>
          </cell>
          <cell r="M191">
            <v>1027.5670364392024</v>
          </cell>
        </row>
        <row r="192">
          <cell r="A192" t="str">
            <v>907000221</v>
          </cell>
          <cell r="B192" t="str">
            <v xml:space="preserve">BATIDO DE BROWNIE BLONDIE </v>
          </cell>
          <cell r="C192" t="str">
            <v>ESP-RE-BAS-125</v>
          </cell>
          <cell r="D192" t="str">
            <v>01</v>
          </cell>
          <cell r="E192" t="str">
            <v>Kilo</v>
          </cell>
          <cell r="F192" t="str">
            <v>Gramo</v>
          </cell>
          <cell r="G192">
            <v>1707.6941508705884</v>
          </cell>
          <cell r="H192">
            <v>1.7076941508705883</v>
          </cell>
          <cell r="I192">
            <v>5.0954074074074072</v>
          </cell>
          <cell r="J192">
            <v>5.095407407407407E-3</v>
          </cell>
          <cell r="K192">
            <v>42.751102777777774</v>
          </cell>
          <cell r="L192">
            <v>4.2751102777777772E-2</v>
          </cell>
          <cell r="M192">
            <v>1755.5406610557736</v>
          </cell>
        </row>
        <row r="193">
          <cell r="A193" t="str">
            <v>907000222</v>
          </cell>
          <cell r="B193" t="str">
            <v>PLANCHA BROWNIE BLONDIE</v>
          </cell>
          <cell r="C193" t="str">
            <v>ESP-RE-BAS-124</v>
          </cell>
          <cell r="D193" t="str">
            <v>01</v>
          </cell>
          <cell r="E193" t="str">
            <v>Und</v>
          </cell>
          <cell r="F193" t="str">
            <v>Und</v>
          </cell>
          <cell r="G193">
            <v>3468.5254912836604</v>
          </cell>
          <cell r="H193">
            <v>3468.5254912836604</v>
          </cell>
          <cell r="I193">
            <v>55.857481481481486</v>
          </cell>
          <cell r="J193">
            <v>55.857481481481486</v>
          </cell>
          <cell r="K193">
            <v>176.80220555555553</v>
          </cell>
          <cell r="L193">
            <v>176.80220555555553</v>
          </cell>
          <cell r="M193">
            <v>3701.1851783206976</v>
          </cell>
        </row>
        <row r="194">
          <cell r="A194" t="str">
            <v>908000050</v>
          </cell>
          <cell r="B194" t="str">
            <v>QUESO PARMESANO LAMINADO (KILO)</v>
          </cell>
          <cell r="C194">
            <v>0</v>
          </cell>
          <cell r="D194">
            <v>0</v>
          </cell>
          <cell r="E194" t="str">
            <v>Kilo</v>
          </cell>
          <cell r="F194" t="str">
            <v>Gramo</v>
          </cell>
          <cell r="G194">
            <v>10977.956002331004</v>
          </cell>
          <cell r="H194">
            <v>10.977956002331004</v>
          </cell>
          <cell r="I194">
            <v>3.5518648018648022</v>
          </cell>
          <cell r="J194">
            <v>3.5518648018648021E-3</v>
          </cell>
          <cell r="K194">
            <v>32.048499999999997</v>
          </cell>
          <cell r="L194">
            <v>3.2048499999999994E-2</v>
          </cell>
          <cell r="M194">
            <v>11013.556367132869</v>
          </cell>
        </row>
        <row r="195">
          <cell r="A195" t="str">
            <v>95374</v>
          </cell>
          <cell r="B195" t="str">
            <v>BASE PREMEZ PALITOS QUESO SPOON KILO</v>
          </cell>
          <cell r="C195" t="str">
            <v xml:space="preserve">ESP-RE-PRES-038 </v>
          </cell>
          <cell r="D195" t="str">
            <v>06</v>
          </cell>
          <cell r="E195" t="str">
            <v>Kilo</v>
          </cell>
          <cell r="F195" t="str">
            <v>Gramo</v>
          </cell>
          <cell r="G195">
            <v>569.62152258064521</v>
          </cell>
          <cell r="H195">
            <v>0.56962152258064525</v>
          </cell>
          <cell r="I195">
            <v>5.8838709677419354</v>
          </cell>
          <cell r="J195">
            <v>5.8838709677419354E-3</v>
          </cell>
          <cell r="K195">
            <v>42.57</v>
          </cell>
          <cell r="L195">
            <v>4.2570000000000004E-2</v>
          </cell>
          <cell r="M195">
            <v>618.07539354838718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4044.5599246451611</v>
          </cell>
          <cell r="H196">
            <v>4.0445599246451609</v>
          </cell>
          <cell r="I196">
            <v>3.6480000000000001</v>
          </cell>
          <cell r="J196">
            <v>3.6480000000000002E-3</v>
          </cell>
          <cell r="K196">
            <v>290.39339999999999</v>
          </cell>
          <cell r="L196">
            <v>0.29039339999999997</v>
          </cell>
          <cell r="M196">
            <v>4338.6013246451612</v>
          </cell>
        </row>
        <row r="197">
          <cell r="A197" t="str">
            <v>904000017</v>
          </cell>
          <cell r="B197" t="str">
            <v>ADEREZO ALCAPARRAS/ANCHOAS (KILO)</v>
          </cell>
          <cell r="C197" t="str">
            <v>ESP-RE-COFS-004</v>
          </cell>
          <cell r="D197" t="str">
            <v>08</v>
          </cell>
          <cell r="E197" t="str">
            <v>Kilo</v>
          </cell>
          <cell r="F197" t="str">
            <v>Gramo</v>
          </cell>
          <cell r="G197">
            <v>2695.2065758740782</v>
          </cell>
          <cell r="H197">
            <v>2.6952065758740784</v>
          </cell>
          <cell r="I197">
            <v>0.54978597942429819</v>
          </cell>
          <cell r="J197">
            <v>5.4978597942429818E-4</v>
          </cell>
          <cell r="K197">
            <v>221.6744510569853</v>
          </cell>
          <cell r="L197">
            <v>0.2216744510569853</v>
          </cell>
          <cell r="M197">
            <v>2917.4308129104875</v>
          </cell>
        </row>
        <row r="198">
          <cell r="A198" t="str">
            <v>90100279</v>
          </cell>
          <cell r="B198" t="str">
            <v>SALSA DE CULANTRO KILO</v>
          </cell>
          <cell r="C198" t="str">
            <v xml:space="preserve">ESP-RE-COFF-081 </v>
          </cell>
          <cell r="D198" t="str">
            <v>01</v>
          </cell>
          <cell r="E198" t="str">
            <v>Kilo</v>
          </cell>
          <cell r="F198" t="str">
            <v>Gramo</v>
          </cell>
          <cell r="G198">
            <v>1058.162288734128</v>
          </cell>
          <cell r="H198">
            <v>1.058162288734128</v>
          </cell>
          <cell r="I198">
            <v>1.2185090666666667</v>
          </cell>
          <cell r="J198">
            <v>1.2185090666666668E-3</v>
          </cell>
          <cell r="K198">
            <v>275.59399999999999</v>
          </cell>
          <cell r="L198">
            <v>0.27559400000000001</v>
          </cell>
          <cell r="M198">
            <v>1334.9747978007947</v>
          </cell>
        </row>
        <row r="199">
          <cell r="A199" t="str">
            <v>95376</v>
          </cell>
          <cell r="B199" t="str">
            <v>PREMEZCLA CANASTA/TARTALETA KILO</v>
          </cell>
          <cell r="C199" t="str">
            <v xml:space="preserve">ESP-RE-PRES-023 </v>
          </cell>
          <cell r="D199" t="str">
            <v>06</v>
          </cell>
          <cell r="E199" t="str">
            <v>Kilo</v>
          </cell>
          <cell r="F199" t="str">
            <v>Gramo</v>
          </cell>
          <cell r="G199">
            <v>750.92038162857784</v>
          </cell>
          <cell r="H199">
            <v>0.75092038162857788</v>
          </cell>
          <cell r="I199">
            <v>12.404654488080272</v>
          </cell>
          <cell r="J199">
            <v>1.2404654488080272E-2</v>
          </cell>
          <cell r="K199">
            <v>18.260000000000002</v>
          </cell>
          <cell r="L199">
            <v>1.8260000000000002E-2</v>
          </cell>
          <cell r="M199">
            <v>781.5850361166581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1361.9488232727274</v>
          </cell>
          <cell r="H200">
            <v>1.3619488232727275</v>
          </cell>
          <cell r="I200">
            <v>9.3652525252525276</v>
          </cell>
          <cell r="J200">
            <v>9.3652525252525282E-3</v>
          </cell>
          <cell r="K200">
            <v>27.920591999999999</v>
          </cell>
          <cell r="L200">
            <v>2.7920591999999998E-2</v>
          </cell>
          <cell r="M200">
            <v>1399.2346677979799</v>
          </cell>
        </row>
        <row r="201">
          <cell r="A201" t="str">
            <v>906000020</v>
          </cell>
          <cell r="B201" t="str">
            <v>CORTE CANASTA (UND)</v>
          </cell>
          <cell r="C201" t="str">
            <v>ESP-RE-PAPS-026</v>
          </cell>
          <cell r="D201" t="str">
            <v>02</v>
          </cell>
          <cell r="E201" t="str">
            <v>Und</v>
          </cell>
          <cell r="F201" t="str">
            <v>Und</v>
          </cell>
          <cell r="G201">
            <v>24.515078818909096</v>
          </cell>
          <cell r="H201">
            <v>24.515078818909096</v>
          </cell>
          <cell r="I201">
            <v>0.1685745454545455</v>
          </cell>
          <cell r="J201">
            <v>0.1685745454545455</v>
          </cell>
          <cell r="K201">
            <v>13.317570656000001</v>
          </cell>
          <cell r="L201">
            <v>13.317570656000001</v>
          </cell>
          <cell r="M201">
            <v>38.001224020363644</v>
          </cell>
        </row>
        <row r="202">
          <cell r="A202" t="str">
            <v>90100090</v>
          </cell>
          <cell r="B202" t="str">
            <v>RELLENO DE PIÑA PARA EMPANADA KILO</v>
          </cell>
          <cell r="C202">
            <v>0</v>
          </cell>
          <cell r="D202">
            <v>0</v>
          </cell>
          <cell r="E202" t="str">
            <v>Kilo</v>
          </cell>
          <cell r="F202" t="str">
            <v>Gramo</v>
          </cell>
          <cell r="G202">
            <v>3327.3225139703568</v>
          </cell>
          <cell r="H202">
            <v>3.3273225139703566</v>
          </cell>
          <cell r="I202">
            <v>5.6816326530612251</v>
          </cell>
          <cell r="J202">
            <v>5.6816326530612247E-3</v>
          </cell>
          <cell r="K202">
            <v>14.96</v>
          </cell>
          <cell r="L202">
            <v>1.4960000000000001E-2</v>
          </cell>
          <cell r="M202">
            <v>3347.9641466234179</v>
          </cell>
        </row>
        <row r="203">
          <cell r="A203" t="str">
            <v>903000142</v>
          </cell>
          <cell r="B203" t="str">
            <v>EMPANADA PIÑA PASTA FROLA UND</v>
          </cell>
          <cell r="C203">
            <v>0</v>
          </cell>
          <cell r="D203">
            <v>0</v>
          </cell>
          <cell r="E203" t="str">
            <v>Und</v>
          </cell>
          <cell r="F203" t="str">
            <v>Und</v>
          </cell>
          <cell r="G203">
            <v>121.5000142025187</v>
          </cell>
          <cell r="H203">
            <v>121.5000142025187</v>
          </cell>
          <cell r="I203">
            <v>1.2596665105117837</v>
          </cell>
          <cell r="J203">
            <v>1.2596665105117837</v>
          </cell>
          <cell r="K203">
            <v>23.417596924625574</v>
          </cell>
          <cell r="L203">
            <v>23.417596924625574</v>
          </cell>
          <cell r="M203">
            <v>146.17727763765606</v>
          </cell>
        </row>
        <row r="204">
          <cell r="A204" t="str">
            <v>90100280</v>
          </cell>
          <cell r="B204" t="str">
            <v>SALSA POMODORO KILO</v>
          </cell>
          <cell r="C204" t="str">
            <v xml:space="preserve">ESP-RE-COCS-295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1403.7475860877573</v>
          </cell>
          <cell r="H204">
            <v>1.4037475860877573</v>
          </cell>
          <cell r="I204">
            <v>0</v>
          </cell>
          <cell r="J204">
            <v>0</v>
          </cell>
          <cell r="K204">
            <v>128.315</v>
          </cell>
          <cell r="L204">
            <v>0.12831499999999998</v>
          </cell>
          <cell r="M204">
            <v>1532.0625860877574</v>
          </cell>
        </row>
        <row r="205">
          <cell r="A205" t="str">
            <v>90100115</v>
          </cell>
          <cell r="B205" t="str">
            <v>SALSA NARANJA KILO</v>
          </cell>
          <cell r="C205" t="str">
            <v>ESP-RE-COCS-233</v>
          </cell>
          <cell r="D205" t="str">
            <v>03</v>
          </cell>
          <cell r="E205" t="str">
            <v>Kilo</v>
          </cell>
          <cell r="F205" t="str">
            <v>Gramo</v>
          </cell>
          <cell r="G205">
            <v>1396.995352236042</v>
          </cell>
          <cell r="H205">
            <v>1.3969953522360419</v>
          </cell>
          <cell r="I205">
            <v>0</v>
          </cell>
          <cell r="J205">
            <v>0</v>
          </cell>
          <cell r="K205">
            <v>88</v>
          </cell>
          <cell r="L205">
            <v>8.7999999999999995E-2</v>
          </cell>
          <cell r="M205">
            <v>1484.995352236042</v>
          </cell>
        </row>
        <row r="206">
          <cell r="A206" t="str">
            <v>904000003</v>
          </cell>
          <cell r="B206" t="str">
            <v>SALSA LIMON/ALCAPARRAS (KILO)</v>
          </cell>
          <cell r="C206" t="str">
            <v>ESP-RE-COCS-021</v>
          </cell>
          <cell r="D206" t="str">
            <v>06</v>
          </cell>
          <cell r="E206" t="str">
            <v>Kilo</v>
          </cell>
          <cell r="F206" t="str">
            <v>Gramo</v>
          </cell>
          <cell r="G206">
            <v>1634.2326913768927</v>
          </cell>
          <cell r="H206">
            <v>1.6342326913768928</v>
          </cell>
          <cell r="I206">
            <v>6.3830225208333333</v>
          </cell>
          <cell r="J206">
            <v>6.3830225208333334E-3</v>
          </cell>
          <cell r="K206">
            <v>69.375624999999999</v>
          </cell>
          <cell r="L206">
            <v>6.9375624999999996E-2</v>
          </cell>
          <cell r="M206">
            <v>1709.9913388977259</v>
          </cell>
        </row>
        <row r="207">
          <cell r="A207" t="str">
            <v>90100120</v>
          </cell>
          <cell r="B207" t="str">
            <v>SALSA MONGOLIAN KILO</v>
          </cell>
          <cell r="C207" t="str">
            <v>ESP-RE-COCS-238</v>
          </cell>
          <cell r="D207" t="str">
            <v>02</v>
          </cell>
          <cell r="E207" t="str">
            <v>Kilo</v>
          </cell>
          <cell r="F207" t="str">
            <v>Gramo</v>
          </cell>
          <cell r="G207">
            <v>1415.7547439775913</v>
          </cell>
          <cell r="H207">
            <v>1.4157547439775913</v>
          </cell>
          <cell r="I207">
            <v>0</v>
          </cell>
          <cell r="J207">
            <v>0</v>
          </cell>
          <cell r="K207">
            <v>82.5</v>
          </cell>
          <cell r="L207">
            <v>8.2500000000000004E-2</v>
          </cell>
          <cell r="M207">
            <v>1498.2547439775913</v>
          </cell>
        </row>
        <row r="208">
          <cell r="A208" t="str">
            <v>904000009</v>
          </cell>
          <cell r="B208" t="str">
            <v>SALSA P/ARREGLADO (KILO)</v>
          </cell>
          <cell r="C208" t="str">
            <v>ESP-RE-COFS-059</v>
          </cell>
          <cell r="D208" t="str">
            <v>06</v>
          </cell>
          <cell r="E208" t="str">
            <v>Kilo</v>
          </cell>
          <cell r="F208" t="str">
            <v>Gramo</v>
          </cell>
          <cell r="G208">
            <v>1808.0477272590847</v>
          </cell>
          <cell r="H208">
            <v>1.8080477272590847</v>
          </cell>
          <cell r="I208">
            <v>27.488359788359791</v>
          </cell>
          <cell r="J208">
            <v>2.7488359788359791E-2</v>
          </cell>
          <cell r="K208">
            <v>145.31</v>
          </cell>
          <cell r="L208">
            <v>0.14530999999999999</v>
          </cell>
          <cell r="M208">
            <v>1980.8460870474444</v>
          </cell>
        </row>
        <row r="209">
          <cell r="A209" t="str">
            <v>904000020</v>
          </cell>
          <cell r="B209" t="str">
            <v>ADEREZO ACEITE AJO Y PEREJIL (KILO)</v>
          </cell>
          <cell r="C209" t="str">
            <v>ESP-RE-COFS-012</v>
          </cell>
          <cell r="D209" t="str">
            <v>05</v>
          </cell>
          <cell r="E209" t="str">
            <v>Kilo</v>
          </cell>
          <cell r="F209" t="str">
            <v>Gramo</v>
          </cell>
          <cell r="G209">
            <v>2800.607521810859</v>
          </cell>
          <cell r="H209">
            <v>2.8006075218108588</v>
          </cell>
          <cell r="I209">
            <v>15.872697885000001</v>
          </cell>
          <cell r="J209">
            <v>1.5872697885000002E-2</v>
          </cell>
          <cell r="K209">
            <v>3.7625500000000001</v>
          </cell>
          <cell r="L209">
            <v>3.7625499999999999E-3</v>
          </cell>
          <cell r="M209">
            <v>2820.2427696958589</v>
          </cell>
        </row>
        <row r="210">
          <cell r="A210" t="str">
            <v>904000009</v>
          </cell>
          <cell r="B210" t="str">
            <v>SALSA P/ARREGLADO (KILO)</v>
          </cell>
          <cell r="C210" t="str">
            <v>ESP-RE-COFS-059</v>
          </cell>
          <cell r="D210" t="str">
            <v>06</v>
          </cell>
          <cell r="E210" t="str">
            <v>Kilo</v>
          </cell>
          <cell r="F210" t="str">
            <v>Gramo</v>
          </cell>
          <cell r="G210">
            <v>1808.0477272590847</v>
          </cell>
          <cell r="H210">
            <v>1.8080477272590847</v>
          </cell>
          <cell r="I210">
            <v>27.488359788359791</v>
          </cell>
          <cell r="J210">
            <v>2.7488359788359791E-2</v>
          </cell>
          <cell r="K210">
            <v>145.31</v>
          </cell>
          <cell r="L210">
            <v>0.14530999999999999</v>
          </cell>
          <cell r="M210">
            <v>1980.8460870474444</v>
          </cell>
        </row>
        <row r="211">
          <cell r="A211" t="str">
            <v>906000003</v>
          </cell>
          <cell r="B211" t="str">
            <v>CORTE GALLETA CHILENA PEQUEÑA (UND)</v>
          </cell>
          <cell r="C211" t="str">
            <v>ESP-RE-PAPS-004</v>
          </cell>
          <cell r="D211" t="str">
            <v>02</v>
          </cell>
          <cell r="E211" t="str">
            <v>und</v>
          </cell>
          <cell r="F211" t="str">
            <v>Und</v>
          </cell>
          <cell r="G211">
            <v>85.909462318117079</v>
          </cell>
          <cell r="H211">
            <v>85.909462318117079</v>
          </cell>
          <cell r="I211">
            <v>0.37241147533333341</v>
          </cell>
          <cell r="J211">
            <v>0.37241147533333341</v>
          </cell>
          <cell r="K211">
            <v>17.983651323</v>
          </cell>
          <cell r="L211">
            <v>17.983651323</v>
          </cell>
          <cell r="M211">
            <v>104.26552511645042</v>
          </cell>
        </row>
        <row r="212">
          <cell r="A212" t="str">
            <v>903000101</v>
          </cell>
          <cell r="B212" t="str">
            <v>TAPA ALFAJOR PEQUEÑO (UND)</v>
          </cell>
          <cell r="C212" t="str">
            <v>ESP-RE-PAPS-110</v>
          </cell>
          <cell r="D212" t="str">
            <v>01</v>
          </cell>
          <cell r="E212" t="str">
            <v>Und</v>
          </cell>
          <cell r="F212" t="str">
            <v>Und</v>
          </cell>
          <cell r="G212">
            <v>8.3008029981184333</v>
          </cell>
          <cell r="H212">
            <v>8.3008029981184333</v>
          </cell>
          <cell r="I212">
            <v>3.301773091726852E-2</v>
          </cell>
          <cell r="J212">
            <v>3.301773091726852E-2</v>
          </cell>
          <cell r="K212">
            <v>4.1334667083227785</v>
          </cell>
          <cell r="L212">
            <v>4.1334667083227785</v>
          </cell>
          <cell r="M212">
            <v>12.467287437358481</v>
          </cell>
        </row>
        <row r="213">
          <cell r="A213" t="str">
            <v>904000024</v>
          </cell>
          <cell r="B213" t="str">
            <v>ADEREZO PESTO/ALBAHACA (KILO)</v>
          </cell>
          <cell r="C213" t="str">
            <v>ESP-RE-COFS-017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2717.6186992156863</v>
          </cell>
          <cell r="H213">
            <v>2.7176186992156861</v>
          </cell>
          <cell r="I213">
            <v>1.9313483295368261</v>
          </cell>
          <cell r="J213">
            <v>1.931348329536826E-3</v>
          </cell>
          <cell r="K213">
            <v>89.678875000000005</v>
          </cell>
          <cell r="L213">
            <v>8.9678875000000005E-2</v>
          </cell>
          <cell r="M213">
            <v>2809.2289225452232</v>
          </cell>
        </row>
        <row r="214">
          <cell r="A214" t="str">
            <v>90100112</v>
          </cell>
          <cell r="B214" t="str">
            <v>SOPA ORIENTAL KILO</v>
          </cell>
          <cell r="C214" t="str">
            <v>ESP-RE-COCS-230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675.72619319791841</v>
          </cell>
          <cell r="H214">
            <v>0.67572619319791838</v>
          </cell>
          <cell r="I214">
            <v>12.69877257683215</v>
          </cell>
          <cell r="J214">
            <v>1.269877257683215E-2</v>
          </cell>
          <cell r="K214">
            <v>137.4063829787234</v>
          </cell>
          <cell r="L214">
            <v>0.1374063829787234</v>
          </cell>
          <cell r="M214">
            <v>825.831348753474</v>
          </cell>
        </row>
        <row r="215">
          <cell r="A215" t="str">
            <v>903000175</v>
          </cell>
          <cell r="B215" t="str">
            <v>PREMEZCLA ALFAJOR CHOCO KILO</v>
          </cell>
          <cell r="C215">
            <v>0</v>
          </cell>
          <cell r="D215">
            <v>0</v>
          </cell>
          <cell r="E215" t="str">
            <v>Kilo</v>
          </cell>
          <cell r="F215" t="str">
            <v>Gramo</v>
          </cell>
          <cell r="G215">
            <v>987.28265690928288</v>
          </cell>
          <cell r="H215">
            <v>0.98728265690928285</v>
          </cell>
          <cell r="I215">
            <v>4.9167838724800745</v>
          </cell>
          <cell r="J215">
            <v>4.9167838724800744E-3</v>
          </cell>
          <cell r="K215">
            <v>21.75632911392405</v>
          </cell>
          <cell r="L215">
            <v>2.1756329113924049E-2</v>
          </cell>
          <cell r="M215">
            <v>1013.955769895687</v>
          </cell>
        </row>
        <row r="216">
          <cell r="A216" t="str">
            <v>907000224</v>
          </cell>
          <cell r="B216" t="str">
            <v>BATIDO ALFAJOR DE CHOCOLATE KILO</v>
          </cell>
          <cell r="C216">
            <v>0</v>
          </cell>
          <cell r="D216">
            <v>0</v>
          </cell>
          <cell r="E216" t="str">
            <v>Kilo</v>
          </cell>
          <cell r="F216" t="str">
            <v>Gramo</v>
          </cell>
          <cell r="G216">
            <v>978.56760913043502</v>
          </cell>
          <cell r="H216">
            <v>0.97856760913043506</v>
          </cell>
          <cell r="I216">
            <v>4.8637681159420287</v>
          </cell>
          <cell r="J216">
            <v>4.8637681159420286E-3</v>
          </cell>
          <cell r="K216">
            <v>45.434782608695649</v>
          </cell>
          <cell r="L216">
            <v>4.5434782608695649E-2</v>
          </cell>
          <cell r="M216">
            <v>1028.8661598550727</v>
          </cell>
        </row>
        <row r="217">
          <cell r="A217" t="str">
            <v>903000176</v>
          </cell>
          <cell r="B217" t="str">
            <v>CORTE ALFAJOR FLOR CHOCOLATE UND</v>
          </cell>
          <cell r="C217">
            <v>0</v>
          </cell>
          <cell r="D217">
            <v>0</v>
          </cell>
          <cell r="E217" t="str">
            <v>Und</v>
          </cell>
          <cell r="F217" t="str">
            <v>Und</v>
          </cell>
          <cell r="G217">
            <v>15.126388283074538</v>
          </cell>
          <cell r="H217">
            <v>15.126388283074538</v>
          </cell>
          <cell r="I217">
            <v>7.4693581780538296E-2</v>
          </cell>
          <cell r="J217">
            <v>7.4693581780538296E-2</v>
          </cell>
          <cell r="K217">
            <v>3.3157484472049692</v>
          </cell>
          <cell r="L217">
            <v>3.3157484472049692</v>
          </cell>
          <cell r="M217">
            <v>18.516830312060044</v>
          </cell>
        </row>
        <row r="218">
          <cell r="A218" t="str">
            <v>908000049</v>
          </cell>
          <cell r="B218" t="str">
            <v>COCCION PALMITO P/ENSALADA (KILO)</v>
          </cell>
          <cell r="C218" t="str">
            <v>ESP-RE-COCS-072</v>
          </cell>
          <cell r="D218" t="str">
            <v>01</v>
          </cell>
          <cell r="E218" t="str">
            <v>Kilo</v>
          </cell>
          <cell r="F218" t="str">
            <v>Gramo</v>
          </cell>
          <cell r="G218">
            <v>2350.6046504901965</v>
          </cell>
          <cell r="H218">
            <v>2.3506046504901965</v>
          </cell>
          <cell r="I218">
            <v>52.447368421052637</v>
          </cell>
          <cell r="J218">
            <v>5.2447368421052638E-2</v>
          </cell>
          <cell r="K218">
            <v>86.350000000000009</v>
          </cell>
          <cell r="L218">
            <v>8.635000000000001E-2</v>
          </cell>
          <cell r="M218">
            <v>2489.4020189112489</v>
          </cell>
        </row>
        <row r="219">
          <cell r="A219" t="str">
            <v>90100111</v>
          </cell>
          <cell r="B219" t="str">
            <v>FIDEO ORIENTAl KILO</v>
          </cell>
          <cell r="C219" t="str">
            <v>ESP-RE-COCS-231</v>
          </cell>
          <cell r="D219" t="str">
            <v>01</v>
          </cell>
          <cell r="E219" t="str">
            <v>Kilo</v>
          </cell>
          <cell r="F219" t="str">
            <v>Gramo</v>
          </cell>
          <cell r="G219">
            <v>749.66243422946525</v>
          </cell>
          <cell r="H219">
            <v>0.74966243422946521</v>
          </cell>
          <cell r="I219">
            <v>1.4186666666666667</v>
          </cell>
          <cell r="J219">
            <v>1.4186666666666668E-3</v>
          </cell>
          <cell r="K219">
            <v>275</v>
          </cell>
          <cell r="L219">
            <v>0.27500000000000002</v>
          </cell>
          <cell r="M219">
            <v>1026.0811008961318</v>
          </cell>
        </row>
        <row r="220">
          <cell r="A220" t="str">
            <v>905000069</v>
          </cell>
          <cell r="B220" t="str">
            <v xml:space="preserve">RELLENO MOUSSE DE BAILEYS </v>
          </cell>
          <cell r="C220" t="str">
            <v>ESP-RE-POS-144</v>
          </cell>
          <cell r="D220" t="str">
            <v>03</v>
          </cell>
          <cell r="E220" t="str">
            <v>Kilo</v>
          </cell>
          <cell r="F220" t="str">
            <v>Gramo</v>
          </cell>
          <cell r="G220">
            <v>3973.6721299999999</v>
          </cell>
          <cell r="H220">
            <v>3.9736721299999997</v>
          </cell>
          <cell r="I220">
            <v>0</v>
          </cell>
          <cell r="J220">
            <v>0</v>
          </cell>
          <cell r="K220">
            <v>137.5</v>
          </cell>
          <cell r="L220">
            <v>0.13750000000000001</v>
          </cell>
          <cell r="M220">
            <v>4111.1721299999999</v>
          </cell>
        </row>
        <row r="221">
          <cell r="A221" t="str">
            <v>908000048</v>
          </cell>
          <cell r="B221" t="str">
            <v>GANACHE BAILEYS (KILO)</v>
          </cell>
          <cell r="C221" t="str">
            <v>ESP-RE-COCS-071</v>
          </cell>
          <cell r="D221" t="str">
            <v>02</v>
          </cell>
          <cell r="E221" t="str">
            <v>Kilo</v>
          </cell>
          <cell r="F221" t="str">
            <v>Gramo</v>
          </cell>
          <cell r="G221">
            <v>4413.7337936507929</v>
          </cell>
          <cell r="H221">
            <v>4.4137337936507928</v>
          </cell>
          <cell r="I221">
            <v>14.235714285714286</v>
          </cell>
          <cell r="J221">
            <v>1.4235714285714286E-2</v>
          </cell>
          <cell r="K221">
            <v>392.81</v>
          </cell>
          <cell r="L221">
            <v>0.39280999999999999</v>
          </cell>
          <cell r="M221">
            <v>4820.7795079365078</v>
          </cell>
        </row>
        <row r="222">
          <cell r="A222" t="str">
            <v>908000059</v>
          </cell>
          <cell r="B222" t="str">
            <v>COCCION QUINUA BLANCA (KILO)</v>
          </cell>
          <cell r="C222" t="str">
            <v>ESP-RE-COCS-086</v>
          </cell>
          <cell r="D222" t="str">
            <v>04</v>
          </cell>
          <cell r="E222" t="str">
            <v>Kilo</v>
          </cell>
          <cell r="F222" t="str">
            <v>Gramo</v>
          </cell>
          <cell r="G222">
            <v>979.14538888888899</v>
          </cell>
          <cell r="H222">
            <v>0.97914538888888902</v>
          </cell>
          <cell r="I222">
            <v>16.608333333333334</v>
          </cell>
          <cell r="J222">
            <v>1.6608333333333333E-2</v>
          </cell>
          <cell r="K222">
            <v>183.15</v>
          </cell>
          <cell r="L222">
            <v>0.18315000000000001</v>
          </cell>
          <cell r="M222">
            <v>1178.9037222222223</v>
          </cell>
        </row>
        <row r="223">
          <cell r="A223" t="str">
            <v>901000022</v>
          </cell>
          <cell r="B223" t="str">
            <v>PREMEZCLA BATIDO SOUFFLE KILO</v>
          </cell>
          <cell r="C223" t="str">
            <v xml:space="preserve">ESP-RE-PRES-022 </v>
          </cell>
          <cell r="D223" t="str">
            <v>01</v>
          </cell>
          <cell r="E223" t="str">
            <v>Kilo</v>
          </cell>
          <cell r="F223" t="str">
            <v>Gramo</v>
          </cell>
          <cell r="G223">
            <v>1731.8418296320849</v>
          </cell>
          <cell r="H223">
            <v>1.731841829632085</v>
          </cell>
          <cell r="I223">
            <v>1.8892940006629102</v>
          </cell>
          <cell r="J223">
            <v>1.8892940006629102E-3</v>
          </cell>
          <cell r="K223">
            <v>27.335000000000001</v>
          </cell>
          <cell r="L223">
            <v>2.7335000000000002E-2</v>
          </cell>
          <cell r="M223">
            <v>1761.0661236327478</v>
          </cell>
        </row>
        <row r="224">
          <cell r="A224" t="str">
            <v>902000018</v>
          </cell>
          <cell r="B224" t="str">
            <v>BATIDO SOUFFLE (KILO)</v>
          </cell>
          <cell r="C224" t="str">
            <v>ESP-RE-BAS-049</v>
          </cell>
          <cell r="D224" t="str">
            <v>02</v>
          </cell>
          <cell r="E224" t="str">
            <v>Kilo</v>
          </cell>
          <cell r="F224" t="str">
            <v>Gramo</v>
          </cell>
          <cell r="G224">
            <v>1505.2450779014309</v>
          </cell>
          <cell r="H224">
            <v>1.505245077901431</v>
          </cell>
          <cell r="I224">
            <v>1.027027027027027</v>
          </cell>
          <cell r="J224">
            <v>1.0270270270270269E-3</v>
          </cell>
          <cell r="K224">
            <v>14.859404504504505</v>
          </cell>
          <cell r="L224">
            <v>1.4859404504504506E-2</v>
          </cell>
          <cell r="M224">
            <v>1521.1315094329625</v>
          </cell>
        </row>
        <row r="225">
          <cell r="A225" t="str">
            <v>907000073</v>
          </cell>
          <cell r="B225" t="str">
            <v>ROSQUETE TRES LECHES SOUFLE (40G) KFC</v>
          </cell>
          <cell r="C225" t="str">
            <v>ESP-RE-BAF-045</v>
          </cell>
          <cell r="D225" t="str">
            <v>05</v>
          </cell>
          <cell r="E225" t="str">
            <v>Und</v>
          </cell>
          <cell r="F225" t="str">
            <v>Und</v>
          </cell>
          <cell r="G225">
            <v>69.315425344514921</v>
          </cell>
          <cell r="H225">
            <v>69.315425344514921</v>
          </cell>
          <cell r="I225">
            <v>1.1081826843261717</v>
          </cell>
          <cell r="J225">
            <v>1.1081826843261717</v>
          </cell>
          <cell r="K225">
            <v>5.2326587499999997</v>
          </cell>
          <cell r="L225">
            <v>5.2326587499999997</v>
          </cell>
          <cell r="M225">
            <v>75.656266778841086</v>
          </cell>
        </row>
        <row r="226">
          <cell r="A226" t="str">
            <v>902000048</v>
          </cell>
          <cell r="B226" t="str">
            <v>TRES LECHES KFC (UND)</v>
          </cell>
          <cell r="C226" t="str">
            <v>ESP-RE-POF-059</v>
          </cell>
          <cell r="D226" t="str">
            <v>03</v>
          </cell>
          <cell r="E226" t="str">
            <v>Und</v>
          </cell>
          <cell r="F226" t="str">
            <v>Und</v>
          </cell>
          <cell r="G226">
            <v>308.51855024836107</v>
          </cell>
          <cell r="H226">
            <v>308.51855024836107</v>
          </cell>
          <cell r="I226">
            <v>43.063600953556943</v>
          </cell>
          <cell r="J226">
            <v>43.063600953556943</v>
          </cell>
          <cell r="K226">
            <v>51.460736250000004</v>
          </cell>
          <cell r="L226">
            <v>51.460736250000004</v>
          </cell>
          <cell r="M226">
            <v>403.04288745191803</v>
          </cell>
        </row>
        <row r="227">
          <cell r="A227" t="str">
            <v>906000112</v>
          </cell>
          <cell r="B227" t="str">
            <v>BASE PREMEZCLA CHOCOLATE BUCCA (KILO)</v>
          </cell>
          <cell r="C227" t="str">
            <v>ESP-RE-PRES-026</v>
          </cell>
          <cell r="D227" t="str">
            <v>03</v>
          </cell>
          <cell r="E227" t="str">
            <v>Kilo</v>
          </cell>
          <cell r="F227" t="str">
            <v>Gramo</v>
          </cell>
          <cell r="G227">
            <v>4844.88</v>
          </cell>
          <cell r="H227">
            <v>4.8448799999999999</v>
          </cell>
          <cell r="I227">
            <v>120</v>
          </cell>
          <cell r="J227">
            <v>0.12</v>
          </cell>
          <cell r="K227">
            <v>4400</v>
          </cell>
          <cell r="L227">
            <v>4.4000000000000004</v>
          </cell>
          <cell r="M227">
            <v>9364.880000000001</v>
          </cell>
        </row>
        <row r="228">
          <cell r="A228" t="str">
            <v>902000002</v>
          </cell>
          <cell r="B228" t="str">
            <v>BATIDO CHOCOLATE BUCCA (KILO)</v>
          </cell>
          <cell r="C228" t="str">
            <v>ESP-RE-BAF-006</v>
          </cell>
          <cell r="D228" t="str">
            <v>05</v>
          </cell>
          <cell r="E228" t="str">
            <v>Kilo</v>
          </cell>
          <cell r="F228" t="str">
            <v>Gramo</v>
          </cell>
          <cell r="G228">
            <v>1068.6410957563899</v>
          </cell>
          <cell r="H228">
            <v>1.0686410957563899</v>
          </cell>
          <cell r="I228">
            <v>6.2370062370062374E-2</v>
          </cell>
          <cell r="J228">
            <v>6.2370062370062376E-5</v>
          </cell>
          <cell r="K228">
            <v>11.416902286902289</v>
          </cell>
          <cell r="L228">
            <v>1.141690228690229E-2</v>
          </cell>
          <cell r="M228">
            <v>1080.1203681056622</v>
          </cell>
        </row>
        <row r="229">
          <cell r="A229" t="str">
            <v>904000002</v>
          </cell>
          <cell r="B229" t="str">
            <v>SALSA FRESA KILO</v>
          </cell>
          <cell r="C229" t="str">
            <v>ESP-RE-DES-108</v>
          </cell>
          <cell r="D229" t="str">
            <v>05</v>
          </cell>
          <cell r="E229" t="str">
            <v>Kilo</v>
          </cell>
          <cell r="F229" t="str">
            <v>Gramo</v>
          </cell>
          <cell r="G229">
            <v>3237.7401181263244</v>
          </cell>
          <cell r="H229">
            <v>3.2377401181263243</v>
          </cell>
          <cell r="I229">
            <v>26.122268078378987</v>
          </cell>
          <cell r="J229">
            <v>2.6122268078378988E-2</v>
          </cell>
          <cell r="K229">
            <v>243.15640819641339</v>
          </cell>
          <cell r="L229">
            <v>0.2431564081964134</v>
          </cell>
          <cell r="M229">
            <v>3507.0187944011168</v>
          </cell>
        </row>
        <row r="230">
          <cell r="A230" t="str">
            <v>903000039</v>
          </cell>
          <cell r="B230" t="str">
            <v>ROSQUETE CHOCOLATE BUCCA 425g</v>
          </cell>
          <cell r="C230" t="str">
            <v>ESP-RE-BAF-001</v>
          </cell>
          <cell r="D230" t="str">
            <v>05</v>
          </cell>
          <cell r="E230" t="str">
            <v>UND</v>
          </cell>
          <cell r="F230" t="str">
            <v>Und</v>
          </cell>
          <cell r="G230">
            <v>472.24611942538667</v>
          </cell>
          <cell r="H230">
            <v>472.24611942538667</v>
          </cell>
          <cell r="I230">
            <v>4.7464893412162166</v>
          </cell>
          <cell r="J230">
            <v>4.7464893412162166</v>
          </cell>
          <cell r="K230">
            <v>15.522932432432434</v>
          </cell>
          <cell r="L230">
            <v>15.522932432432434</v>
          </cell>
          <cell r="M230">
            <v>492.51554119903528</v>
          </cell>
        </row>
        <row r="231">
          <cell r="A231" t="str">
            <v>910000007</v>
          </cell>
          <cell r="B231" t="str">
            <v>MEZCLA TRES LECHES C/BAILEYS LITRO</v>
          </cell>
          <cell r="C231" t="str">
            <v xml:space="preserve">ESP-RE-DES-027 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6867.1869482862185</v>
          </cell>
          <cell r="H231">
            <v>6.8671869482862187</v>
          </cell>
          <cell r="I231">
            <v>3.1627977511111114</v>
          </cell>
          <cell r="J231">
            <v>3.1627977511111114E-3</v>
          </cell>
          <cell r="K231">
            <v>32.012695000000001</v>
          </cell>
          <cell r="L231">
            <v>3.2012695000000001E-2</v>
          </cell>
          <cell r="M231">
            <v>6902.3624410373295</v>
          </cell>
        </row>
        <row r="232">
          <cell r="A232" t="str">
            <v>905000031</v>
          </cell>
          <cell r="B232" t="str">
            <v>RELLENO CREMA MOKA C/BAILEYS (KILO)</v>
          </cell>
          <cell r="C232" t="str">
            <v>ESP-RE-POS-039</v>
          </cell>
          <cell r="D232" t="str">
            <v>02</v>
          </cell>
          <cell r="E232" t="str">
            <v>Kilo</v>
          </cell>
          <cell r="F232" t="str">
            <v>Gramo</v>
          </cell>
          <cell r="G232">
            <v>3809.7185837333332</v>
          </cell>
          <cell r="H232">
            <v>3.8097185837333329</v>
          </cell>
          <cell r="I232">
            <v>0.43180607555555556</v>
          </cell>
          <cell r="J232">
            <v>4.3180607555555554E-4</v>
          </cell>
          <cell r="K232">
            <v>198.1563940888889</v>
          </cell>
          <cell r="L232">
            <v>0.19815639408888891</v>
          </cell>
          <cell r="M232">
            <v>4008.3067838977777</v>
          </cell>
        </row>
        <row r="233">
          <cell r="A233" t="str">
            <v>910000012</v>
          </cell>
          <cell r="B233" t="str">
            <v>SEMILLAS PECANA TOSTADA (KILO)</v>
          </cell>
          <cell r="C233" t="str">
            <v xml:space="preserve">ESP-RE-DES-034 </v>
          </cell>
          <cell r="D233" t="str">
            <v>02</v>
          </cell>
          <cell r="E233" t="str">
            <v>Kilo</v>
          </cell>
          <cell r="F233" t="str">
            <v>Gramo</v>
          </cell>
          <cell r="G233">
            <v>10250.048982600001</v>
          </cell>
          <cell r="H233">
            <v>10.250048982600001</v>
          </cell>
          <cell r="I233">
            <v>31.140625</v>
          </cell>
          <cell r="J233">
            <v>3.1140625000000002E-2</v>
          </cell>
          <cell r="K233">
            <v>114.56500000000001</v>
          </cell>
          <cell r="L233">
            <v>0.11456500000000001</v>
          </cell>
          <cell r="M233">
            <v>10395.754607600002</v>
          </cell>
        </row>
        <row r="234">
          <cell r="A234" t="str">
            <v>907000015</v>
          </cell>
          <cell r="B234" t="str">
            <v>MEZCLA CHOCOLATE BLANCO C/PECANA (KILO)</v>
          </cell>
          <cell r="C234" t="str">
            <v>ESP-RE-POS-040</v>
          </cell>
          <cell r="D234" t="str">
            <v>01</v>
          </cell>
          <cell r="E234" t="str">
            <v>Kilo</v>
          </cell>
          <cell r="F234" t="str">
            <v>Gramo</v>
          </cell>
          <cell r="G234">
            <v>6516.6210625180011</v>
          </cell>
          <cell r="H234">
            <v>6.5166210625180012</v>
          </cell>
          <cell r="I234">
            <v>35.790468750000002</v>
          </cell>
          <cell r="J234">
            <v>3.5790468750000005E-2</v>
          </cell>
          <cell r="K234">
            <v>599.26295000000005</v>
          </cell>
          <cell r="L234">
            <v>0.59926295000000007</v>
          </cell>
          <cell r="M234">
            <v>7151.6744812680017</v>
          </cell>
        </row>
        <row r="235">
          <cell r="A235" t="str">
            <v>908000032</v>
          </cell>
          <cell r="B235" t="str">
            <v>GANACHE CHOCOLATE OSCURO (KILO)</v>
          </cell>
          <cell r="C235" t="str">
            <v>ESP-RE-COCS-048</v>
          </cell>
          <cell r="D235" t="str">
            <v>09</v>
          </cell>
          <cell r="E235" t="str">
            <v>Kilo</v>
          </cell>
          <cell r="F235" t="str">
            <v>Gramo</v>
          </cell>
          <cell r="G235">
            <v>3419.6805896805895</v>
          </cell>
          <cell r="H235">
            <v>3.4196805896805893</v>
          </cell>
          <cell r="I235">
            <v>1.4250614250614248E-2</v>
          </cell>
          <cell r="J235">
            <v>1.4250614250614247E-5</v>
          </cell>
          <cell r="K235">
            <v>40.534999999999997</v>
          </cell>
          <cell r="L235">
            <v>4.0534999999999995E-2</v>
          </cell>
          <cell r="M235">
            <v>3460.22984029484</v>
          </cell>
        </row>
        <row r="236">
          <cell r="A236" t="str">
            <v>903000028</v>
          </cell>
          <cell r="B236" t="str">
            <v>ROSQUETE TRES LECHES 750g</v>
          </cell>
          <cell r="C236">
            <v>0</v>
          </cell>
          <cell r="D236">
            <v>0</v>
          </cell>
          <cell r="E236" t="str">
            <v>Und</v>
          </cell>
          <cell r="F236" t="str">
            <v>Und</v>
          </cell>
          <cell r="G236">
            <v>630.99601708288583</v>
          </cell>
          <cell r="H236">
            <v>630.99601708288583</v>
          </cell>
          <cell r="I236">
            <v>7.5106954611111121</v>
          </cell>
          <cell r="J236">
            <v>7.5106954611111121</v>
          </cell>
          <cell r="K236">
            <v>47.340040000000002</v>
          </cell>
          <cell r="L236">
            <v>47.340040000000002</v>
          </cell>
          <cell r="M236">
            <v>685.84675254399701</v>
          </cell>
        </row>
        <row r="237">
          <cell r="A237" t="str">
            <v>910000019</v>
          </cell>
          <cell r="B237" t="str">
            <v>CREMA BLANCA C/GALLETA CHOCO (KILO)</v>
          </cell>
          <cell r="C237" t="str">
            <v xml:space="preserve">ESP-RE-DES-043 </v>
          </cell>
          <cell r="D237" t="str">
            <v>02</v>
          </cell>
          <cell r="E237" t="str">
            <v>Kilo</v>
          </cell>
          <cell r="F237" t="str">
            <v>Gramo</v>
          </cell>
          <cell r="G237">
            <v>1734.6422777777773</v>
          </cell>
          <cell r="H237">
            <v>1.7346422777777772</v>
          </cell>
          <cell r="I237">
            <v>9.8518518518518519E-2</v>
          </cell>
          <cell r="J237">
            <v>9.8518518518518521E-5</v>
          </cell>
          <cell r="K237">
            <v>25.41</v>
          </cell>
          <cell r="L237">
            <v>2.5409999999999999E-2</v>
          </cell>
          <cell r="M237">
            <v>1760.150796296296</v>
          </cell>
        </row>
        <row r="238">
          <cell r="A238" t="str">
            <v>96199</v>
          </cell>
          <cell r="B238" t="str">
            <v>COBERTURA CHOCOLATE LECHE RALLADO 4700g</v>
          </cell>
          <cell r="C238" t="str">
            <v xml:space="preserve">ESP-RE-DES-029 </v>
          </cell>
          <cell r="D238" t="str">
            <v>01</v>
          </cell>
          <cell r="E238" t="str">
            <v>Kilo</v>
          </cell>
          <cell r="F238" t="str">
            <v>Gramo</v>
          </cell>
          <cell r="G238">
            <v>4753.1914893617013</v>
          </cell>
          <cell r="H238">
            <v>4.7531914893617015</v>
          </cell>
          <cell r="I238">
            <v>0.12340425531914893</v>
          </cell>
          <cell r="J238">
            <v>1.2340425531914893E-4</v>
          </cell>
          <cell r="K238">
            <v>81.400000000000006</v>
          </cell>
          <cell r="L238">
            <v>8.14E-2</v>
          </cell>
          <cell r="M238">
            <v>4834.7148936170197</v>
          </cell>
        </row>
        <row r="239">
          <cell r="A239" t="str">
            <v>907000230</v>
          </cell>
          <cell r="B239" t="str">
            <v>ROSQUETE PILLSBURY 460 g</v>
          </cell>
          <cell r="C239" t="str">
            <v>ESP-RE-BAS-127</v>
          </cell>
          <cell r="D239" t="str">
            <v>01</v>
          </cell>
          <cell r="E239" t="str">
            <v>Und</v>
          </cell>
          <cell r="F239" t="str">
            <v>Und</v>
          </cell>
          <cell r="G239">
            <v>611.35168529030875</v>
          </cell>
          <cell r="H239">
            <v>611.35168529030875</v>
          </cell>
          <cell r="I239">
            <v>4.4645076913218382</v>
          </cell>
          <cell r="J239">
            <v>4.4645076913218382</v>
          </cell>
          <cell r="K239">
            <v>16.907772636206897</v>
          </cell>
          <cell r="L239">
            <v>16.907772636206897</v>
          </cell>
          <cell r="M239">
            <v>632.72396561783751</v>
          </cell>
        </row>
        <row r="240">
          <cell r="A240" t="str">
            <v>903000033</v>
          </cell>
          <cell r="B240" t="str">
            <v>ROSQUETE CHOCOLATE PILLSBURY 70g</v>
          </cell>
          <cell r="C240" t="str">
            <v>ESP-RE-BAS-050</v>
          </cell>
          <cell r="D240" t="str">
            <v>04</v>
          </cell>
          <cell r="E240" t="str">
            <v>Und</v>
          </cell>
          <cell r="F240" t="str">
            <v>Und</v>
          </cell>
          <cell r="G240">
            <v>93.041466748649299</v>
          </cell>
          <cell r="H240">
            <v>93.041466748649299</v>
          </cell>
          <cell r="I240">
            <v>1.4021319345172414</v>
          </cell>
          <cell r="J240">
            <v>1.4021319345172414</v>
          </cell>
          <cell r="K240">
            <v>3.8310650333620684</v>
          </cell>
          <cell r="L240">
            <v>3.8310650333620684</v>
          </cell>
          <cell r="M240">
            <v>98.274663716528607</v>
          </cell>
        </row>
        <row r="241">
          <cell r="A241" t="str">
            <v>906000096</v>
          </cell>
          <cell r="B241" t="str">
            <v>BASE PREMEZCLA VAINILLA PURATOS KILO</v>
          </cell>
          <cell r="C241" t="str">
            <v>ESP-RE-PRES-073</v>
          </cell>
          <cell r="D241" t="str">
            <v>13</v>
          </cell>
          <cell r="E241" t="str">
            <v>Kilo</v>
          </cell>
          <cell r="F241" t="str">
            <v>Gramo</v>
          </cell>
          <cell r="G241">
            <v>3966.0039999999999</v>
          </cell>
          <cell r="H241">
            <v>3.9660039999999999</v>
          </cell>
          <cell r="I241">
            <v>62.538922155688617</v>
          </cell>
          <cell r="J241">
            <v>6.2538922155688612E-2</v>
          </cell>
          <cell r="K241">
            <v>410.40999999999997</v>
          </cell>
          <cell r="L241">
            <v>0.41040999999999994</v>
          </cell>
          <cell r="M241">
            <v>4438.9529221556886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882.3746381239722</v>
          </cell>
          <cell r="H242">
            <v>0.88237463812397221</v>
          </cell>
          <cell r="I242">
            <v>0.18021968965295213</v>
          </cell>
          <cell r="J242">
            <v>1.8021968965295211E-4</v>
          </cell>
          <cell r="K242">
            <v>12.237686881720432</v>
          </cell>
          <cell r="L242">
            <v>1.2237686881720432E-2</v>
          </cell>
          <cell r="M242">
            <v>894.79254469534555</v>
          </cell>
        </row>
        <row r="243">
          <cell r="A243" t="str">
            <v>903000040</v>
          </cell>
          <cell r="B243" t="str">
            <v>ROSQUETE VAINILLA PURATOS BUCCA 350g</v>
          </cell>
          <cell r="C243" t="str">
            <v xml:space="preserve">ESP-RE-BAF-002 </v>
          </cell>
          <cell r="D243" t="str">
            <v>06</v>
          </cell>
          <cell r="E243" t="str">
            <v>Und</v>
          </cell>
          <cell r="F243" t="str">
            <v>Und</v>
          </cell>
          <cell r="G243">
            <v>316.05123341740369</v>
          </cell>
          <cell r="H243">
            <v>316.05123341740369</v>
          </cell>
          <cell r="I243">
            <v>3.7752807014727199</v>
          </cell>
          <cell r="J243">
            <v>3.7752807014727199</v>
          </cell>
          <cell r="K243">
            <v>9.453822510806777</v>
          </cell>
          <cell r="L243">
            <v>9.453822510806777</v>
          </cell>
          <cell r="M243">
            <v>329.28033662968318</v>
          </cell>
        </row>
        <row r="244">
          <cell r="A244" t="str">
            <v>907000028</v>
          </cell>
          <cell r="B244" t="str">
            <v>MEZCLA TRES  LECHES C/DULCE LECHE KILO</v>
          </cell>
          <cell r="C244" t="str">
            <v>ESP-RE-POS-071</v>
          </cell>
          <cell r="D244" t="str">
            <v>01</v>
          </cell>
          <cell r="E244" t="str">
            <v>Kilo</v>
          </cell>
          <cell r="F244" t="str">
            <v>Gramo</v>
          </cell>
          <cell r="G244">
            <v>1541.0208962982297</v>
          </cell>
          <cell r="H244">
            <v>1.5410208962982297</v>
          </cell>
          <cell r="I244">
            <v>1.6171431424000002</v>
          </cell>
          <cell r="J244">
            <v>1.6171431424000001E-3</v>
          </cell>
          <cell r="K244">
            <v>25.154021199999999</v>
          </cell>
          <cell r="L244">
            <v>2.5154021199999998E-2</v>
          </cell>
          <cell r="M244">
            <v>1567.7920606406296</v>
          </cell>
        </row>
        <row r="245">
          <cell r="A245" t="str">
            <v>906000074</v>
          </cell>
          <cell r="B245" t="str">
            <v xml:space="preserve">CORTE GALLETA TRES LECHES CHILENA </v>
          </cell>
          <cell r="C245" t="str">
            <v xml:space="preserve">ESP-RE-POS-124 </v>
          </cell>
          <cell r="D245" t="str">
            <v>01</v>
          </cell>
          <cell r="E245" t="str">
            <v>Kilo</v>
          </cell>
          <cell r="F245" t="str">
            <v>Gramo</v>
          </cell>
          <cell r="G245">
            <v>897.1905642554525</v>
          </cell>
          <cell r="H245">
            <v>0.89719056425545252</v>
          </cell>
          <cell r="I245">
            <v>3.950947197400001</v>
          </cell>
          <cell r="J245">
            <v>3.9509471974000007E-3</v>
          </cell>
          <cell r="K245">
            <v>207.6426917631</v>
          </cell>
          <cell r="L245">
            <v>0.20764269176309999</v>
          </cell>
          <cell r="M245">
            <v>1108.7842032159524</v>
          </cell>
        </row>
        <row r="246">
          <cell r="A246" t="str">
            <v>903000134</v>
          </cell>
          <cell r="B246" t="str">
            <v>CHILENA P/TRES LECHES (UND)</v>
          </cell>
          <cell r="C246" t="str">
            <v>ESP-RE-POS-051</v>
          </cell>
          <cell r="D246" t="str">
            <v>02</v>
          </cell>
          <cell r="E246" t="str">
            <v>Und</v>
          </cell>
          <cell r="F246" t="str">
            <v>Und</v>
          </cell>
          <cell r="G246">
            <v>483.35716927663572</v>
          </cell>
          <cell r="H246">
            <v>483.35716927663572</v>
          </cell>
          <cell r="I246">
            <v>1.1852841592200003</v>
          </cell>
          <cell r="J246">
            <v>1.1852841592200003</v>
          </cell>
          <cell r="K246">
            <v>89.792807528929998</v>
          </cell>
          <cell r="L246">
            <v>89.792807528929998</v>
          </cell>
          <cell r="M246">
            <v>574.33526096478568</v>
          </cell>
        </row>
        <row r="247">
          <cell r="A247" t="str">
            <v>901000005</v>
          </cell>
          <cell r="B247" t="str">
            <v>PREMEZCLA P/BATIDO CHOCO PASTELERO KILO</v>
          </cell>
          <cell r="C247" t="str">
            <v>ESP-RE-PRES-005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1138.3163039215688</v>
          </cell>
          <cell r="H247">
            <v>1.1383163039215687</v>
          </cell>
          <cell r="I247">
            <v>6.0610396853352118</v>
          </cell>
          <cell r="J247">
            <v>6.061039685335212E-3</v>
          </cell>
          <cell r="K247">
            <v>33.659999999999997</v>
          </cell>
          <cell r="L247">
            <v>3.3659999999999995E-2</v>
          </cell>
          <cell r="M247">
            <v>1178.037343606904</v>
          </cell>
        </row>
        <row r="248">
          <cell r="A248" t="str">
            <v>902000003</v>
          </cell>
          <cell r="B248" t="str">
            <v>BATIDO CHOCOLATE PASTELERO REAL (KILO)</v>
          </cell>
          <cell r="C248" t="str">
            <v>ESP-RE-BAF-008</v>
          </cell>
          <cell r="D248" t="str">
            <v>07</v>
          </cell>
          <cell r="E248" t="str">
            <v>Kilo</v>
          </cell>
          <cell r="F248" t="str">
            <v>Gramo</v>
          </cell>
          <cell r="G248">
            <v>1063.0648445038291</v>
          </cell>
          <cell r="H248">
            <v>1.0630648445038291</v>
          </cell>
          <cell r="I248">
            <v>0.54801200922255211</v>
          </cell>
          <cell r="J248">
            <v>5.4801200922255215E-4</v>
          </cell>
          <cell r="K248">
            <v>15.198386149584486</v>
          </cell>
          <cell r="L248">
            <v>1.5198386149584487E-2</v>
          </cell>
          <cell r="M248">
            <v>1078.811242662636</v>
          </cell>
        </row>
        <row r="249">
          <cell r="A249" t="str">
            <v>903000052</v>
          </cell>
          <cell r="B249" t="str">
            <v>ROSQUETE CHOCOLATE PURATOS 400g</v>
          </cell>
          <cell r="C249" t="str">
            <v>ESP-RE-BAF-018</v>
          </cell>
          <cell r="D249" t="str">
            <v>05</v>
          </cell>
          <cell r="E249" t="str">
            <v>Und</v>
          </cell>
          <cell r="F249" t="str">
            <v>Und</v>
          </cell>
          <cell r="G249">
            <v>422.62852617369174</v>
          </cell>
          <cell r="H249">
            <v>422.62852617369174</v>
          </cell>
          <cell r="I249">
            <v>4.7012385105570766</v>
          </cell>
          <cell r="J249">
            <v>4.7012385105570766</v>
          </cell>
          <cell r="K249">
            <v>18.836546796416574</v>
          </cell>
          <cell r="L249">
            <v>18.836546796416574</v>
          </cell>
          <cell r="M249">
            <v>446.1663114806654</v>
          </cell>
        </row>
        <row r="250">
          <cell r="A250" t="str">
            <v>910000002</v>
          </cell>
          <cell r="B250" t="str">
            <v>MEZCLA ALMIBAR C/CAFE (KILO)</v>
          </cell>
          <cell r="C250" t="str">
            <v>ESP-RE-DES-022</v>
          </cell>
          <cell r="D250" t="str">
            <v>01</v>
          </cell>
          <cell r="E250" t="str">
            <v>Kilo</v>
          </cell>
          <cell r="F250" t="str">
            <v>Gramo</v>
          </cell>
          <cell r="G250">
            <v>404.97623203305784</v>
          </cell>
          <cell r="H250">
            <v>0.40497623203305783</v>
          </cell>
          <cell r="I250">
            <v>8.8815388429752069</v>
          </cell>
          <cell r="J250">
            <v>8.8815388429752066E-3</v>
          </cell>
          <cell r="K250">
            <v>48.842272727272729</v>
          </cell>
          <cell r="L250">
            <v>4.8842272727272727E-2</v>
          </cell>
          <cell r="M250">
            <v>462.70004360330574</v>
          </cell>
        </row>
        <row r="251">
          <cell r="A251" t="str">
            <v>901000156</v>
          </cell>
          <cell r="B251" t="str">
            <v>CREMA CHANTILLY TOP CREAM CHOCOLATE</v>
          </cell>
          <cell r="C251" t="str">
            <v xml:space="preserve">ESP-RE-DES-047 </v>
          </cell>
          <cell r="D251" t="str">
            <v>03</v>
          </cell>
          <cell r="E251" t="str">
            <v>Kilo</v>
          </cell>
          <cell r="F251" t="str">
            <v>Gramo</v>
          </cell>
          <cell r="G251">
            <v>1975.7180685794262</v>
          </cell>
          <cell r="H251">
            <v>1.9757180685794262</v>
          </cell>
          <cell r="I251">
            <v>2.3875190384061249E-2</v>
          </cell>
          <cell r="J251">
            <v>2.3875190384061249E-5</v>
          </cell>
          <cell r="K251">
            <v>22.605</v>
          </cell>
          <cell r="L251">
            <v>2.2605E-2</v>
          </cell>
          <cell r="M251">
            <v>1998.3469437698104</v>
          </cell>
        </row>
        <row r="252">
          <cell r="A252" t="str">
            <v>910000003</v>
          </cell>
          <cell r="B252" t="str">
            <v>MEZCLA TRES LECHES C/AGUA (KILO)</v>
          </cell>
          <cell r="C252" t="str">
            <v xml:space="preserve">ESP-RE-DES-023 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1065.9055771208455</v>
          </cell>
          <cell r="H252">
            <v>1.0659055771208454</v>
          </cell>
          <cell r="I252">
            <v>3.1737502218666669</v>
          </cell>
          <cell r="J252">
            <v>3.1737502218666669E-3</v>
          </cell>
          <cell r="K252">
            <v>57.453127600000002</v>
          </cell>
          <cell r="L252">
            <v>5.7453127600000001E-2</v>
          </cell>
          <cell r="M252">
            <v>1126.5324549427121</v>
          </cell>
        </row>
        <row r="253">
          <cell r="A253" t="str">
            <v>902000033</v>
          </cell>
          <cell r="B253" t="str">
            <v>RELLENO QUESO/ MANT/LIMON KILO</v>
          </cell>
          <cell r="C253" t="str">
            <v>ESP-RE-POS-107</v>
          </cell>
          <cell r="D253" t="str">
            <v>03</v>
          </cell>
          <cell r="E253" t="str">
            <v>Kilo</v>
          </cell>
          <cell r="F253" t="str">
            <v>Gramo</v>
          </cell>
          <cell r="G253">
            <v>2365.2180169917101</v>
          </cell>
          <cell r="H253">
            <v>2.3652180169917103</v>
          </cell>
          <cell r="I253">
            <v>2.3980769230769225E-3</v>
          </cell>
          <cell r="J253">
            <v>2.3980769230769227E-6</v>
          </cell>
          <cell r="K253">
            <v>22.898710999999999</v>
          </cell>
          <cell r="L253">
            <v>2.2898710999999999E-2</v>
          </cell>
          <cell r="M253">
            <v>2388.1191260686328</v>
          </cell>
        </row>
        <row r="254">
          <cell r="A254" t="str">
            <v>911000005</v>
          </cell>
          <cell r="B254" t="str">
            <v>GALLETA VAINILLA BAÑO CHOCO BLANCO KILO</v>
          </cell>
          <cell r="C254" t="str">
            <v>ESP-RE-POS-156</v>
          </cell>
          <cell r="D254" t="str">
            <v>01</v>
          </cell>
          <cell r="E254" t="str">
            <v>Kilo</v>
          </cell>
          <cell r="F254" t="str">
            <v>Gramo</v>
          </cell>
          <cell r="G254">
            <v>3012.4011944444446</v>
          </cell>
          <cell r="H254">
            <v>3.0124011944444447</v>
          </cell>
          <cell r="I254">
            <v>0</v>
          </cell>
          <cell r="J254">
            <v>0</v>
          </cell>
          <cell r="K254">
            <v>171.875</v>
          </cell>
          <cell r="L254">
            <v>0.171875</v>
          </cell>
          <cell r="M254">
            <v>3184.2761944444446</v>
          </cell>
        </row>
        <row r="255">
          <cell r="A255" t="str">
            <v>910000018</v>
          </cell>
          <cell r="B255" t="str">
            <v>CREMA BEIDGE (KILO)</v>
          </cell>
          <cell r="C255" t="str">
            <v xml:space="preserve">ESP-RE-DES-042 </v>
          </cell>
          <cell r="D255" t="str">
            <v>03</v>
          </cell>
          <cell r="E255" t="str">
            <v>Kilo</v>
          </cell>
          <cell r="F255" t="str">
            <v>Gramo</v>
          </cell>
          <cell r="G255">
            <v>3517.6750650887575</v>
          </cell>
          <cell r="H255">
            <v>3.5176750650887576</v>
          </cell>
          <cell r="I255">
            <v>5.5769230769230758E-2</v>
          </cell>
          <cell r="J255">
            <v>5.5769230769230759E-5</v>
          </cell>
          <cell r="K255">
            <v>26.4</v>
          </cell>
          <cell r="L255">
            <v>2.64E-2</v>
          </cell>
          <cell r="M255">
            <v>3544.1308343195269</v>
          </cell>
        </row>
        <row r="256">
          <cell r="A256" t="str">
            <v>910000031</v>
          </cell>
          <cell r="B256" t="str">
            <v>CREMA LIQUIDA CHOCO P/MARMOLEAR KILO</v>
          </cell>
          <cell r="C256" t="str">
            <v>ESP-RE-DES-100</v>
          </cell>
          <cell r="D256" t="str">
            <v>01</v>
          </cell>
          <cell r="E256" t="str">
            <v>Kilo</v>
          </cell>
          <cell r="F256" t="str">
            <v>Gramo</v>
          </cell>
          <cell r="G256">
            <v>2096.6666666666665</v>
          </cell>
          <cell r="H256">
            <v>2.0966666666666667</v>
          </cell>
          <cell r="I256">
            <v>46.666666666666671</v>
          </cell>
          <cell r="J256">
            <v>4.6666666666666669E-2</v>
          </cell>
          <cell r="K256">
            <v>140.80000000000001</v>
          </cell>
          <cell r="L256">
            <v>0.14080000000000001</v>
          </cell>
          <cell r="M256">
            <v>2284.1333333333332</v>
          </cell>
        </row>
        <row r="257">
          <cell r="A257" t="str">
            <v>905000024</v>
          </cell>
          <cell r="B257" t="str">
            <v xml:space="preserve">RELLENO TOPPING FRESA P/CHEESE CAKE </v>
          </cell>
          <cell r="C257" t="str">
            <v>ESP-RE-POS-027</v>
          </cell>
          <cell r="D257" t="str">
            <v>06</v>
          </cell>
          <cell r="E257" t="str">
            <v>Kilo</v>
          </cell>
          <cell r="F257" t="str">
            <v>Gramo</v>
          </cell>
          <cell r="G257">
            <v>2100.338709677419</v>
          </cell>
          <cell r="H257">
            <v>2.1003387096774189</v>
          </cell>
          <cell r="I257">
            <v>0</v>
          </cell>
          <cell r="J257">
            <v>0</v>
          </cell>
          <cell r="K257">
            <v>35.475000000000001</v>
          </cell>
          <cell r="L257">
            <v>3.5475E-2</v>
          </cell>
          <cell r="M257">
            <v>2135.813709677419</v>
          </cell>
        </row>
        <row r="258">
          <cell r="A258" t="str">
            <v>905000099</v>
          </cell>
          <cell r="B258" t="str">
            <v>ALMENDRA TRITURADA KILO</v>
          </cell>
          <cell r="C258" t="str">
            <v>ESP-RE-DES-132</v>
          </cell>
          <cell r="D258" t="str">
            <v>01</v>
          </cell>
          <cell r="E258" t="str">
            <v>Kilo</v>
          </cell>
          <cell r="F258" t="str">
            <v>Gramo</v>
          </cell>
          <cell r="G258">
            <v>5845.5780737250006</v>
          </cell>
          <cell r="H258">
            <v>5.8455780737250009</v>
          </cell>
          <cell r="I258">
            <v>0</v>
          </cell>
          <cell r="J258">
            <v>0</v>
          </cell>
          <cell r="K258">
            <v>57.86</v>
          </cell>
          <cell r="L258">
            <v>5.7860000000000002E-2</v>
          </cell>
          <cell r="M258">
            <v>5903.4380737250003</v>
          </cell>
        </row>
        <row r="259">
          <cell r="A259" t="str">
            <v>905000098</v>
          </cell>
          <cell r="B259" t="str">
            <v>PECANA TRITURADA KILO</v>
          </cell>
          <cell r="C259" t="str">
            <v xml:space="preserve">ESP-RE-DES-133  </v>
          </cell>
          <cell r="D259" t="str">
            <v>01</v>
          </cell>
          <cell r="E259" t="str">
            <v>Kilo</v>
          </cell>
          <cell r="F259" t="str">
            <v>Gramo</v>
          </cell>
          <cell r="G259">
            <v>10357.994989300003</v>
          </cell>
          <cell r="H259">
            <v>10.357994989300003</v>
          </cell>
          <cell r="I259">
            <v>0</v>
          </cell>
          <cell r="J259">
            <v>0</v>
          </cell>
          <cell r="K259">
            <v>57.86</v>
          </cell>
          <cell r="L259">
            <v>5.7860000000000002E-2</v>
          </cell>
          <cell r="M259">
            <v>10415.854989300004</v>
          </cell>
        </row>
        <row r="260">
          <cell r="A260" t="str">
            <v>910000001</v>
          </cell>
          <cell r="B260" t="str">
            <v>MEZCLA CREMA CHOCOLATE C/AGUA (KILO)</v>
          </cell>
          <cell r="C260" t="str">
            <v xml:space="preserve">ESP-RE-DES-021 </v>
          </cell>
          <cell r="D260" t="str">
            <v>02</v>
          </cell>
          <cell r="E260" t="str">
            <v>Kilo</v>
          </cell>
          <cell r="F260" t="str">
            <v>Gramo</v>
          </cell>
          <cell r="G260">
            <v>1408.8590909090908</v>
          </cell>
          <cell r="H260">
            <v>1.4088590909090908</v>
          </cell>
          <cell r="I260">
            <v>0</v>
          </cell>
          <cell r="J260">
            <v>0</v>
          </cell>
          <cell r="K260">
            <v>49.995000000000005</v>
          </cell>
          <cell r="L260">
            <v>4.9995000000000005E-2</v>
          </cell>
          <cell r="M260">
            <v>1458.8540909090907</v>
          </cell>
        </row>
        <row r="261">
          <cell r="A261" t="str">
            <v>902000093</v>
          </cell>
          <cell r="B261" t="str">
            <v>PIÑA PICADA KILO</v>
          </cell>
          <cell r="C261" t="str">
            <v>ESP-RE-POS-203</v>
          </cell>
          <cell r="D261" t="str">
            <v>01</v>
          </cell>
          <cell r="E261" t="str">
            <v>Kilo</v>
          </cell>
          <cell r="F261" t="str">
            <v>Gramo</v>
          </cell>
          <cell r="G261">
            <v>2067.0359062500002</v>
          </cell>
          <cell r="H261">
            <v>2.0670359062500001</v>
          </cell>
          <cell r="I261">
            <v>0</v>
          </cell>
          <cell r="J261">
            <v>0</v>
          </cell>
          <cell r="K261">
            <v>119.35</v>
          </cell>
          <cell r="L261">
            <v>0.11935</v>
          </cell>
          <cell r="M261">
            <v>2186.3859062500001</v>
          </cell>
        </row>
        <row r="262">
          <cell r="A262" t="str">
            <v>902000094</v>
          </cell>
          <cell r="B262" t="str">
            <v>PROCESADO CHOCOLATE BLANCO KILO</v>
          </cell>
          <cell r="C262" t="str">
            <v>ESP-RE-POS-204</v>
          </cell>
          <cell r="D262" t="str">
            <v>01</v>
          </cell>
          <cell r="E262" t="str">
            <v>Kilo</v>
          </cell>
          <cell r="F262" t="str">
            <v>Gramo</v>
          </cell>
          <cell r="G262">
            <v>3561.4657210401888</v>
          </cell>
          <cell r="H262">
            <v>3.561465721040189</v>
          </cell>
          <cell r="I262">
            <v>0.45276595744680853</v>
          </cell>
          <cell r="J262">
            <v>4.5276595744680851E-4</v>
          </cell>
          <cell r="K262">
            <v>116.98499999999999</v>
          </cell>
          <cell r="L262">
            <v>0.11698499999999999</v>
          </cell>
          <cell r="M262">
            <v>3678.9034869976358</v>
          </cell>
        </row>
        <row r="263">
          <cell r="A263" t="str">
            <v>910000010</v>
          </cell>
          <cell r="B263" t="str">
            <v>COCO TOSTADO (KILO)</v>
          </cell>
          <cell r="C263" t="str">
            <v xml:space="preserve">ESP-RE-DES-031 </v>
          </cell>
          <cell r="D263" t="str">
            <v>01</v>
          </cell>
          <cell r="E263" t="str">
            <v>Kilo</v>
          </cell>
          <cell r="F263" t="str">
            <v>Gramo</v>
          </cell>
          <cell r="G263">
            <v>2237.7278385000004</v>
          </cell>
          <cell r="H263">
            <v>2.2377278385000006</v>
          </cell>
          <cell r="I263">
            <v>0</v>
          </cell>
          <cell r="J263">
            <v>0</v>
          </cell>
          <cell r="K263">
            <v>113.35499999999999</v>
          </cell>
          <cell r="L263">
            <v>0.11335499999999998</v>
          </cell>
          <cell r="M263">
            <v>2351.0828385000004</v>
          </cell>
        </row>
        <row r="264">
          <cell r="A264" t="str">
            <v>902000092</v>
          </cell>
          <cell r="B264" t="str">
            <v>MOUSSE DE COCO KILO</v>
          </cell>
          <cell r="C264" t="str">
            <v>ESP-RE-POS-202</v>
          </cell>
          <cell r="D264" t="str">
            <v>02</v>
          </cell>
          <cell r="E264" t="str">
            <v>Kilo</v>
          </cell>
          <cell r="F264" t="str">
            <v>Gramo</v>
          </cell>
          <cell r="G264">
            <v>1919.2188803006061</v>
          </cell>
          <cell r="H264">
            <v>1.9192188803006061</v>
          </cell>
          <cell r="I264">
            <v>0</v>
          </cell>
          <cell r="J264">
            <v>0</v>
          </cell>
          <cell r="K264">
            <v>206.24520000000001</v>
          </cell>
          <cell r="L264">
            <v>0.20624520000000002</v>
          </cell>
          <cell r="M264">
            <v>2125.4640803006059</v>
          </cell>
        </row>
        <row r="265">
          <cell r="A265" t="str">
            <v>90100291</v>
          </cell>
          <cell r="B265" t="str">
            <v>TOPPING DE PIÑA KILO</v>
          </cell>
          <cell r="C265" t="str">
            <v>ESP-RE-COCS-307</v>
          </cell>
          <cell r="D265" t="str">
            <v>01</v>
          </cell>
          <cell r="E265" t="str">
            <v>Kilo</v>
          </cell>
          <cell r="F265" t="str">
            <v>Gramo</v>
          </cell>
          <cell r="G265">
            <v>1011.874675</v>
          </cell>
          <cell r="H265">
            <v>1.0118746750000001</v>
          </cell>
          <cell r="I265">
            <v>3.9894640000000003</v>
          </cell>
          <cell r="J265">
            <v>3.9894640000000007E-3</v>
          </cell>
          <cell r="K265">
            <v>115.4945</v>
          </cell>
          <cell r="L265">
            <v>0.1154945</v>
          </cell>
          <cell r="M265">
            <v>1131.358639</v>
          </cell>
        </row>
        <row r="266">
          <cell r="A266" t="str">
            <v>906000121</v>
          </cell>
          <cell r="B266" t="str">
            <v>PREMEZCLA TURRON DE COCO</v>
          </cell>
          <cell r="C266" t="str">
            <v>ESP-RE-PRES-119</v>
          </cell>
          <cell r="D266" t="str">
            <v>01</v>
          </cell>
          <cell r="E266" t="str">
            <v>Kilo</v>
          </cell>
          <cell r="F266" t="str">
            <v>Gramo</v>
          </cell>
          <cell r="G266">
            <v>442.62590133245817</v>
          </cell>
          <cell r="H266">
            <v>0.44262590133245816</v>
          </cell>
          <cell r="I266">
            <v>9.9517558254020333</v>
          </cell>
          <cell r="J266">
            <v>9.9517558254020328E-3</v>
          </cell>
          <cell r="K266">
            <v>36.08</v>
          </cell>
          <cell r="L266">
            <v>3.6080000000000001E-2</v>
          </cell>
          <cell r="M266">
            <v>488.65765715786017</v>
          </cell>
        </row>
        <row r="267">
          <cell r="A267" t="str">
            <v>907000077</v>
          </cell>
          <cell r="B267" t="str">
            <v>BATIDO TURRON DE COCO KILO</v>
          </cell>
          <cell r="C267">
            <v>0</v>
          </cell>
          <cell r="D267">
            <v>0</v>
          </cell>
          <cell r="E267" t="str">
            <v>Kilo</v>
          </cell>
          <cell r="F267" t="str">
            <v>Gramo</v>
          </cell>
          <cell r="G267">
            <v>1157.9088198672525</v>
          </cell>
          <cell r="H267">
            <v>1.1579088198672525</v>
          </cell>
          <cell r="I267">
            <v>5.8313461538461526</v>
          </cell>
          <cell r="J267">
            <v>5.8313461538461522E-3</v>
          </cell>
          <cell r="K267">
            <v>42.261492307692308</v>
          </cell>
          <cell r="L267">
            <v>4.2261492307692307E-2</v>
          </cell>
          <cell r="M267">
            <v>1206.0016583287911</v>
          </cell>
        </row>
        <row r="268">
          <cell r="A268" t="str">
            <v>907000111</v>
          </cell>
          <cell r="B268" t="str">
            <v>ROSQUETE TURRON DE COCO 400 g</v>
          </cell>
          <cell r="C268">
            <v>0</v>
          </cell>
          <cell r="D268">
            <v>0</v>
          </cell>
          <cell r="E268" t="str">
            <v>Und</v>
          </cell>
          <cell r="F268" t="str">
            <v>Und</v>
          </cell>
          <cell r="G268">
            <v>485.77869573213593</v>
          </cell>
          <cell r="H268">
            <v>485.77869573213593</v>
          </cell>
          <cell r="I268">
            <v>16.77410960576923</v>
          </cell>
          <cell r="J268">
            <v>16.77410960576923</v>
          </cell>
          <cell r="K268">
            <v>39.691096923076927</v>
          </cell>
          <cell r="L268">
            <v>39.691096923076927</v>
          </cell>
          <cell r="M268">
            <v>542.24390226098205</v>
          </cell>
        </row>
        <row r="269">
          <cell r="A269" t="str">
            <v>906000115</v>
          </cell>
          <cell r="B269" t="str">
            <v>PREMEZCLA BATIDO CHOCOLATE PURATOS KILO</v>
          </cell>
          <cell r="C269" t="str">
            <v>ESP-RE-PRES-110</v>
          </cell>
          <cell r="D269" t="str">
            <v>01</v>
          </cell>
          <cell r="E269" t="str">
            <v>Kilo</v>
          </cell>
          <cell r="F269" t="str">
            <v>Gramo</v>
          </cell>
          <cell r="G269">
            <v>3966.0039999999999</v>
          </cell>
          <cell r="H269">
            <v>3.9660039999999999</v>
          </cell>
          <cell r="I269">
            <v>79.08323353293413</v>
          </cell>
          <cell r="J269">
            <v>7.908323353293413E-2</v>
          </cell>
          <cell r="K269">
            <v>518.65</v>
          </cell>
          <cell r="L269">
            <v>0.51864999999999994</v>
          </cell>
          <cell r="M269">
            <v>4563.7372335329337</v>
          </cell>
        </row>
        <row r="270">
          <cell r="A270" t="str">
            <v>907000212</v>
          </cell>
          <cell r="B270" t="str">
            <v xml:space="preserve">BATIDO QQ CHOCOLATE PURATOS </v>
          </cell>
          <cell r="C270" t="str">
            <v>ESP-RE-BAF-068</v>
          </cell>
          <cell r="D270" t="str">
            <v>02</v>
          </cell>
          <cell r="E270" t="str">
            <v>Kilo</v>
          </cell>
          <cell r="F270" t="str">
            <v>Gramo</v>
          </cell>
          <cell r="G270">
            <v>1016.1559430464395</v>
          </cell>
          <cell r="H270">
            <v>1.0161559430464395</v>
          </cell>
          <cell r="I270">
            <v>0.22060059880239519</v>
          </cell>
          <cell r="J270">
            <v>2.206005988023952E-4</v>
          </cell>
          <cell r="K270">
            <v>15.911760526315788</v>
          </cell>
          <cell r="L270">
            <v>1.591176052631579E-2</v>
          </cell>
          <cell r="M270">
            <v>1032.2883041715577</v>
          </cell>
        </row>
        <row r="271">
          <cell r="A271" t="str">
            <v>903000052</v>
          </cell>
          <cell r="B271" t="str">
            <v>ROSQUETE CHOCOLATE PURATOS 400g</v>
          </cell>
          <cell r="C271" t="str">
            <v>ESP-RE-BAF-018</v>
          </cell>
          <cell r="D271" t="str">
            <v>05</v>
          </cell>
          <cell r="E271" t="str">
            <v>Und</v>
          </cell>
          <cell r="F271" t="str">
            <v>Und</v>
          </cell>
          <cell r="G271">
            <v>422.62852617369174</v>
          </cell>
          <cell r="H271">
            <v>422.62852617369174</v>
          </cell>
          <cell r="I271">
            <v>4.7012385105570766</v>
          </cell>
          <cell r="J271">
            <v>4.7012385105570766</v>
          </cell>
          <cell r="K271">
            <v>18.836546796416574</v>
          </cell>
          <cell r="L271">
            <v>18.836546796416574</v>
          </cell>
          <cell r="M271">
            <v>446.1663114806654</v>
          </cell>
        </row>
        <row r="272">
          <cell r="A272" t="str">
            <v>910000023</v>
          </cell>
          <cell r="B272" t="str">
            <v>CREMA TOP BASE CHOCOLATE (KILO)</v>
          </cell>
          <cell r="C272" t="str">
            <v xml:space="preserve">ESP-RE-DES-047 </v>
          </cell>
          <cell r="D272" t="str">
            <v>03</v>
          </cell>
          <cell r="E272" t="str">
            <v>Kilo</v>
          </cell>
          <cell r="F272" t="str">
            <v>Gramo</v>
          </cell>
          <cell r="G272">
            <v>1975.7180685794262</v>
          </cell>
          <cell r="H272">
            <v>1.9757180685794262</v>
          </cell>
          <cell r="I272">
            <v>2.3875190384061249E-2</v>
          </cell>
          <cell r="J272">
            <v>2.3875190384061249E-5</v>
          </cell>
          <cell r="K272">
            <v>22.640266743506359</v>
          </cell>
          <cell r="L272">
            <v>2.264026674350636E-2</v>
          </cell>
          <cell r="M272">
            <v>1998.3822105133167</v>
          </cell>
        </row>
        <row r="273">
          <cell r="A273" t="str">
            <v>903000051</v>
          </cell>
          <cell r="B273" t="str">
            <v>ROSQUETE VAINILLA PURATOS 400g</v>
          </cell>
          <cell r="C273" t="str">
            <v>ESP-RE-BAF-017</v>
          </cell>
          <cell r="D273" t="str">
            <v>02</v>
          </cell>
          <cell r="E273" t="str">
            <v>Und</v>
          </cell>
          <cell r="F273" t="str">
            <v>Und</v>
          </cell>
          <cell r="G273">
            <v>368.78730156456498</v>
          </cell>
          <cell r="H273">
            <v>368.78730156456498</v>
          </cell>
          <cell r="I273">
            <v>4.707159809501686</v>
          </cell>
          <cell r="J273">
            <v>4.707159809501686</v>
          </cell>
          <cell r="K273">
            <v>29.723521034482758</v>
          </cell>
          <cell r="L273">
            <v>29.723521034482758</v>
          </cell>
          <cell r="M273">
            <v>403.2179824085494</v>
          </cell>
        </row>
        <row r="274">
          <cell r="A274" t="str">
            <v>907000022</v>
          </cell>
          <cell r="B274" t="str">
            <v>SEMILLAS ALMENDRAS TOSTADAS (KILO)</v>
          </cell>
          <cell r="C274" t="str">
            <v xml:space="preserve">ESP-RE-DES-035 </v>
          </cell>
          <cell r="D274">
            <v>0</v>
          </cell>
          <cell r="E274" t="str">
            <v>Kilo</v>
          </cell>
          <cell r="F274" t="str">
            <v>Gramo</v>
          </cell>
          <cell r="G274">
            <v>6637.5228971193419</v>
          </cell>
          <cell r="H274">
            <v>6.6375228971193421</v>
          </cell>
          <cell r="I274">
            <v>15.56</v>
          </cell>
          <cell r="J274">
            <v>1.5560000000000001E-2</v>
          </cell>
          <cell r="K274">
            <v>110</v>
          </cell>
          <cell r="L274">
            <v>0.11</v>
          </cell>
          <cell r="M274">
            <v>6763.0828971193423</v>
          </cell>
        </row>
        <row r="275">
          <cell r="A275" t="str">
            <v>905000058</v>
          </cell>
          <cell r="B275" t="str">
            <v>CREMA LIMON BUCCA KILO</v>
          </cell>
          <cell r="C275" t="str">
            <v>ESP-RE-FIF-37</v>
          </cell>
          <cell r="D275">
            <v>0</v>
          </cell>
          <cell r="E275" t="str">
            <v>Kilo</v>
          </cell>
          <cell r="F275" t="str">
            <v>Gramo</v>
          </cell>
          <cell r="G275">
            <v>1792.9135673076923</v>
          </cell>
          <cell r="H275">
            <v>1.7929135673076924</v>
          </cell>
          <cell r="I275">
            <v>0.10230769230769231</v>
          </cell>
          <cell r="J275">
            <v>1.023076923076923E-4</v>
          </cell>
          <cell r="K275">
            <v>26.4</v>
          </cell>
          <cell r="L275">
            <v>2.64E-2</v>
          </cell>
          <cell r="M275">
            <v>1819.4158750000001</v>
          </cell>
        </row>
        <row r="276">
          <cell r="A276" t="str">
            <v>903000062</v>
          </cell>
          <cell r="B276" t="str">
            <v>ROSQUETE VAINILLA P.REAL 650g</v>
          </cell>
          <cell r="C276" t="str">
            <v xml:space="preserve">ESP-RE-BAF-035 </v>
          </cell>
          <cell r="D276" t="str">
            <v>02</v>
          </cell>
          <cell r="E276" t="str">
            <v>Und</v>
          </cell>
          <cell r="F276" t="str">
            <v>Und</v>
          </cell>
          <cell r="G276">
            <v>599.0007388450648</v>
          </cell>
          <cell r="H276">
            <v>599.0007388450648</v>
          </cell>
          <cell r="I276">
            <v>26.017235273505104</v>
          </cell>
          <cell r="J276">
            <v>26.017235273505104</v>
          </cell>
          <cell r="K276">
            <v>37.070223098591555</v>
          </cell>
          <cell r="L276">
            <v>37.070223098591555</v>
          </cell>
          <cell r="M276">
            <v>662.08819721716145</v>
          </cell>
        </row>
        <row r="277">
          <cell r="A277" t="str">
            <v>905000061</v>
          </cell>
          <cell r="B277" t="str">
            <v>CREMA CHANTILLY FUCSIA KILO</v>
          </cell>
          <cell r="C277" t="str">
            <v>ESP-RE-DES-082</v>
          </cell>
          <cell r="D277" t="str">
            <v>03</v>
          </cell>
          <cell r="E277" t="str">
            <v>Kilo</v>
          </cell>
          <cell r="F277" t="str">
            <v>Gramo</v>
          </cell>
          <cell r="G277">
            <v>1934.9904857142856</v>
          </cell>
          <cell r="H277">
            <v>1.9349904857142857</v>
          </cell>
          <cell r="I277">
            <v>0</v>
          </cell>
          <cell r="J277">
            <v>0</v>
          </cell>
          <cell r="K277">
            <v>56.1</v>
          </cell>
          <cell r="L277">
            <v>5.6100000000000004E-2</v>
          </cell>
          <cell r="M277">
            <v>1991.0904857142855</v>
          </cell>
        </row>
        <row r="278">
          <cell r="A278" t="str">
            <v>906000093</v>
          </cell>
          <cell r="B278" t="str">
            <v>BASE PREMEZCLA SUPER ESPONJA KILO</v>
          </cell>
          <cell r="C278" t="str">
            <v xml:space="preserve">ESP-RE-PRES-034 </v>
          </cell>
          <cell r="D278" t="str">
            <v>05</v>
          </cell>
          <cell r="E278" t="str">
            <v>Kilo</v>
          </cell>
          <cell r="F278" t="str">
            <v>Gramo</v>
          </cell>
          <cell r="G278">
            <v>3966.0039999999999</v>
          </cell>
          <cell r="H278">
            <v>3.9660039999999999</v>
          </cell>
          <cell r="I278">
            <v>36.582167664670656</v>
          </cell>
          <cell r="J278">
            <v>3.6582167664670658E-2</v>
          </cell>
          <cell r="K278">
            <v>229.13000000000002</v>
          </cell>
          <cell r="L278">
            <v>0.22913000000000003</v>
          </cell>
          <cell r="M278">
            <v>4231.7161676646701</v>
          </cell>
        </row>
        <row r="279">
          <cell r="A279" t="str">
            <v>902000001</v>
          </cell>
          <cell r="B279" t="str">
            <v>BATIDO SUPER ESPONJA KILO</v>
          </cell>
          <cell r="C279" t="str">
            <v>ESP-RE-BAS-080</v>
          </cell>
          <cell r="D279" t="str">
            <v>05</v>
          </cell>
          <cell r="E279" t="str">
            <v>Kilo</v>
          </cell>
          <cell r="F279" t="str">
            <v>Gramo</v>
          </cell>
          <cell r="G279">
            <v>1496.9181156186614</v>
          </cell>
          <cell r="H279">
            <v>1.4969181156186615</v>
          </cell>
          <cell r="I279">
            <v>0.11130476977080322</v>
          </cell>
          <cell r="J279">
            <v>1.1130476977080323E-4</v>
          </cell>
          <cell r="K279">
            <v>11.807150101419879</v>
          </cell>
          <cell r="L279">
            <v>1.1807150101419878E-2</v>
          </cell>
          <cell r="M279">
            <v>1508.8365704898522</v>
          </cell>
        </row>
        <row r="280">
          <cell r="A280" t="str">
            <v>907000237</v>
          </cell>
          <cell r="B280" t="str">
            <v>ROSQUETE SUPER ESPONJA 380G</v>
          </cell>
          <cell r="C280" t="str">
            <v>ESP-RE-BAS-105</v>
          </cell>
          <cell r="D280" t="str">
            <v>03</v>
          </cell>
          <cell r="E280" t="str">
            <v>Und</v>
          </cell>
          <cell r="F280" t="str">
            <v>Und</v>
          </cell>
          <cell r="G280">
            <v>582.33737026910808</v>
          </cell>
          <cell r="H280">
            <v>582.33737026910808</v>
          </cell>
          <cell r="I280">
            <v>4.6420619004345678</v>
          </cell>
          <cell r="J280">
            <v>4.6420619004345678</v>
          </cell>
          <cell r="K280">
            <v>18.505257281553398</v>
          </cell>
          <cell r="L280">
            <v>18.505257281553398</v>
          </cell>
          <cell r="M280">
            <v>605.48468945109607</v>
          </cell>
        </row>
        <row r="281">
          <cell r="A281" t="str">
            <v>905000064</v>
          </cell>
          <cell r="B281" t="str">
            <v>CREMA CHANTILLY VERDE OSCURO KILO</v>
          </cell>
          <cell r="C281" t="str">
            <v>ESP-RE-DES-079</v>
          </cell>
          <cell r="D281" t="str">
            <v>02</v>
          </cell>
          <cell r="E281" t="str">
            <v>Kilo</v>
          </cell>
          <cell r="F281" t="str">
            <v>Gramo</v>
          </cell>
          <cell r="G281">
            <v>1938.1937525902667</v>
          </cell>
          <cell r="H281">
            <v>1.9381937525902668</v>
          </cell>
          <cell r="I281">
            <v>0</v>
          </cell>
          <cell r="J281">
            <v>0</v>
          </cell>
          <cell r="K281">
            <v>56.1</v>
          </cell>
          <cell r="L281">
            <v>5.6100000000000004E-2</v>
          </cell>
          <cell r="M281">
            <v>1994.2937525902666</v>
          </cell>
        </row>
        <row r="282">
          <cell r="A282" t="str">
            <v>905000062</v>
          </cell>
          <cell r="B282" t="str">
            <v>CREMA CHANTILLY AZUL ELECTRICO KILO</v>
          </cell>
          <cell r="C282" t="str">
            <v>ESP-RE-DES-083</v>
          </cell>
          <cell r="D282" t="str">
            <v>02</v>
          </cell>
          <cell r="E282" t="str">
            <v>Kilo</v>
          </cell>
          <cell r="F282" t="str">
            <v>Gramo</v>
          </cell>
          <cell r="G282">
            <v>1956.2157306122447</v>
          </cell>
          <cell r="H282">
            <v>1.9562157306122447</v>
          </cell>
          <cell r="I282">
            <v>0</v>
          </cell>
          <cell r="J282">
            <v>0</v>
          </cell>
          <cell r="K282">
            <v>56.1</v>
          </cell>
          <cell r="L282">
            <v>5.6100000000000004E-2</v>
          </cell>
          <cell r="M282">
            <v>2012.3157306122446</v>
          </cell>
        </row>
        <row r="283">
          <cell r="A283" t="str">
            <v>907000020</v>
          </cell>
          <cell r="B283" t="str">
            <v>MEZCLA FLAN CARAMELO SPOON (KILO)</v>
          </cell>
          <cell r="C283" t="str">
            <v xml:space="preserve">ESP-RE-POS-063 </v>
          </cell>
          <cell r="D283" t="str">
            <v>07</v>
          </cell>
          <cell r="E283" t="str">
            <v>Kilo</v>
          </cell>
          <cell r="F283" t="str">
            <v>Gramo</v>
          </cell>
          <cell r="G283">
            <v>1786.5994986274511</v>
          </cell>
          <cell r="H283">
            <v>1.7865994986274512</v>
          </cell>
          <cell r="I283">
            <v>0</v>
          </cell>
          <cell r="J283">
            <v>0</v>
          </cell>
          <cell r="K283">
            <v>55</v>
          </cell>
          <cell r="L283">
            <v>5.5E-2</v>
          </cell>
          <cell r="M283">
            <v>1841.5994986274511</v>
          </cell>
        </row>
        <row r="284">
          <cell r="A284" t="str">
            <v>907000030</v>
          </cell>
          <cell r="B284" t="str">
            <v>FLAN CARAMELO BUCCA UND</v>
          </cell>
          <cell r="C284" t="str">
            <v xml:space="preserve">ESP-RE-POS-068  </v>
          </cell>
          <cell r="D284" t="str">
            <v>01</v>
          </cell>
          <cell r="E284" t="str">
            <v>Und</v>
          </cell>
          <cell r="F284" t="str">
            <v>Und</v>
          </cell>
          <cell r="G284">
            <v>2783.574247941177</v>
          </cell>
          <cell r="H284">
            <v>2783.574247941177</v>
          </cell>
          <cell r="I284">
            <v>245.786</v>
          </cell>
          <cell r="J284">
            <v>245.786</v>
          </cell>
          <cell r="K284">
            <v>137.5</v>
          </cell>
          <cell r="L284">
            <v>137.5</v>
          </cell>
          <cell r="M284">
            <v>3166.860247941177</v>
          </cell>
        </row>
        <row r="285">
          <cell r="A285" t="str">
            <v>910000009</v>
          </cell>
          <cell r="B285" t="str">
            <v>CHOCOLATE LECHE RALLADO (KILO)</v>
          </cell>
          <cell r="C285" t="str">
            <v xml:space="preserve">ESP-RE-DES-029 </v>
          </cell>
          <cell r="D285" t="str">
            <v>01</v>
          </cell>
          <cell r="E285" t="str">
            <v>Kilo</v>
          </cell>
          <cell r="F285" t="str">
            <v>Gramo</v>
          </cell>
          <cell r="G285">
            <v>4753.6442553191482</v>
          </cell>
          <cell r="H285">
            <v>4.7536442553191485</v>
          </cell>
          <cell r="I285">
            <v>7.0921985815602842</v>
          </cell>
          <cell r="J285">
            <v>7.0921985815602844E-3</v>
          </cell>
          <cell r="K285">
            <v>81.400000000000006</v>
          </cell>
          <cell r="L285">
            <v>8.14E-2</v>
          </cell>
          <cell r="M285">
            <v>4842.1364539007081</v>
          </cell>
        </row>
        <row r="286">
          <cell r="A286" t="str">
            <v>903000133</v>
          </cell>
          <cell r="B286" t="str">
            <v>ROSQUETE CHOCOLATE PASTELERO REAL 650g</v>
          </cell>
          <cell r="C286" t="str">
            <v xml:space="preserve">ESP-RE-BAF-041 </v>
          </cell>
          <cell r="D286" t="str">
            <v>03</v>
          </cell>
          <cell r="E286" t="str">
            <v>Und</v>
          </cell>
          <cell r="F286" t="str">
            <v>Und</v>
          </cell>
          <cell r="G286">
            <v>680.8341205194331</v>
          </cell>
          <cell r="H286">
            <v>680.8341205194331</v>
          </cell>
          <cell r="I286">
            <v>13.042988228525708</v>
          </cell>
          <cell r="J286">
            <v>13.042988228525708</v>
          </cell>
          <cell r="K286">
            <v>48.000946551724141</v>
          </cell>
          <cell r="L286">
            <v>48.000946551724141</v>
          </cell>
          <cell r="M286">
            <v>741.87805529968296</v>
          </cell>
        </row>
        <row r="287">
          <cell r="A287" t="str">
            <v>907000026</v>
          </cell>
          <cell r="B287" t="str">
            <v>MEZCLA TRES LECHES Y KOLITA (LITRO)</v>
          </cell>
          <cell r="C287" t="str">
            <v>ESP-RE-DES-107</v>
          </cell>
          <cell r="D287" t="str">
            <v>03</v>
          </cell>
          <cell r="E287" t="str">
            <v>Kilo</v>
          </cell>
          <cell r="F287" t="str">
            <v>Gramo</v>
          </cell>
          <cell r="G287">
            <v>1239.5504245639513</v>
          </cell>
          <cell r="H287">
            <v>1.2395504245639513</v>
          </cell>
          <cell r="I287">
            <v>4.6947918823703709</v>
          </cell>
          <cell r="J287">
            <v>4.6947918823703706E-3</v>
          </cell>
          <cell r="K287">
            <v>17.619985166666666</v>
          </cell>
          <cell r="L287">
            <v>1.7619985166666664E-2</v>
          </cell>
          <cell r="M287">
            <v>1261.8652016129884</v>
          </cell>
        </row>
        <row r="288">
          <cell r="A288" t="str">
            <v>910000030</v>
          </cell>
          <cell r="B288" t="str">
            <v>CREMA BLANCA C/SIROPE KOLITA KILO</v>
          </cell>
          <cell r="C288" t="str">
            <v xml:space="preserve">ESP-RE-DES-056 </v>
          </cell>
          <cell r="D288" t="str">
            <v>02</v>
          </cell>
          <cell r="E288" t="str">
            <v>Kilo</v>
          </cell>
          <cell r="F288" t="str">
            <v>Gramo</v>
          </cell>
          <cell r="G288">
            <v>1765.0699338774984</v>
          </cell>
          <cell r="H288">
            <v>1.7650699338774984</v>
          </cell>
          <cell r="I288">
            <v>2.7884615384615379E-2</v>
          </cell>
          <cell r="J288">
            <v>2.7884615384615379E-5</v>
          </cell>
          <cell r="K288">
            <v>26.438500000000001</v>
          </cell>
          <cell r="L288">
            <v>2.64385E-2</v>
          </cell>
          <cell r="M288">
            <v>1791.5363184928831</v>
          </cell>
        </row>
        <row r="289">
          <cell r="A289" t="str">
            <v>905000045</v>
          </cell>
          <cell r="B289" t="str">
            <v>RELLENO LECHE CONDENSADA BUCCA KILO</v>
          </cell>
          <cell r="C289" t="str">
            <v>ESP-RE-POS-074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1997.2687037037035</v>
          </cell>
          <cell r="H289">
            <v>1.9972687037037036</v>
          </cell>
          <cell r="I289">
            <v>0</v>
          </cell>
          <cell r="J289">
            <v>0</v>
          </cell>
          <cell r="K289">
            <v>91.3</v>
          </cell>
          <cell r="L289">
            <v>9.1299999999999992E-2</v>
          </cell>
          <cell r="M289">
            <v>2088.5687037037037</v>
          </cell>
        </row>
        <row r="290">
          <cell r="A290" t="str">
            <v>902000095</v>
          </cell>
          <cell r="B290" t="str">
            <v>MEZCLA DE TRES LECHES ECONOMICA KILO</v>
          </cell>
          <cell r="C290" t="str">
            <v>ESP-RE-POF-161</v>
          </cell>
          <cell r="D290" t="str">
            <v>02</v>
          </cell>
          <cell r="E290" t="str">
            <v>Kilo</v>
          </cell>
          <cell r="F290" t="str">
            <v>Gramo</v>
          </cell>
          <cell r="G290">
            <v>1234.1136755369635</v>
          </cell>
          <cell r="H290">
            <v>1.2341136755369635</v>
          </cell>
          <cell r="I290">
            <v>0.48838136296296303</v>
          </cell>
          <cell r="J290">
            <v>4.8838136296296304E-4</v>
          </cell>
          <cell r="K290">
            <v>25.194949999999999</v>
          </cell>
          <cell r="L290">
            <v>2.5194949999999997E-2</v>
          </cell>
          <cell r="M290">
            <v>1259.7970068999264</v>
          </cell>
        </row>
        <row r="291">
          <cell r="A291" t="str">
            <v>90100288</v>
          </cell>
          <cell r="B291" t="str">
            <v>RELLENO MELOCOTON BUCCA PLANTA</v>
          </cell>
          <cell r="C291" t="str">
            <v>ESP-RE-COCS-306</v>
          </cell>
          <cell r="D291" t="str">
            <v>03</v>
          </cell>
          <cell r="E291" t="str">
            <v>Kilo</v>
          </cell>
          <cell r="F291" t="str">
            <v>Gramo</v>
          </cell>
          <cell r="G291">
            <v>892.64978605769227</v>
          </cell>
          <cell r="H291">
            <v>0.8926497860576923</v>
          </cell>
          <cell r="I291">
            <v>0</v>
          </cell>
          <cell r="J291">
            <v>0</v>
          </cell>
          <cell r="K291">
            <v>51.5625</v>
          </cell>
          <cell r="L291">
            <v>5.1562499999999997E-2</v>
          </cell>
          <cell r="M291">
            <v>944.21228605769227</v>
          </cell>
        </row>
        <row r="292">
          <cell r="A292" t="str">
            <v>90100289</v>
          </cell>
          <cell r="B292" t="str">
            <v>EMPAQUE RELLENO MELOCOTON BUCCA KILO</v>
          </cell>
          <cell r="C292" t="str">
            <v>ESP-RE-EMPF-177</v>
          </cell>
          <cell r="D292" t="str">
            <v>01</v>
          </cell>
          <cell r="E292" t="str">
            <v>Kilo</v>
          </cell>
          <cell r="F292" t="str">
            <v>Gramo</v>
          </cell>
          <cell r="G292">
            <v>892.64978605769227</v>
          </cell>
          <cell r="H292">
            <v>0.8926497860576923</v>
          </cell>
          <cell r="I292">
            <v>2.9949999999999997</v>
          </cell>
          <cell r="J292">
            <v>2.9949999999999998E-3</v>
          </cell>
          <cell r="K292">
            <v>65.3125</v>
          </cell>
          <cell r="L292">
            <v>6.5312499999999996E-2</v>
          </cell>
          <cell r="M292">
            <v>960.95728605769227</v>
          </cell>
        </row>
        <row r="293">
          <cell r="A293" t="str">
            <v>903000029</v>
          </cell>
          <cell r="B293" t="str">
            <v>ROSQUETE TRES LECHES 230g</v>
          </cell>
          <cell r="C293" t="str">
            <v>ESP-RE-BAS-042</v>
          </cell>
          <cell r="D293" t="str">
            <v>04</v>
          </cell>
          <cell r="E293" t="str">
            <v>UND</v>
          </cell>
          <cell r="F293" t="str">
            <v>Und</v>
          </cell>
          <cell r="G293">
            <v>192.10372509795215</v>
          </cell>
          <cell r="H293">
            <v>192.10372509795215</v>
          </cell>
          <cell r="I293">
            <v>6.6704344326923071</v>
          </cell>
          <cell r="J293">
            <v>6.6704344326923071</v>
          </cell>
          <cell r="K293">
            <v>23.553645641025643</v>
          </cell>
          <cell r="L293">
            <v>23.553645641025643</v>
          </cell>
          <cell r="M293">
            <v>222.32780517167009</v>
          </cell>
        </row>
        <row r="294">
          <cell r="A294" t="str">
            <v>907000211</v>
          </cell>
          <cell r="B294" t="str">
            <v>ROSQUETE MELO FROM SCRATCH 300 G</v>
          </cell>
          <cell r="C294" t="str">
            <v xml:space="preserve">ESP-RE-BAS-126 </v>
          </cell>
          <cell r="D294" t="str">
            <v>01</v>
          </cell>
          <cell r="E294" t="str">
            <v>Und</v>
          </cell>
          <cell r="F294" t="str">
            <v>Und</v>
          </cell>
          <cell r="G294">
            <v>337.63880071731893</v>
          </cell>
          <cell r="H294">
            <v>337.63880071731893</v>
          </cell>
          <cell r="I294">
            <v>4.5242273478260859</v>
          </cell>
          <cell r="J294">
            <v>4.5242273478260859</v>
          </cell>
          <cell r="K294">
            <v>19.349318840579709</v>
          </cell>
          <cell r="L294">
            <v>19.349318840579709</v>
          </cell>
          <cell r="M294">
            <v>361.51234690572471</v>
          </cell>
        </row>
        <row r="295">
          <cell r="A295" t="str">
            <v>903000048</v>
          </cell>
          <cell r="B295" t="str">
            <v>ROSQUETE VAINILLA PASTELERO REAL 1800g</v>
          </cell>
          <cell r="C295" t="str">
            <v>ESP-RE-BAF-014</v>
          </cell>
          <cell r="D295" t="str">
            <v>05</v>
          </cell>
          <cell r="E295" t="str">
            <v>Und</v>
          </cell>
          <cell r="F295" t="str">
            <v>Und</v>
          </cell>
          <cell r="G295">
            <v>1663.8319946958231</v>
          </cell>
          <cell r="H295">
            <v>1663.8319946958231</v>
          </cell>
          <cell r="I295">
            <v>12.923748997754492</v>
          </cell>
          <cell r="J295">
            <v>12.923748997754492</v>
          </cell>
          <cell r="K295">
            <v>42.028597600000005</v>
          </cell>
          <cell r="L295">
            <v>42.028597600000005</v>
          </cell>
          <cell r="M295">
            <v>1718.7843412935777</v>
          </cell>
        </row>
        <row r="296">
          <cell r="A296" t="str">
            <v>903000172</v>
          </cell>
          <cell r="B296" t="str">
            <v xml:space="preserve">GALLETA CHILENA 17 CM </v>
          </cell>
          <cell r="C296" t="str">
            <v>ESP-RE-PAPS-181</v>
          </cell>
          <cell r="D296" t="str">
            <v>01</v>
          </cell>
          <cell r="E296" t="str">
            <v>Und</v>
          </cell>
          <cell r="F296" t="str">
            <v>Und</v>
          </cell>
          <cell r="G296">
            <v>72.008954364173704</v>
          </cell>
          <cell r="H296">
            <v>72.008954364173704</v>
          </cell>
          <cell r="I296">
            <v>0.30470029800000009</v>
          </cell>
          <cell r="J296">
            <v>0.30470029800000009</v>
          </cell>
          <cell r="K296">
            <v>23.888896537000001</v>
          </cell>
          <cell r="L296">
            <v>23.888896537000001</v>
          </cell>
          <cell r="M296">
            <v>96.202551199173712</v>
          </cell>
        </row>
        <row r="297">
          <cell r="A297" t="str">
            <v>910000005</v>
          </cell>
          <cell r="B297" t="str">
            <v>MEZCLA DULCE LECHE C/AGUA</v>
          </cell>
          <cell r="C297" t="str">
            <v>ESP-RE-DES-025</v>
          </cell>
          <cell r="D297" t="str">
            <v>01</v>
          </cell>
          <cell r="E297" t="str">
            <v>Kilo</v>
          </cell>
          <cell r="F297" t="str">
            <v>Gramo</v>
          </cell>
          <cell r="G297">
            <v>1532.8908333333334</v>
          </cell>
          <cell r="H297">
            <v>1.5328908333333333</v>
          </cell>
          <cell r="I297">
            <v>1.7932166666666665</v>
          </cell>
          <cell r="J297">
            <v>1.7932166666666664E-3</v>
          </cell>
          <cell r="K297">
            <v>91.3</v>
          </cell>
          <cell r="L297">
            <v>9.1299999999999992E-2</v>
          </cell>
          <cell r="M297">
            <v>1625.98405</v>
          </cell>
        </row>
        <row r="298">
          <cell r="A298" t="str">
            <v>907000226</v>
          </cell>
          <cell r="B298" t="str">
            <v>ROSQUETE CHOCOLATE BUCCA 800 g</v>
          </cell>
          <cell r="C298" t="str">
            <v xml:space="preserve">ESP-RE-BAF-086 </v>
          </cell>
          <cell r="D298" t="str">
            <v>02</v>
          </cell>
          <cell r="E298" t="str">
            <v>Und</v>
          </cell>
          <cell r="F298" t="str">
            <v>Und</v>
          </cell>
          <cell r="G298">
            <v>875.53991825240166</v>
          </cell>
          <cell r="H298">
            <v>875.53991825240166</v>
          </cell>
          <cell r="I298">
            <v>13.466450312500001</v>
          </cell>
          <cell r="J298">
            <v>13.466450312500001</v>
          </cell>
          <cell r="K298">
            <v>42.606299999999997</v>
          </cell>
          <cell r="L298">
            <v>42.606299999999997</v>
          </cell>
          <cell r="M298">
            <v>931.6126685649017</v>
          </cell>
        </row>
        <row r="299">
          <cell r="A299" t="str">
            <v>90100195</v>
          </cell>
          <cell r="B299" t="str">
            <v>ROSQUETE TRES LECHES WALMART 300 g</v>
          </cell>
          <cell r="C299" t="str">
            <v>ESP-RE-BAF-069</v>
          </cell>
          <cell r="D299" t="str">
            <v>02</v>
          </cell>
          <cell r="E299" t="str">
            <v>Und</v>
          </cell>
          <cell r="F299" t="str">
            <v>Und</v>
          </cell>
          <cell r="G299">
            <v>266.57057864523489</v>
          </cell>
          <cell r="H299">
            <v>266.57057864523489</v>
          </cell>
          <cell r="I299">
            <v>1.5791181527777778</v>
          </cell>
          <cell r="J299">
            <v>1.5791181527777778</v>
          </cell>
          <cell r="K299">
            <v>31.860355999999996</v>
          </cell>
          <cell r="L299">
            <v>31.860355999999996</v>
          </cell>
          <cell r="M299">
            <v>300.01005279801268</v>
          </cell>
        </row>
        <row r="300">
          <cell r="A300" t="str">
            <v>907000117</v>
          </cell>
          <cell r="B300" t="str">
            <v>ROSQUETE CHOCOLATE BUCCA 280 g</v>
          </cell>
          <cell r="C300" t="str">
            <v>ESP-RE-BAF-016</v>
          </cell>
          <cell r="D300" t="str">
            <v>05</v>
          </cell>
          <cell r="E300" t="str">
            <v>Und</v>
          </cell>
          <cell r="F300" t="str">
            <v>Und</v>
          </cell>
          <cell r="G300">
            <v>306.65593701387297</v>
          </cell>
          <cell r="H300">
            <v>306.65593701387297</v>
          </cell>
          <cell r="I300">
            <v>2.5732091648391813</v>
          </cell>
          <cell r="J300">
            <v>2.5732091648391813</v>
          </cell>
          <cell r="K300">
            <v>8.4430950292397657</v>
          </cell>
          <cell r="L300">
            <v>8.4430950292397657</v>
          </cell>
          <cell r="M300">
            <v>317.67224120795191</v>
          </cell>
        </row>
        <row r="301">
          <cell r="A301" t="str">
            <v>909000039</v>
          </cell>
          <cell r="B301" t="str">
            <v>ENSAMBLE FLAN CARAMEL RECT BUC 1200G</v>
          </cell>
          <cell r="C301" t="str">
            <v>ESP-RE-POF-095</v>
          </cell>
          <cell r="D301" t="str">
            <v>01</v>
          </cell>
          <cell r="E301" t="str">
            <v>Und</v>
          </cell>
          <cell r="F301" t="str">
            <v>Und</v>
          </cell>
          <cell r="G301">
            <v>2578.0355943747281</v>
          </cell>
          <cell r="H301">
            <v>2578.0355943747281</v>
          </cell>
          <cell r="I301">
            <v>0</v>
          </cell>
          <cell r="J301">
            <v>0</v>
          </cell>
          <cell r="K301">
            <v>168.63</v>
          </cell>
          <cell r="L301">
            <v>168.63</v>
          </cell>
          <cell r="M301">
            <v>2746.6655943747282</v>
          </cell>
        </row>
        <row r="302">
          <cell r="A302" t="str">
            <v>90100284</v>
          </cell>
          <cell r="B302" t="str">
            <v>RELLENO DE FRESA ESPESA PLANTA KILO</v>
          </cell>
          <cell r="C302" t="str">
            <v xml:space="preserve">ESP-RE-COCS-302 </v>
          </cell>
          <cell r="D302" t="str">
            <v>02</v>
          </cell>
          <cell r="E302" t="str">
            <v>Kilo</v>
          </cell>
          <cell r="F302" t="str">
            <v>Gramo</v>
          </cell>
          <cell r="G302">
            <v>1536.5920771442482</v>
          </cell>
          <cell r="H302">
            <v>1.5365920771442481</v>
          </cell>
          <cell r="I302">
            <v>5.5894719720979769</v>
          </cell>
          <cell r="J302">
            <v>5.5894719720979771E-3</v>
          </cell>
          <cell r="K302">
            <v>70.286485623003202</v>
          </cell>
          <cell r="L302">
            <v>7.02864856230032E-2</v>
          </cell>
          <cell r="M302">
            <v>1612.4680347393494</v>
          </cell>
        </row>
        <row r="303">
          <cell r="A303" t="str">
            <v>20100115</v>
          </cell>
          <cell r="B303" t="str">
            <v>EMPAQ RELLENO DE FRESA ESPESA KILO</v>
          </cell>
          <cell r="C303" t="str">
            <v>ESP-RE-EMPS-195</v>
          </cell>
          <cell r="D303" t="str">
            <v>01</v>
          </cell>
          <cell r="E303" t="str">
            <v>Kilo</v>
          </cell>
          <cell r="F303" t="str">
            <v>Gramo</v>
          </cell>
          <cell r="G303">
            <v>1536.5920771442482</v>
          </cell>
          <cell r="H303">
            <v>1.5365920771442481</v>
          </cell>
          <cell r="I303">
            <v>12.412138638764644</v>
          </cell>
          <cell r="J303">
            <v>1.2412138638764643E-2</v>
          </cell>
          <cell r="K303">
            <v>81.286485623003202</v>
          </cell>
          <cell r="L303">
            <v>8.1286485623003196E-2</v>
          </cell>
          <cell r="M303">
            <v>1630.2907014060161</v>
          </cell>
        </row>
        <row r="304">
          <cell r="A304" t="str">
            <v>907000027</v>
          </cell>
          <cell r="B304" t="str">
            <v>CARAMELO CROCANTE KILO</v>
          </cell>
          <cell r="C304" t="str">
            <v>ESP-RE-POS-100</v>
          </cell>
          <cell r="D304" t="str">
            <v>01</v>
          </cell>
          <cell r="E304" t="str">
            <v>Kilo</v>
          </cell>
          <cell r="F304" t="str">
            <v>Gramo</v>
          </cell>
          <cell r="G304">
            <v>760.28333333333364</v>
          </cell>
          <cell r="H304">
            <v>0.76028333333333364</v>
          </cell>
          <cell r="I304">
            <v>11.2</v>
          </cell>
          <cell r="J304">
            <v>1.12E-2</v>
          </cell>
          <cell r="K304">
            <v>440</v>
          </cell>
          <cell r="L304">
            <v>0.44</v>
          </cell>
          <cell r="M304">
            <v>1211.4833333333336</v>
          </cell>
        </row>
        <row r="305">
          <cell r="A305" t="str">
            <v>907000025</v>
          </cell>
          <cell r="B305" t="str">
            <v>CARAMELO C/CHOCOLATE BLANCO KILO</v>
          </cell>
          <cell r="C305" t="str">
            <v>ESP-RE-POS-099</v>
          </cell>
          <cell r="D305" t="str">
            <v>01</v>
          </cell>
          <cell r="E305" t="str">
            <v>Kilo</v>
          </cell>
          <cell r="F305" t="str">
            <v>Gramo</v>
          </cell>
          <cell r="G305">
            <v>2054.0305555555556</v>
          </cell>
          <cell r="H305">
            <v>2.0540305555555554</v>
          </cell>
          <cell r="I305">
            <v>18.238</v>
          </cell>
          <cell r="J305">
            <v>1.8238000000000001E-2</v>
          </cell>
          <cell r="K305">
            <v>357.5</v>
          </cell>
          <cell r="L305">
            <v>0.35749999999999998</v>
          </cell>
          <cell r="M305">
            <v>2429.7685555555554</v>
          </cell>
        </row>
        <row r="306">
          <cell r="A306" t="str">
            <v>905000100</v>
          </cell>
          <cell r="B306" t="str">
            <v>CREMA CHANTILLY LILA KILO</v>
          </cell>
          <cell r="C306">
            <v>0</v>
          </cell>
          <cell r="D306">
            <v>0</v>
          </cell>
          <cell r="E306" t="str">
            <v>Kilo</v>
          </cell>
          <cell r="F306" t="str">
            <v>Gramo</v>
          </cell>
          <cell r="G306">
            <v>1857.0811819526627</v>
          </cell>
          <cell r="H306">
            <v>1.8570811819526627</v>
          </cell>
          <cell r="I306">
            <v>0.10230769230769231</v>
          </cell>
          <cell r="J306">
            <v>1.023076923076923E-4</v>
          </cell>
          <cell r="K306">
            <v>26.4</v>
          </cell>
          <cell r="L306">
            <v>2.64E-2</v>
          </cell>
          <cell r="M306">
            <v>1883.5834896449705</v>
          </cell>
        </row>
        <row r="307">
          <cell r="A307" t="str">
            <v>905000101</v>
          </cell>
          <cell r="B307" t="str">
            <v>CREMA CHANTILLY MORADO BARNIE KILO</v>
          </cell>
          <cell r="C307">
            <v>0</v>
          </cell>
          <cell r="D307">
            <v>0</v>
          </cell>
          <cell r="E307" t="str">
            <v>Kilo</v>
          </cell>
          <cell r="F307" t="str">
            <v>Gramo</v>
          </cell>
          <cell r="G307">
            <v>1874.8326612426038</v>
          </cell>
          <cell r="H307">
            <v>1.8748326612426038</v>
          </cell>
          <cell r="I307">
            <v>0.10230769230769231</v>
          </cell>
          <cell r="J307">
            <v>1.023076923076923E-4</v>
          </cell>
          <cell r="K307">
            <v>26.4</v>
          </cell>
          <cell r="L307">
            <v>2.64E-2</v>
          </cell>
          <cell r="M307">
            <v>1901.3349689349116</v>
          </cell>
        </row>
        <row r="308">
          <cell r="A308" t="str">
            <v>911000002</v>
          </cell>
          <cell r="B308" t="str">
            <v>TEMPERADO CHOCOLATE BLANCO (KILO)</v>
          </cell>
          <cell r="C308" t="str">
            <v xml:space="preserve">ESP-RE-FIS-004 </v>
          </cell>
          <cell r="D308" t="str">
            <v>02</v>
          </cell>
          <cell r="E308" t="str">
            <v>Kilo</v>
          </cell>
          <cell r="F308" t="str">
            <v>Gramo</v>
          </cell>
          <cell r="G308">
            <v>4637.1111111111113</v>
          </cell>
          <cell r="H308">
            <v>4.6371111111111114</v>
          </cell>
          <cell r="I308">
            <v>3.2953125000000001</v>
          </cell>
          <cell r="J308">
            <v>3.2953125000000001E-3</v>
          </cell>
          <cell r="K308">
            <v>85.8</v>
          </cell>
          <cell r="L308">
            <v>8.5800000000000001E-2</v>
          </cell>
          <cell r="M308">
            <v>4726.2064236111119</v>
          </cell>
        </row>
        <row r="309">
          <cell r="A309" t="str">
            <v>904000034</v>
          </cell>
          <cell r="B309" t="str">
            <v xml:space="preserve">ALFAJOR C/ DULCE LECHE STB UND </v>
          </cell>
          <cell r="C309" t="str">
            <v xml:space="preserve">ESP-RE-FIS-014 </v>
          </cell>
          <cell r="D309" t="str">
            <v>04</v>
          </cell>
          <cell r="E309" t="str">
            <v>Und</v>
          </cell>
          <cell r="F309" t="str">
            <v>Und</v>
          </cell>
          <cell r="G309">
            <v>119.56915613538951</v>
          </cell>
          <cell r="H309">
            <v>119.56915613538951</v>
          </cell>
          <cell r="I309">
            <v>0.2126477452699318</v>
          </cell>
          <cell r="J309">
            <v>0.2126477452699318</v>
          </cell>
          <cell r="K309">
            <v>40.112065916580889</v>
          </cell>
          <cell r="L309">
            <v>40.112065916580889</v>
          </cell>
          <cell r="M309">
            <v>159.89386979724031</v>
          </cell>
        </row>
        <row r="310">
          <cell r="A310" t="str">
            <v>910000017</v>
          </cell>
          <cell r="B310" t="str">
            <v>CREMA BLANCA C/CAFE (KILO)</v>
          </cell>
          <cell r="C310" t="str">
            <v>ESP-RE-DES-129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1811.4551714217214</v>
          </cell>
          <cell r="H310">
            <v>1.8114551714217213</v>
          </cell>
          <cell r="I310">
            <v>0.10203788060417167</v>
          </cell>
          <cell r="J310">
            <v>1.0203788060417167E-4</v>
          </cell>
          <cell r="K310">
            <v>26.344999999999999</v>
          </cell>
          <cell r="L310">
            <v>2.6345E-2</v>
          </cell>
          <cell r="M310">
            <v>1837.9022093023257</v>
          </cell>
        </row>
        <row r="311">
          <cell r="A311" t="str">
            <v>910000004</v>
          </cell>
          <cell r="B311" t="str">
            <v>MEZCLA LICOR CAFE C/ALMIBAR (KILO)</v>
          </cell>
          <cell r="C311" t="str">
            <v>ESP-RE-DES-128</v>
          </cell>
          <cell r="D311" t="str">
            <v>01</v>
          </cell>
          <cell r="E311" t="str">
            <v>Kilo</v>
          </cell>
          <cell r="F311" t="str">
            <v>Gramo</v>
          </cell>
          <cell r="G311">
            <v>4154.141339001666</v>
          </cell>
          <cell r="H311">
            <v>4.1541413390016659</v>
          </cell>
          <cell r="I311">
            <v>7.3150415833333327</v>
          </cell>
          <cell r="J311">
            <v>7.3150415833333326E-3</v>
          </cell>
          <cell r="K311">
            <v>34.561083333333329</v>
          </cell>
          <cell r="L311">
            <v>3.4561083333333326E-2</v>
          </cell>
          <cell r="M311">
            <v>4196.0174639183324</v>
          </cell>
        </row>
        <row r="312">
          <cell r="A312" t="str">
            <v>90100030</v>
          </cell>
          <cell r="B312" t="str">
            <v>COCCION CARNE MECHADA FAS KILO</v>
          </cell>
          <cell r="C312" t="str">
            <v xml:space="preserve">ESP-RE-COCS-162 </v>
          </cell>
          <cell r="D312" t="str">
            <v>01</v>
          </cell>
          <cell r="E312" t="str">
            <v>Kilo</v>
          </cell>
          <cell r="F312" t="str">
            <v>Gramo</v>
          </cell>
          <cell r="G312">
            <v>2016.3346469012715</v>
          </cell>
          <cell r="H312">
            <v>2.0163346469012717</v>
          </cell>
          <cell r="I312">
            <v>2.8680339998556272</v>
          </cell>
          <cell r="J312">
            <v>2.8680339998556274E-3</v>
          </cell>
          <cell r="K312">
            <v>195.42320784908205</v>
          </cell>
          <cell r="L312">
            <v>0.19542320784908204</v>
          </cell>
          <cell r="M312">
            <v>2214.6258887502095</v>
          </cell>
        </row>
        <row r="313">
          <cell r="A313" t="str">
            <v>90100015</v>
          </cell>
          <cell r="B313" t="str">
            <v>RELLENO POLLO BUCCA P/PASTEL KILO</v>
          </cell>
          <cell r="C313" t="str">
            <v>ESP-RE-COCS-169</v>
          </cell>
          <cell r="D313" t="str">
            <v>02</v>
          </cell>
          <cell r="E313" t="str">
            <v>Kilo</v>
          </cell>
          <cell r="F313" t="str">
            <v>Gramo</v>
          </cell>
          <cell r="G313">
            <v>2237.9252893708931</v>
          </cell>
          <cell r="H313">
            <v>2.2379252893708932</v>
          </cell>
          <cell r="I313">
            <v>7.1559602443555033</v>
          </cell>
          <cell r="J313">
            <v>7.1559602443555031E-3</v>
          </cell>
          <cell r="K313">
            <v>183.23279122541604</v>
          </cell>
          <cell r="L313">
            <v>0.18323279122541603</v>
          </cell>
          <cell r="M313">
            <v>2428.3140408406643</v>
          </cell>
        </row>
        <row r="314">
          <cell r="A314" t="str">
            <v>905000038</v>
          </cell>
          <cell r="B314" t="str">
            <v>RELLENO PECANA STB (KILO)</v>
          </cell>
          <cell r="C314" t="str">
            <v>ESP-RE-POS-056</v>
          </cell>
          <cell r="D314" t="str">
            <v>05</v>
          </cell>
          <cell r="E314" t="str">
            <v>Kilo</v>
          </cell>
          <cell r="F314" t="str">
            <v>Gramo</v>
          </cell>
          <cell r="G314">
            <v>1635.1089760583477</v>
          </cell>
          <cell r="H314">
            <v>1.6351089760583477</v>
          </cell>
          <cell r="I314">
            <v>3.2383516981132079</v>
          </cell>
          <cell r="J314">
            <v>3.2383516981132079E-3</v>
          </cell>
          <cell r="K314">
            <v>151.03899371069181</v>
          </cell>
          <cell r="L314">
            <v>0.15103899371069182</v>
          </cell>
          <cell r="M314">
            <v>1789.3863214671528</v>
          </cell>
        </row>
        <row r="315">
          <cell r="A315" t="str">
            <v>907000019</v>
          </cell>
          <cell r="B315" t="str">
            <v>BASE GALLETA P/BARRA PECANA STB KILO</v>
          </cell>
          <cell r="C315" t="str">
            <v xml:space="preserve">ESP-RE-POS-055 </v>
          </cell>
          <cell r="D315" t="str">
            <v>02</v>
          </cell>
          <cell r="E315" t="str">
            <v>Kilo</v>
          </cell>
          <cell r="F315" t="str">
            <v>Gramo</v>
          </cell>
          <cell r="G315">
            <v>2155.1414463087249</v>
          </cell>
          <cell r="H315">
            <v>2.1551414463087251</v>
          </cell>
          <cell r="I315">
            <v>40.668900624999999</v>
          </cell>
          <cell r="J315">
            <v>4.0668900624999997E-2</v>
          </cell>
          <cell r="K315">
            <v>277.77749999999997</v>
          </cell>
          <cell r="L315">
            <v>0.27777749999999996</v>
          </cell>
          <cell r="M315">
            <v>2473.5878469337249</v>
          </cell>
        </row>
        <row r="316">
          <cell r="A316" t="str">
            <v>902000099</v>
          </cell>
          <cell r="B316" t="str">
            <v>PLANCHA P/BARRA PECANAS STB UND</v>
          </cell>
          <cell r="C316" t="str">
            <v xml:space="preserve">ESP-RE-POS-057 </v>
          </cell>
          <cell r="D316" t="str">
            <v>05</v>
          </cell>
          <cell r="E316" t="str">
            <v>Und</v>
          </cell>
          <cell r="F316" t="str">
            <v>Und</v>
          </cell>
          <cell r="G316">
            <v>4400.6668798490009</v>
          </cell>
          <cell r="H316">
            <v>4400.6668798490009</v>
          </cell>
          <cell r="I316">
            <v>18.7934745745283</v>
          </cell>
          <cell r="J316">
            <v>18.7934745745283</v>
          </cell>
          <cell r="K316">
            <v>338.92141509433958</v>
          </cell>
          <cell r="L316">
            <v>338.92141509433958</v>
          </cell>
          <cell r="M316">
            <v>4758.3817695178686</v>
          </cell>
        </row>
        <row r="317">
          <cell r="A317" t="str">
            <v>907000008</v>
          </cell>
          <cell r="B317" t="str">
            <v>MEZCLA P/CUATRO LECHES (KILO)</v>
          </cell>
          <cell r="C317" t="str">
            <v>ESP-RE-POS-021</v>
          </cell>
          <cell r="D317" t="str">
            <v>02</v>
          </cell>
          <cell r="E317" t="str">
            <v>Kilo</v>
          </cell>
          <cell r="F317" t="str">
            <v>Gramo</v>
          </cell>
          <cell r="G317">
            <v>1303.5859943314028</v>
          </cell>
          <cell r="H317">
            <v>1.3035859943314028</v>
          </cell>
          <cell r="I317">
            <v>8.2409125425269387</v>
          </cell>
          <cell r="J317">
            <v>8.2409125425269396E-3</v>
          </cell>
          <cell r="K317">
            <v>91.284729989655176</v>
          </cell>
          <cell r="L317">
            <v>9.1284729989655172E-2</v>
          </cell>
          <cell r="M317">
            <v>1403.1116368635851</v>
          </cell>
        </row>
        <row r="318">
          <cell r="A318" t="str">
            <v>903000045</v>
          </cell>
          <cell r="B318" t="str">
            <v>ROSQUETE CHOCOLATE PASTELERO REAL 1800g</v>
          </cell>
          <cell r="C318" t="str">
            <v>ESP-RE-BAF-010</v>
          </cell>
          <cell r="D318" t="str">
            <v>05</v>
          </cell>
          <cell r="E318" t="str">
            <v>Und</v>
          </cell>
          <cell r="F318" t="str">
            <v>Und</v>
          </cell>
          <cell r="G318">
            <v>1861.3735409168876</v>
          </cell>
          <cell r="H318">
            <v>1861.3735409168876</v>
          </cell>
          <cell r="I318">
            <v>25.718617649023376</v>
          </cell>
          <cell r="J318">
            <v>25.718617649023376</v>
          </cell>
          <cell r="K318">
            <v>69.729209523809516</v>
          </cell>
          <cell r="L318">
            <v>69.729209523809516</v>
          </cell>
          <cell r="M318">
            <v>1956.8213680897204</v>
          </cell>
        </row>
        <row r="319">
          <cell r="A319" t="str">
            <v>903000058</v>
          </cell>
          <cell r="B319" t="str">
            <v>MUFFIN NARANJA 90g UND</v>
          </cell>
          <cell r="C319" t="str">
            <v xml:space="preserve">ESP-RE-BAF-026 </v>
          </cell>
          <cell r="D319" t="str">
            <v>07</v>
          </cell>
          <cell r="E319" t="str">
            <v>Und</v>
          </cell>
          <cell r="F319" t="str">
            <v>Und</v>
          </cell>
          <cell r="G319">
            <v>80.061607359698115</v>
          </cell>
          <cell r="H319">
            <v>80.061607359698115</v>
          </cell>
          <cell r="I319">
            <v>7.3006222101252032</v>
          </cell>
          <cell r="J319">
            <v>7.3006222101252032</v>
          </cell>
          <cell r="K319">
            <v>3.0346408</v>
          </cell>
          <cell r="L319">
            <v>3.0346408</v>
          </cell>
          <cell r="M319">
            <v>90.396870369823318</v>
          </cell>
        </row>
        <row r="320">
          <cell r="A320" t="str">
            <v>907000204</v>
          </cell>
          <cell r="B320" t="str">
            <v>PLANCHA CHOCOLATE PASTELERO REAL 1300g</v>
          </cell>
          <cell r="C320" t="str">
            <v>ESP-RE-BAF-067</v>
          </cell>
          <cell r="D320" t="str">
            <v>02</v>
          </cell>
          <cell r="E320" t="str">
            <v>Und</v>
          </cell>
          <cell r="F320" t="str">
            <v>Und</v>
          </cell>
          <cell r="G320">
            <v>1354.909685149026</v>
          </cell>
          <cell r="H320">
            <v>1354.909685149026</v>
          </cell>
          <cell r="I320">
            <v>15.139552896706585</v>
          </cell>
          <cell r="J320">
            <v>15.139552896706585</v>
          </cell>
          <cell r="K320">
            <v>107.82385862068966</v>
          </cell>
          <cell r="L320">
            <v>107.82385862068966</v>
          </cell>
          <cell r="M320">
            <v>1477.8730966664223</v>
          </cell>
        </row>
        <row r="321">
          <cell r="A321" t="str">
            <v>906000118</v>
          </cell>
          <cell r="B321" t="str">
            <v xml:space="preserve">PREMEZCLA BATIDO SUPER ESPONJA KALUA </v>
          </cell>
          <cell r="C321" t="str">
            <v>ESP-RE-PRES-118</v>
          </cell>
          <cell r="D321" t="str">
            <v>03</v>
          </cell>
          <cell r="E321" t="str">
            <v>Kilo</v>
          </cell>
          <cell r="F321" t="str">
            <v>Gramo</v>
          </cell>
          <cell r="G321">
            <v>5842.7370967741936</v>
          </cell>
          <cell r="H321">
            <v>5.8427370967741936</v>
          </cell>
          <cell r="I321">
            <v>13.976642771804064</v>
          </cell>
          <cell r="J321">
            <v>1.3976642771804064E-2</v>
          </cell>
          <cell r="K321">
            <v>29.535</v>
          </cell>
          <cell r="L321">
            <v>2.9534999999999999E-2</v>
          </cell>
          <cell r="M321">
            <v>5886.2487395459975</v>
          </cell>
        </row>
        <row r="322">
          <cell r="A322" t="str">
            <v>902000062</v>
          </cell>
          <cell r="B322" t="str">
            <v>MEZCLA FLAN COCO BUCCA KILO</v>
          </cell>
          <cell r="C322" t="str">
            <v>ESP-RE-POF-091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1176.5127327254988</v>
          </cell>
          <cell r="H322">
            <v>1.1765127327254989</v>
          </cell>
          <cell r="I322">
            <v>1.3561824561403508</v>
          </cell>
          <cell r="J322">
            <v>1.3561824561403508E-3</v>
          </cell>
          <cell r="K322">
            <v>24.846491228070175</v>
          </cell>
          <cell r="L322">
            <v>2.4846491228070176E-2</v>
          </cell>
          <cell r="M322">
            <v>1202.7154064097094</v>
          </cell>
        </row>
        <row r="323">
          <cell r="A323" t="str">
            <v>907000029</v>
          </cell>
          <cell r="B323" t="str">
            <v>FLAN COCO BUCCA UND</v>
          </cell>
          <cell r="C323" t="str">
            <v>ESP-RE-POS-067</v>
          </cell>
          <cell r="D323" t="str">
            <v>06</v>
          </cell>
          <cell r="E323" t="str">
            <v>Und</v>
          </cell>
          <cell r="F323" t="str">
            <v>Und</v>
          </cell>
          <cell r="G323">
            <v>1708.5548628527356</v>
          </cell>
          <cell r="H323">
            <v>1708.5548628527356</v>
          </cell>
          <cell r="I323">
            <v>1.8986554385964911</v>
          </cell>
          <cell r="J323">
            <v>1.8986554385964911</v>
          </cell>
          <cell r="K323">
            <v>119.08908771929825</v>
          </cell>
          <cell r="L323">
            <v>119.08908771929825</v>
          </cell>
          <cell r="M323">
            <v>1829.5426060106304</v>
          </cell>
        </row>
        <row r="324">
          <cell r="A324" t="str">
            <v>904000045</v>
          </cell>
          <cell r="B324" t="str">
            <v>SALSA ROJA ECONOMICA IND</v>
          </cell>
          <cell r="C324" t="str">
            <v>ESP-RE-COCS-063</v>
          </cell>
          <cell r="D324" t="str">
            <v>03</v>
          </cell>
          <cell r="E324" t="str">
            <v>Kilo</v>
          </cell>
          <cell r="F324" t="str">
            <v>Gramo</v>
          </cell>
          <cell r="G324">
            <v>1185.3148768021285</v>
          </cell>
          <cell r="H324">
            <v>1.1853148768021284</v>
          </cell>
          <cell r="I324">
            <v>0.15964800000000001</v>
          </cell>
          <cell r="J324">
            <v>1.59648E-4</v>
          </cell>
          <cell r="K324">
            <v>88.33</v>
          </cell>
          <cell r="L324">
            <v>8.8329999999999992E-2</v>
          </cell>
          <cell r="M324">
            <v>1273.8045248021285</v>
          </cell>
        </row>
        <row r="325">
          <cell r="A325" t="str">
            <v>302000073</v>
          </cell>
          <cell r="B325" t="str">
            <v>EMP SALSA ROJA ECONOMICA 3000G FAS</v>
          </cell>
          <cell r="C325" t="str">
            <v>ESP-RE-EMPF-015</v>
          </cell>
          <cell r="D325" t="str">
            <v>01</v>
          </cell>
          <cell r="E325" t="str">
            <v>Kilo</v>
          </cell>
          <cell r="F325" t="str">
            <v>Gramo</v>
          </cell>
          <cell r="G325">
            <v>1185.3148768021285</v>
          </cell>
          <cell r="H325">
            <v>1.1853148768021284</v>
          </cell>
          <cell r="I325">
            <v>4.1130479999999991</v>
          </cell>
          <cell r="J325">
            <v>4.1130479999999994E-3</v>
          </cell>
          <cell r="K325">
            <v>115.83</v>
          </cell>
          <cell r="L325">
            <v>0.11583</v>
          </cell>
          <cell r="M325">
            <v>1305.2579248021284</v>
          </cell>
        </row>
        <row r="326">
          <cell r="A326" t="str">
            <v>901000001</v>
          </cell>
          <cell r="B326" t="str">
            <v>RELLENO CARNE P/LASAÑA BUCCA KILO</v>
          </cell>
          <cell r="C326" t="str">
            <v>ESP-RE-COCS-172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2031.4427908136402</v>
          </cell>
          <cell r="H326">
            <v>2.0314427908136401</v>
          </cell>
          <cell r="I326">
            <v>2.7513572000000002</v>
          </cell>
          <cell r="J326">
            <v>2.7513572000000003E-3</v>
          </cell>
          <cell r="K326">
            <v>190.79866666666666</v>
          </cell>
          <cell r="L326">
            <v>0.19079866666666667</v>
          </cell>
          <cell r="M326">
            <v>2224.9928146803068</v>
          </cell>
        </row>
        <row r="327">
          <cell r="A327" t="str">
            <v>905000078</v>
          </cell>
          <cell r="B327" t="str">
            <v>CREMA LIQUIDA ROJA P/MARMOLEAR (KILO)</v>
          </cell>
          <cell r="C327" t="str">
            <v>ESP-RE-DES-098</v>
          </cell>
          <cell r="D327" t="str">
            <v>01</v>
          </cell>
          <cell r="E327" t="str">
            <v>Kilo</v>
          </cell>
          <cell r="F327" t="str">
            <v>Gramo</v>
          </cell>
          <cell r="G327">
            <v>1852.4260355029587</v>
          </cell>
          <cell r="H327">
            <v>1.8524260355029587</v>
          </cell>
          <cell r="I327">
            <v>14.358974358974361</v>
          </cell>
          <cell r="J327">
            <v>1.4358974358974361E-2</v>
          </cell>
          <cell r="K327">
            <v>140.80000000000001</v>
          </cell>
          <cell r="L327">
            <v>0.14080000000000001</v>
          </cell>
          <cell r="M327">
            <v>2007.585009861933</v>
          </cell>
        </row>
        <row r="328">
          <cell r="A328" t="str">
            <v>907000033</v>
          </cell>
          <cell r="B328" t="str">
            <v>PIE LIMON P/PORCIONAR 1100G</v>
          </cell>
          <cell r="C328" t="str">
            <v>ESP-RE-POS-064</v>
          </cell>
          <cell r="D328" t="str">
            <v>01</v>
          </cell>
          <cell r="E328" t="str">
            <v>Und</v>
          </cell>
          <cell r="F328" t="str">
            <v>Und</v>
          </cell>
          <cell r="G328">
            <v>2069.2959708631579</v>
          </cell>
          <cell r="H328">
            <v>2069.2959708631579</v>
          </cell>
          <cell r="I328">
            <v>0.23397955932115522</v>
          </cell>
          <cell r="J328">
            <v>0.23397955932115522</v>
          </cell>
          <cell r="K328">
            <v>226.76927202102635</v>
          </cell>
          <cell r="L328">
            <v>226.76927202102635</v>
          </cell>
          <cell r="M328">
            <v>2296.2992224435052</v>
          </cell>
        </row>
        <row r="329">
          <cell r="A329" t="str">
            <v>907000010</v>
          </cell>
          <cell r="B329" t="str">
            <v>MEZCLA P/CUATRO LECHES CHOCOLATE (KILO)</v>
          </cell>
          <cell r="C329" t="str">
            <v>ESP-RE-POS-023</v>
          </cell>
          <cell r="D329" t="str">
            <v>02</v>
          </cell>
          <cell r="E329" t="str">
            <v>Kilo</v>
          </cell>
          <cell r="F329" t="str">
            <v>Gramo</v>
          </cell>
          <cell r="G329">
            <v>1993.1493711304981</v>
          </cell>
          <cell r="H329">
            <v>1.9931493711304982</v>
          </cell>
          <cell r="I329">
            <v>14.004115412430316</v>
          </cell>
          <cell r="J329">
            <v>1.4004115412430317E-2</v>
          </cell>
          <cell r="K329">
            <v>101.64454419139977</v>
          </cell>
          <cell r="L329">
            <v>0.10164454419139977</v>
          </cell>
          <cell r="M329">
            <v>2108.7980307343282</v>
          </cell>
        </row>
        <row r="330">
          <cell r="A330" t="str">
            <v>905000003</v>
          </cell>
          <cell r="B330" t="str">
            <v>RELLENO POLLO P/CREPA (KILO)</v>
          </cell>
          <cell r="C330" t="str">
            <v>ESP-RE-COCS-059</v>
          </cell>
          <cell r="D330" t="str">
            <v>09</v>
          </cell>
          <cell r="E330" t="str">
            <v>Kilo</v>
          </cell>
          <cell r="F330" t="str">
            <v>Gramo</v>
          </cell>
          <cell r="G330">
            <v>2863.4943250546112</v>
          </cell>
          <cell r="H330">
            <v>2.863494325054611</v>
          </cell>
          <cell r="I330">
            <v>16.15133216217863</v>
          </cell>
          <cell r="J330">
            <v>1.6151332162178629E-2</v>
          </cell>
          <cell r="K330">
            <v>99.698598854590642</v>
          </cell>
          <cell r="L330">
            <v>9.9698598854590648E-2</v>
          </cell>
          <cell r="M330">
            <v>2979.3442560713806</v>
          </cell>
        </row>
        <row r="331">
          <cell r="A331" t="str">
            <v>906000089</v>
          </cell>
          <cell r="B331" t="str">
            <v>PREMEZCLA BATIDO  VAINILLA BUCCA</v>
          </cell>
          <cell r="C331" t="str">
            <v>ESP-RE-PRES-073</v>
          </cell>
          <cell r="D331" t="str">
            <v>13</v>
          </cell>
          <cell r="E331" t="str">
            <v>Kilo</v>
          </cell>
          <cell r="F331" t="str">
            <v>Gramo</v>
          </cell>
          <cell r="G331">
            <v>521.40945060483875</v>
          </cell>
          <cell r="H331">
            <v>0.52140945060483879</v>
          </cell>
          <cell r="I331">
            <v>6.9375</v>
          </cell>
          <cell r="J331">
            <v>6.9375000000000001E-3</v>
          </cell>
          <cell r="K331">
            <v>27.72</v>
          </cell>
          <cell r="L331">
            <v>2.7719999999999998E-2</v>
          </cell>
          <cell r="M331">
            <v>556.06695060483878</v>
          </cell>
        </row>
        <row r="332">
          <cell r="A332" t="str">
            <v>907000114</v>
          </cell>
          <cell r="B332" t="str">
            <v xml:space="preserve">BATIDO VAINILLA PURATOS SACO ROSADO </v>
          </cell>
          <cell r="C332" t="str">
            <v>ESP-RE-BAF-005</v>
          </cell>
          <cell r="D332" t="str">
            <v>05</v>
          </cell>
          <cell r="E332" t="str">
            <v>Kilo</v>
          </cell>
          <cell r="F332" t="str">
            <v>Gramo</v>
          </cell>
          <cell r="G332">
            <v>812.17249677151835</v>
          </cell>
          <cell r="H332">
            <v>0.81217249677151837</v>
          </cell>
          <cell r="I332">
            <v>0.55444108761329303</v>
          </cell>
          <cell r="J332">
            <v>5.5444108761329306E-4</v>
          </cell>
          <cell r="K332">
            <v>13.270366767371602</v>
          </cell>
          <cell r="L332">
            <v>1.3270366767371602E-2</v>
          </cell>
          <cell r="M332">
            <v>825.99730462650325</v>
          </cell>
        </row>
        <row r="333">
          <cell r="A333" t="str">
            <v>903000043</v>
          </cell>
          <cell r="B333" t="str">
            <v>ROSQUETE VAINILLA PURATOS BUCCA 200g</v>
          </cell>
          <cell r="C333" t="str">
            <v>ESP-RE-BAF-007</v>
          </cell>
          <cell r="D333" t="str">
            <v>05</v>
          </cell>
          <cell r="E333" t="str">
            <v>Und</v>
          </cell>
          <cell r="F333" t="str">
            <v>Und</v>
          </cell>
          <cell r="G333">
            <v>168.67758998812451</v>
          </cell>
          <cell r="H333">
            <v>168.67758998812451</v>
          </cell>
          <cell r="I333">
            <v>2.7508871975806453</v>
          </cell>
          <cell r="J333">
            <v>2.7508871975806453</v>
          </cell>
          <cell r="K333">
            <v>7.5047327016129035</v>
          </cell>
          <cell r="L333">
            <v>7.5047327016129035</v>
          </cell>
          <cell r="M333">
            <v>178.93320988731807</v>
          </cell>
        </row>
        <row r="334">
          <cell r="A334" t="str">
            <v>90100143</v>
          </cell>
          <cell r="B334" t="str">
            <v>ROSQUETE VAINILLA PASTELERO REAL 1400g</v>
          </cell>
          <cell r="C334" t="str">
            <v>ESP-RE-BAF-079</v>
          </cell>
          <cell r="D334" t="str">
            <v>01</v>
          </cell>
          <cell r="E334" t="str">
            <v>Und</v>
          </cell>
          <cell r="F334" t="str">
            <v>Und</v>
          </cell>
          <cell r="G334">
            <v>1273.4996380398497</v>
          </cell>
          <cell r="H334">
            <v>1273.4996380398497</v>
          </cell>
          <cell r="I334">
            <v>14.47997551723825</v>
          </cell>
          <cell r="J334">
            <v>14.47997551723825</v>
          </cell>
          <cell r="K334">
            <v>54.44601333333334</v>
          </cell>
          <cell r="L334">
            <v>54.44601333333334</v>
          </cell>
          <cell r="M334">
            <v>1342.4256268904214</v>
          </cell>
        </row>
        <row r="335">
          <cell r="A335" t="str">
            <v>906000023</v>
          </cell>
          <cell r="B335" t="str">
            <v>CORTE GALLETAS MANTEQUILLA (UND)</v>
          </cell>
          <cell r="C335" t="str">
            <v>ESP-RE-PAPS-030</v>
          </cell>
          <cell r="D335" t="str">
            <v>04</v>
          </cell>
          <cell r="E335" t="str">
            <v>Und</v>
          </cell>
          <cell r="F335" t="str">
            <v>Und</v>
          </cell>
          <cell r="G335">
            <v>11.351909760623199</v>
          </cell>
          <cell r="H335">
            <v>11.351909760623199</v>
          </cell>
          <cell r="I335">
            <v>9.8960279805128212E-2</v>
          </cell>
          <cell r="J335">
            <v>9.8960279805128212E-2</v>
          </cell>
          <cell r="K335">
            <v>4.7981784653846162</v>
          </cell>
          <cell r="L335">
            <v>4.7981784653846162</v>
          </cell>
          <cell r="M335">
            <v>16.249048505812944</v>
          </cell>
        </row>
        <row r="336">
          <cell r="A336" t="str">
            <v>901000110</v>
          </cell>
          <cell r="B336" t="str">
            <v>RELLENO DE POLLO Y CEBOLLA KILO STB</v>
          </cell>
          <cell r="C336" t="str">
            <v>ESP-RE-COFF-064</v>
          </cell>
          <cell r="D336" t="str">
            <v>01</v>
          </cell>
          <cell r="E336" t="str">
            <v>Kilo</v>
          </cell>
          <cell r="F336" t="str">
            <v>Gramo</v>
          </cell>
          <cell r="G336">
            <v>3784.8197387800365</v>
          </cell>
          <cell r="H336">
            <v>3.7848197387800364</v>
          </cell>
          <cell r="I336">
            <v>44.257327837869468</v>
          </cell>
          <cell r="J336">
            <v>4.4257327837869467E-2</v>
          </cell>
          <cell r="K336">
            <v>378.66075437002485</v>
          </cell>
          <cell r="L336">
            <v>0.37866075437002483</v>
          </cell>
          <cell r="M336">
            <v>4207.7378209879307</v>
          </cell>
        </row>
        <row r="337">
          <cell r="A337" t="str">
            <v>90100091</v>
          </cell>
          <cell r="B337" t="str">
            <v>CEBOLLA CARAMELIZADA BLANCA KILO</v>
          </cell>
          <cell r="C337" t="str">
            <v xml:space="preserve">ESP-RE-COCS-220 </v>
          </cell>
          <cell r="D337" t="str">
            <v>01</v>
          </cell>
          <cell r="E337" t="str">
            <v>Kilo</v>
          </cell>
          <cell r="F337" t="str">
            <v>Gramo</v>
          </cell>
          <cell r="G337">
            <v>3300.1120235294125</v>
          </cell>
          <cell r="H337">
            <v>3.3001120235294126</v>
          </cell>
          <cell r="I337">
            <v>3.4932213333333335</v>
          </cell>
          <cell r="J337">
            <v>3.4932213333333335E-3</v>
          </cell>
          <cell r="K337">
            <v>416.38299999999998</v>
          </cell>
          <cell r="L337">
            <v>0.416383</v>
          </cell>
          <cell r="M337">
            <v>3719.9882448627454</v>
          </cell>
        </row>
        <row r="338">
          <cell r="A338" t="str">
            <v>903000162</v>
          </cell>
          <cell r="B338" t="str">
            <v xml:space="preserve">RUEDA FROLA EMPANADA POLLO Y CEBOLLA </v>
          </cell>
          <cell r="C338" t="str">
            <v>ESP-RE-PAPS-175</v>
          </cell>
          <cell r="D338" t="str">
            <v>01</v>
          </cell>
          <cell r="E338" t="str">
            <v>Und</v>
          </cell>
          <cell r="F338" t="str">
            <v>Und</v>
          </cell>
          <cell r="G338">
            <v>31.536261902090761</v>
          </cell>
          <cell r="H338">
            <v>31.536261902090761</v>
          </cell>
          <cell r="I338">
            <v>0.15150146759990971</v>
          </cell>
          <cell r="J338">
            <v>0.15150146759990971</v>
          </cell>
          <cell r="K338">
            <v>13.029478268232108</v>
          </cell>
          <cell r="L338">
            <v>13.029478268232108</v>
          </cell>
          <cell r="M338">
            <v>44.717241637922783</v>
          </cell>
        </row>
        <row r="339">
          <cell r="A339" t="str">
            <v>903000100</v>
          </cell>
          <cell r="B339" t="str">
            <v>EMPANADA POLLO Y CEBOLLA (85G)</v>
          </cell>
          <cell r="C339" t="str">
            <v>ESP-RE-PAPS-161</v>
          </cell>
          <cell r="D339" t="str">
            <v>03</v>
          </cell>
          <cell r="E339" t="str">
            <v>Und</v>
          </cell>
          <cell r="F339" t="str">
            <v>Und</v>
          </cell>
          <cell r="G339">
            <v>184.90101127432129</v>
          </cell>
          <cell r="H339">
            <v>184.90101127432129</v>
          </cell>
          <cell r="I339">
            <v>2.4620857609757993</v>
          </cell>
          <cell r="J339">
            <v>2.4620857609757993</v>
          </cell>
          <cell r="K339">
            <v>37.355500109699761</v>
          </cell>
          <cell r="L339">
            <v>37.355500109699761</v>
          </cell>
          <cell r="M339">
            <v>224.71859714499686</v>
          </cell>
        </row>
        <row r="340">
          <cell r="A340" t="str">
            <v>905000004</v>
          </cell>
          <cell r="B340" t="str">
            <v>RELLENO FRIO CARNE PERUANO (KILO)</v>
          </cell>
          <cell r="C340" t="str">
            <v xml:space="preserve">ESP-RE-COFS-045 </v>
          </cell>
          <cell r="D340" t="str">
            <v>01</v>
          </cell>
          <cell r="E340" t="str">
            <v>Kilo</v>
          </cell>
          <cell r="F340" t="str">
            <v>Gramo</v>
          </cell>
          <cell r="G340">
            <v>2517.0096957742462</v>
          </cell>
          <cell r="H340">
            <v>2.517009695774246</v>
          </cell>
          <cell r="I340">
            <v>12.018008459770115</v>
          </cell>
          <cell r="J340">
            <v>1.2018008459770115E-2</v>
          </cell>
          <cell r="K340">
            <v>286.54924137931033</v>
          </cell>
          <cell r="L340">
            <v>0.28654924137931032</v>
          </cell>
          <cell r="M340">
            <v>2815.5769456133266</v>
          </cell>
        </row>
        <row r="341">
          <cell r="A341" t="str">
            <v>906000011</v>
          </cell>
          <cell r="B341" t="str">
            <v>CORTE OREJITAS DULCES (KILO)</v>
          </cell>
          <cell r="C341" t="str">
            <v>ESP-RE-PAPS-015</v>
          </cell>
          <cell r="D341" t="str">
            <v>07</v>
          </cell>
          <cell r="E341" t="str">
            <v>Kilo</v>
          </cell>
          <cell r="F341" t="str">
            <v>Gramo</v>
          </cell>
          <cell r="G341">
            <v>558.01876342296919</v>
          </cell>
          <cell r="H341">
            <v>0.55801876342296919</v>
          </cell>
          <cell r="I341">
            <v>11.793556671521943</v>
          </cell>
          <cell r="J341">
            <v>1.1793556671521942E-2</v>
          </cell>
          <cell r="K341">
            <v>1090.6028528753502</v>
          </cell>
          <cell r="L341">
            <v>1.0906028528753502</v>
          </cell>
          <cell r="M341">
            <v>1660.4151729698415</v>
          </cell>
        </row>
        <row r="342">
          <cell r="A342" t="str">
            <v>906000041</v>
          </cell>
          <cell r="B342" t="str">
            <v>CORTE GALLETA MEDIA LUNA (UND)</v>
          </cell>
          <cell r="C342" t="str">
            <v>ESP-RE-PAPS-042</v>
          </cell>
          <cell r="D342">
            <v>0</v>
          </cell>
          <cell r="E342" t="str">
            <v>Und</v>
          </cell>
          <cell r="F342" t="str">
            <v>Und</v>
          </cell>
          <cell r="G342">
            <v>6.2778018071194559</v>
          </cell>
          <cell r="H342">
            <v>6.2778018071194559</v>
          </cell>
          <cell r="I342">
            <v>0.12155990844297025</v>
          </cell>
          <cell r="J342">
            <v>0.12155990844297025</v>
          </cell>
          <cell r="K342">
            <v>4.1657132385000004</v>
          </cell>
          <cell r="L342">
            <v>4.1657132385000004</v>
          </cell>
          <cell r="M342">
            <v>10.565074954062426</v>
          </cell>
        </row>
        <row r="343">
          <cell r="A343" t="str">
            <v>904000030</v>
          </cell>
          <cell r="B343" t="str">
            <v>GALLETA 1/2 LUNA BAÑADO CHOCO LECHE UND</v>
          </cell>
          <cell r="C343" t="str">
            <v xml:space="preserve">ESP-RE-FIS-007 </v>
          </cell>
          <cell r="D343" t="str">
            <v>04</v>
          </cell>
          <cell r="E343" t="str">
            <v>Und</v>
          </cell>
          <cell r="F343" t="str">
            <v>Und</v>
          </cell>
          <cell r="G343">
            <v>20.509340268657919</v>
          </cell>
          <cell r="H343">
            <v>20.509340268657919</v>
          </cell>
          <cell r="I343">
            <v>0.30202144690450872</v>
          </cell>
          <cell r="J343">
            <v>0.30202144690450872</v>
          </cell>
          <cell r="K343">
            <v>6.805713238500001</v>
          </cell>
          <cell r="L343">
            <v>6.805713238500001</v>
          </cell>
          <cell r="M343">
            <v>27.617074954062428</v>
          </cell>
        </row>
        <row r="344">
          <cell r="A344" t="str">
            <v>901000021</v>
          </cell>
          <cell r="B344" t="str">
            <v>PREMEZCLA P/GALLETAS MEDIA LUNA KILO</v>
          </cell>
          <cell r="C344" t="str">
            <v xml:space="preserve">ESP-RE-PRES-021 </v>
          </cell>
          <cell r="D344" t="str">
            <v>06</v>
          </cell>
          <cell r="E344" t="str">
            <v>Kilo</v>
          </cell>
          <cell r="F344" t="str">
            <v>Gramo</v>
          </cell>
          <cell r="G344">
            <v>933.82975356800398</v>
          </cell>
          <cell r="H344">
            <v>0.93382975356800402</v>
          </cell>
          <cell r="I344">
            <v>9.9434189123726338</v>
          </cell>
          <cell r="J344">
            <v>9.943418912372633E-3</v>
          </cell>
          <cell r="K344">
            <v>10.505000000000001</v>
          </cell>
          <cell r="L344">
            <v>1.0505E-2</v>
          </cell>
          <cell r="M344">
            <v>954.27817248037661</v>
          </cell>
        </row>
        <row r="345">
          <cell r="A345" t="str">
            <v>906000031</v>
          </cell>
          <cell r="B345" t="str">
            <v>PASTA P/GALLETAS MEDIA LUNA (KILO)</v>
          </cell>
          <cell r="C345" t="str">
            <v>ESP-RE-PAPS-002</v>
          </cell>
          <cell r="D345" t="str">
            <v>03</v>
          </cell>
          <cell r="E345" t="str">
            <v>Kilo</v>
          </cell>
          <cell r="F345" t="str">
            <v>Gramo</v>
          </cell>
          <cell r="G345">
            <v>1033.7808345199094</v>
          </cell>
          <cell r="H345">
            <v>1.0337808345199093</v>
          </cell>
          <cell r="I345">
            <v>20.07085762938393</v>
          </cell>
          <cell r="J345">
            <v>2.0070857629383931E-2</v>
          </cell>
          <cell r="K345">
            <v>52.325539750000004</v>
          </cell>
          <cell r="L345">
            <v>5.2325539750000004E-2</v>
          </cell>
          <cell r="M345">
            <v>1106.1772318992932</v>
          </cell>
        </row>
        <row r="346">
          <cell r="A346" t="str">
            <v>901000145</v>
          </cell>
          <cell r="B346" t="str">
            <v>POLLO MECHADO FAS (KILO)</v>
          </cell>
          <cell r="C346" t="str">
            <v>ESP-RE-COCS-171</v>
          </cell>
          <cell r="D346" t="str">
            <v>01</v>
          </cell>
          <cell r="E346" t="str">
            <v>Kilo</v>
          </cell>
          <cell r="F346" t="str">
            <v>Gramo</v>
          </cell>
          <cell r="G346">
            <v>1890.6416335679614</v>
          </cell>
          <cell r="H346">
            <v>1.8906416335679614</v>
          </cell>
          <cell r="I346">
            <v>2.6043824938396627</v>
          </cell>
          <cell r="J346">
            <v>2.6043824938396629E-3</v>
          </cell>
          <cell r="K346">
            <v>176.35299000000001</v>
          </cell>
          <cell r="L346">
            <v>0.17635299000000002</v>
          </cell>
          <cell r="M346">
            <v>2069.599006061801</v>
          </cell>
        </row>
        <row r="347">
          <cell r="A347" t="str">
            <v>90100034</v>
          </cell>
          <cell r="B347" t="str">
            <v>SALSA PARA COSTILLA KILO</v>
          </cell>
          <cell r="C347" t="str">
            <v xml:space="preserve">ESP-RE-COCS-166 </v>
          </cell>
          <cell r="D347" t="str">
            <v>01</v>
          </cell>
          <cell r="E347" t="str">
            <v>Kilo</v>
          </cell>
          <cell r="F347" t="str">
            <v>Gramo</v>
          </cell>
          <cell r="G347">
            <v>466.86294375000006</v>
          </cell>
          <cell r="H347">
            <v>0.46686294375000004</v>
          </cell>
          <cell r="I347">
            <v>0.15870746666666669</v>
          </cell>
          <cell r="J347">
            <v>1.5870746666666669E-4</v>
          </cell>
          <cell r="K347">
            <v>69.016750000000002</v>
          </cell>
          <cell r="L347">
            <v>6.9016750000000002E-2</v>
          </cell>
          <cell r="M347">
            <v>536.03840121666667</v>
          </cell>
        </row>
        <row r="348">
          <cell r="A348" t="str">
            <v>904000048</v>
          </cell>
          <cell r="B348" t="str">
            <v>SALSA PARA POLLO CON PAPAS FAS</v>
          </cell>
          <cell r="C348" t="str">
            <v>ESP-RE-COCS-060</v>
          </cell>
          <cell r="D348" t="str">
            <v>02</v>
          </cell>
          <cell r="E348" t="str">
            <v>Kilo</v>
          </cell>
          <cell r="F348" t="str">
            <v>Gramo</v>
          </cell>
          <cell r="G348">
            <v>632.96900976562506</v>
          </cell>
          <cell r="H348">
            <v>0.63296900976562509</v>
          </cell>
          <cell r="I348">
            <v>0.68078824999999998</v>
          </cell>
          <cell r="J348">
            <v>6.8078824999999996E-4</v>
          </cell>
          <cell r="K348">
            <v>92.203203125000002</v>
          </cell>
          <cell r="L348">
            <v>9.2203203125000008E-2</v>
          </cell>
          <cell r="M348">
            <v>725.853001140625</v>
          </cell>
        </row>
        <row r="349">
          <cell r="A349" t="str">
            <v>906000086</v>
          </cell>
          <cell r="B349" t="str">
            <v>EMPANADA COCO Y PIÑA UND</v>
          </cell>
          <cell r="C349" t="str">
            <v>ESP-RE-PAPS-107</v>
          </cell>
          <cell r="D349">
            <v>0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906000078</v>
          </cell>
          <cell r="B350" t="str">
            <v>CORTE GALLETA ALFAJOR GDE 25G UND</v>
          </cell>
          <cell r="C350" t="str">
            <v>ESP-RE-PAPS-073</v>
          </cell>
          <cell r="D350">
            <v>0</v>
          </cell>
          <cell r="E350" t="str">
            <v>Und</v>
          </cell>
          <cell r="F350" t="str">
            <v>Und</v>
          </cell>
          <cell r="G350">
            <v>22.134689178805864</v>
          </cell>
          <cell r="H350">
            <v>22.134689178805864</v>
          </cell>
          <cell r="I350">
            <v>9.4790278884965898E-2</v>
          </cell>
          <cell r="J350">
            <v>9.4790278884965898E-2</v>
          </cell>
          <cell r="K350">
            <v>9.6907329582904467</v>
          </cell>
          <cell r="L350">
            <v>9.6907329582904467</v>
          </cell>
          <cell r="M350">
            <v>31.920212415981275</v>
          </cell>
        </row>
        <row r="351">
          <cell r="A351" t="str">
            <v>904000049</v>
          </cell>
          <cell r="B351" t="str">
            <v>PROCESADO CHOCOLATE LECHE (KILO)</v>
          </cell>
          <cell r="C351" t="str">
            <v>ESP-RE-POS-209</v>
          </cell>
          <cell r="D351" t="str">
            <v>01</v>
          </cell>
          <cell r="E351" t="str">
            <v>Kilo</v>
          </cell>
          <cell r="F351" t="str">
            <v>Gramo</v>
          </cell>
          <cell r="G351">
            <v>4753.1924399999998</v>
          </cell>
          <cell r="H351">
            <v>4.7531924399999994</v>
          </cell>
          <cell r="I351">
            <v>0.45113600000000004</v>
          </cell>
          <cell r="J351">
            <v>4.5113600000000004E-4</v>
          </cell>
          <cell r="K351">
            <v>116.98499999999999</v>
          </cell>
          <cell r="L351">
            <v>0.11698499999999999</v>
          </cell>
          <cell r="M351">
            <v>4870.6285759999992</v>
          </cell>
        </row>
        <row r="352">
          <cell r="A352" t="str">
            <v>96270</v>
          </cell>
          <cell r="B352" t="str">
            <v/>
          </cell>
          <cell r="C352" t="str">
            <v/>
          </cell>
          <cell r="D352" t="str">
            <v/>
          </cell>
          <cell r="E352" t="str">
            <v>Und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</row>
        <row r="353">
          <cell r="A353" t="str">
            <v>908000051</v>
          </cell>
          <cell r="B353" t="str">
            <v/>
          </cell>
          <cell r="C353" t="str">
            <v/>
          </cell>
          <cell r="D353" t="str">
            <v/>
          </cell>
          <cell r="E353" t="str">
            <v>Kilo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</row>
        <row r="354">
          <cell r="A354" t="str">
            <v>901000142</v>
          </cell>
          <cell r="B354" t="str">
            <v/>
          </cell>
          <cell r="C354" t="str">
            <v/>
          </cell>
          <cell r="D354" t="str">
            <v/>
          </cell>
          <cell r="E354" t="str">
            <v>Kilo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</row>
        <row r="355">
          <cell r="A355" t="str">
            <v>901000147</v>
          </cell>
          <cell r="B355" t="str">
            <v/>
          </cell>
          <cell r="C355" t="str">
            <v/>
          </cell>
          <cell r="D355" t="str">
            <v/>
          </cell>
          <cell r="E355" t="str">
            <v>Kilo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</row>
        <row r="356">
          <cell r="A356" t="str">
            <v>20400102</v>
          </cell>
          <cell r="B356" t="str">
            <v/>
          </cell>
          <cell r="C356" t="str">
            <v/>
          </cell>
          <cell r="D356" t="str">
            <v/>
          </cell>
          <cell r="E356" t="str">
            <v>Kilo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</row>
        <row r="357">
          <cell r="A357" t="str">
            <v>90100304</v>
          </cell>
          <cell r="B357" t="str">
            <v/>
          </cell>
          <cell r="C357" t="str">
            <v/>
          </cell>
          <cell r="D357" t="str">
            <v/>
          </cell>
          <cell r="E357" t="str">
            <v>Kilo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</row>
        <row r="358">
          <cell r="A358" t="str">
            <v>906000124</v>
          </cell>
          <cell r="B358" t="str">
            <v/>
          </cell>
          <cell r="C358" t="str">
            <v/>
          </cell>
          <cell r="D358" t="str">
            <v/>
          </cell>
          <cell r="E358" t="str">
            <v>Kilo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</row>
        <row r="359">
          <cell r="A359" t="str">
            <v>907000202</v>
          </cell>
          <cell r="B359" t="str">
            <v/>
          </cell>
          <cell r="C359" t="str">
            <v/>
          </cell>
          <cell r="D359" t="str">
            <v/>
          </cell>
          <cell r="E359" t="str">
            <v>Kilo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</row>
        <row r="360">
          <cell r="A360" t="str">
            <v>906000050</v>
          </cell>
          <cell r="B360" t="str">
            <v/>
          </cell>
          <cell r="C360" t="str">
            <v/>
          </cell>
          <cell r="D360" t="str">
            <v/>
          </cell>
          <cell r="E360" t="str">
            <v>Und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</row>
        <row r="361">
          <cell r="A361" t="str">
            <v>910000008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904000018</v>
          </cell>
          <cell r="B362" t="str">
            <v/>
          </cell>
          <cell r="C362" t="str">
            <v/>
          </cell>
          <cell r="D362" t="str">
            <v/>
          </cell>
          <cell r="E362" t="str">
            <v>Und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</row>
        <row r="363">
          <cell r="A363" t="str">
            <v>907000255</v>
          </cell>
          <cell r="B363" t="str">
            <v/>
          </cell>
          <cell r="C363" t="str">
            <v/>
          </cell>
          <cell r="D363" t="str">
            <v/>
          </cell>
          <cell r="E363" t="str">
            <v>Und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 t="str">
            <v>907000255</v>
          </cell>
          <cell r="B364" t="str">
            <v/>
          </cell>
          <cell r="C364" t="str">
            <v/>
          </cell>
          <cell r="D364" t="str">
            <v/>
          </cell>
          <cell r="E364" t="str">
            <v>Und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 t="str">
            <v/>
          </cell>
          <cell r="C373" t="str">
            <v/>
          </cell>
          <cell r="D373" t="str">
            <v/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</row>
        <row r="374">
          <cell r="B374" t="str">
            <v/>
          </cell>
          <cell r="C374" t="str">
            <v/>
          </cell>
          <cell r="D374" t="str">
            <v/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</row>
        <row r="375">
          <cell r="B375" t="str">
            <v/>
          </cell>
          <cell r="C375" t="str">
            <v/>
          </cell>
          <cell r="D375" t="str">
            <v/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</row>
        <row r="382">
          <cell r="G382" t="str">
            <v xml:space="preserve"> </v>
          </cell>
        </row>
        <row r="383">
          <cell r="G383" t="str">
            <v xml:space="preserve"> </v>
          </cell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>
        <row r="2">
          <cell r="A2" t="str">
            <v>42</v>
          </cell>
          <cell r="B2" t="str">
            <v>CAFÉ EXPRESSO  GRANO (KILO)</v>
          </cell>
          <cell r="C2">
            <v>6700</v>
          </cell>
          <cell r="D2" t="str">
            <v>1000 GRAMO</v>
          </cell>
          <cell r="E2" t="str">
            <v>Gramo</v>
          </cell>
          <cell r="F2">
            <v>6.7</v>
          </cell>
        </row>
        <row r="3">
          <cell r="A3" t="str">
            <v>47</v>
          </cell>
          <cell r="B3" t="str">
            <v>CAFÉ TUESTE OSC MOLIDO ( KILO)</v>
          </cell>
          <cell r="C3">
            <v>6700</v>
          </cell>
          <cell r="D3" t="str">
            <v>1000 GRAMO</v>
          </cell>
          <cell r="E3" t="str">
            <v>Gramo</v>
          </cell>
          <cell r="F3">
            <v>6.7</v>
          </cell>
        </row>
        <row r="4">
          <cell r="A4" t="str">
            <v>53</v>
          </cell>
          <cell r="B4" t="str">
            <v>CAFE  DESCAFEINADO (KILO)</v>
          </cell>
          <cell r="C4">
            <v>16638</v>
          </cell>
          <cell r="D4" t="str">
            <v>1000 GRAMO</v>
          </cell>
          <cell r="E4" t="str">
            <v>Gramo</v>
          </cell>
          <cell r="F4">
            <v>16.638000000000002</v>
          </cell>
        </row>
        <row r="5">
          <cell r="A5" t="str">
            <v>54</v>
          </cell>
          <cell r="B5" t="str">
            <v>DETERGENTE LIQUIDO (1 L)</v>
          </cell>
          <cell r="C5">
            <v>9986.67</v>
          </cell>
          <cell r="D5" t="str">
            <v>1000 mililitros</v>
          </cell>
        </row>
        <row r="6">
          <cell r="A6" t="str">
            <v>76</v>
          </cell>
          <cell r="B6" t="str">
            <v>CAFE SPOON SUMAVA 250 GRM</v>
          </cell>
          <cell r="C6">
            <v>2500</v>
          </cell>
          <cell r="D6" t="str">
            <v>1 UND</v>
          </cell>
        </row>
        <row r="7">
          <cell r="A7" t="str">
            <v>77</v>
          </cell>
          <cell r="B7" t="str">
            <v>CAFE SPOON LOS CRESTONES 250 GRM</v>
          </cell>
          <cell r="C7">
            <v>2500</v>
          </cell>
          <cell r="D7" t="str">
            <v>1 UND</v>
          </cell>
        </row>
        <row r="8">
          <cell r="A8" t="str">
            <v>91</v>
          </cell>
          <cell r="B8" t="str">
            <v>CAFE MOLIDO ANGELES DE DOTA KILO</v>
          </cell>
          <cell r="C8">
            <v>6700</v>
          </cell>
          <cell r="D8" t="str">
            <v>1000 gramos</v>
          </cell>
        </row>
        <row r="9">
          <cell r="A9" t="str">
            <v>4207</v>
          </cell>
          <cell r="B9" t="str">
            <v>BURBUJA PLAST DOBLE CIERRE PACTIV 6" 4/1</v>
          </cell>
          <cell r="C9">
            <v>58.462000000000003</v>
          </cell>
          <cell r="D9" t="str">
            <v>1 Uds.</v>
          </cell>
        </row>
        <row r="10">
          <cell r="A10" t="str">
            <v>4940</v>
          </cell>
          <cell r="B10" t="str">
            <v>GIN 600ML (PAQ = 12 UND)</v>
          </cell>
          <cell r="C10">
            <v>699.69833333333304</v>
          </cell>
          <cell r="D10" t="str">
            <v>1 UND</v>
          </cell>
        </row>
        <row r="11">
          <cell r="A11" t="str">
            <v>10010</v>
          </cell>
          <cell r="B11" t="str">
            <v>GALLO PINTO (KILO)</v>
          </cell>
          <cell r="C11">
            <v>2251.5</v>
          </cell>
          <cell r="D11" t="str">
            <v>1000 GRAMOS</v>
          </cell>
          <cell r="E11" t="str">
            <v>Gramo</v>
          </cell>
          <cell r="F11">
            <v>2.2515000000000001</v>
          </cell>
        </row>
        <row r="12">
          <cell r="A12" t="str">
            <v>10753</v>
          </cell>
          <cell r="B12" t="str">
            <v>GRASA SPRAY ANTIADHERENTE 14 ONZ</v>
          </cell>
          <cell r="C12">
            <v>2132</v>
          </cell>
          <cell r="D12" t="str">
            <v>1 LATA</v>
          </cell>
          <cell r="E12" t="str">
            <v>Gramo</v>
          </cell>
          <cell r="F12">
            <v>5.3735255570117957</v>
          </cell>
        </row>
        <row r="13">
          <cell r="A13" t="str">
            <v>14049</v>
          </cell>
          <cell r="B13" t="str">
            <v>ARROZ BLANCO CASADITO (KILO)</v>
          </cell>
          <cell r="C13">
            <v>991.66666666666697</v>
          </cell>
          <cell r="D13" t="str">
            <v>1000 GRAMOS</v>
          </cell>
          <cell r="E13" t="str">
            <v>Gramo</v>
          </cell>
          <cell r="F13">
            <v>0.99166666666666692</v>
          </cell>
        </row>
        <row r="14">
          <cell r="A14" t="str">
            <v>16089</v>
          </cell>
          <cell r="B14" t="str">
            <v>LASAGÑA CARNE REINGENIERIA (PIREX=6 PORC</v>
          </cell>
          <cell r="C14">
            <v>1422.5</v>
          </cell>
          <cell r="D14" t="str">
            <v>1 UND</v>
          </cell>
        </row>
        <row r="15">
          <cell r="A15" t="str">
            <v>20034</v>
          </cell>
          <cell r="B15" t="str">
            <v>PASTEL PALMITO PERSONAL (UND)</v>
          </cell>
          <cell r="C15">
            <v>535</v>
          </cell>
          <cell r="D15" t="str">
            <v>1 UND</v>
          </cell>
        </row>
        <row r="16">
          <cell r="A16" t="str">
            <v>20044</v>
          </cell>
          <cell r="B16" t="str">
            <v>PASTEL POLLO (PIREX=4 PORC)</v>
          </cell>
          <cell r="C16">
            <v>896.25</v>
          </cell>
          <cell r="D16" t="str">
            <v>1 UND</v>
          </cell>
        </row>
        <row r="17">
          <cell r="A17" t="str">
            <v>20050</v>
          </cell>
          <cell r="B17" t="str">
            <v>PASTEL PALMITO (PIREX=4 PORC)</v>
          </cell>
          <cell r="C17">
            <v>847.5</v>
          </cell>
          <cell r="D17" t="str">
            <v>1 UND</v>
          </cell>
        </row>
        <row r="18">
          <cell r="A18" t="str">
            <v>20092</v>
          </cell>
          <cell r="B18" t="str">
            <v>SIROPE VAINILLA ( BOT 750ML )</v>
          </cell>
          <cell r="C18">
            <v>5964</v>
          </cell>
          <cell r="D18" t="str">
            <v>1000 gramos</v>
          </cell>
        </row>
        <row r="19">
          <cell r="A19" t="str">
            <v>20408</v>
          </cell>
          <cell r="B19" t="str">
            <v>ENVOLTURA PAPEL NORPAK 12X10</v>
          </cell>
          <cell r="C19">
            <v>3643</v>
          </cell>
          <cell r="D19" t="str">
            <v>1 Uds.</v>
          </cell>
        </row>
        <row r="20">
          <cell r="A20" t="str">
            <v>28002</v>
          </cell>
          <cell r="B20" t="str">
            <v>SOPA AZTECA TOPPER (UND)</v>
          </cell>
          <cell r="C20">
            <v>745</v>
          </cell>
          <cell r="D20" t="str">
            <v>1 UND</v>
          </cell>
        </row>
        <row r="21">
          <cell r="A21" t="str">
            <v>28517</v>
          </cell>
          <cell r="B21" t="str">
            <v xml:space="preserve">PAPEL ALUMINIO 14,5 MICRAS </v>
          </cell>
          <cell r="C21">
            <v>15268</v>
          </cell>
          <cell r="D21" t="str">
            <v>1 UND</v>
          </cell>
        </row>
        <row r="22">
          <cell r="A22" t="str">
            <v>32040</v>
          </cell>
          <cell r="B22" t="str">
            <v>PIE DE LIMON (UND=6 PORC)</v>
          </cell>
          <cell r="C22">
            <v>4545</v>
          </cell>
          <cell r="D22" t="str">
            <v>1 UND</v>
          </cell>
        </row>
        <row r="23">
          <cell r="A23" t="str">
            <v>32096</v>
          </cell>
          <cell r="B23" t="str">
            <v>FLAN TRES LECHES MINI (UND=5 PORC)</v>
          </cell>
          <cell r="C23">
            <v>3255</v>
          </cell>
          <cell r="D23" t="str">
            <v>1 UND</v>
          </cell>
        </row>
        <row r="24">
          <cell r="A24" t="str">
            <v>32101</v>
          </cell>
          <cell r="B24" t="str">
            <v>CHESSE CAKE MARACUYA LIGHT RED (6 PORC)</v>
          </cell>
          <cell r="C24">
            <v>6331.39</v>
          </cell>
          <cell r="D24" t="str">
            <v>1 UND</v>
          </cell>
        </row>
        <row r="25">
          <cell r="A25" t="str">
            <v>34010</v>
          </cell>
          <cell r="B25" t="str">
            <v>TORTA CHOCOLATE RED. (UND=8 PORC)</v>
          </cell>
          <cell r="C25">
            <v>7395</v>
          </cell>
          <cell r="D25" t="str">
            <v>1 UND</v>
          </cell>
          <cell r="E25" t="str">
            <v>UND</v>
          </cell>
          <cell r="F25">
            <v>7395</v>
          </cell>
        </row>
        <row r="26">
          <cell r="A26" t="str">
            <v>34021</v>
          </cell>
          <cell r="B26" t="str">
            <v>PORCION QQ SECO C/PASAS</v>
          </cell>
          <cell r="C26">
            <v>743.25</v>
          </cell>
          <cell r="D26" t="str">
            <v>1 UND</v>
          </cell>
        </row>
        <row r="27">
          <cell r="A27" t="str">
            <v>34064</v>
          </cell>
          <cell r="B27" t="str">
            <v>GALLETAS P/TORTA CHILENA GDE (7 GALLETAS</v>
          </cell>
          <cell r="C27">
            <v>2410</v>
          </cell>
          <cell r="D27" t="str">
            <v>1 UND</v>
          </cell>
        </row>
        <row r="28">
          <cell r="A28" t="str">
            <v>36013</v>
          </cell>
          <cell r="B28" t="str">
            <v>TORTA CARAMELO PERSONAL</v>
          </cell>
          <cell r="C28">
            <v>3240</v>
          </cell>
          <cell r="D28" t="str">
            <v>1 UND</v>
          </cell>
          <cell r="E28" t="str">
            <v>UND</v>
          </cell>
        </row>
        <row r="29">
          <cell r="A29" t="str">
            <v>36026</v>
          </cell>
          <cell r="B29" t="str">
            <v>TORTA CARAMELO MEDIANA</v>
          </cell>
          <cell r="C29">
            <v>5311</v>
          </cell>
          <cell r="D29" t="str">
            <v>1 UND</v>
          </cell>
        </row>
        <row r="30">
          <cell r="A30" t="str">
            <v>36043</v>
          </cell>
          <cell r="B30" t="str">
            <v>TORTA CHOCOFRESA RED. (UND=8 PORC)</v>
          </cell>
          <cell r="C30">
            <v>6845</v>
          </cell>
          <cell r="D30" t="str">
            <v>1 UND</v>
          </cell>
        </row>
        <row r="31">
          <cell r="A31" t="str">
            <v>36085</v>
          </cell>
          <cell r="B31" t="str">
            <v>TORTA MELOCOTON RED (UND=8 PORC)</v>
          </cell>
          <cell r="C31">
            <v>6995</v>
          </cell>
          <cell r="D31" t="str">
            <v>1 UND</v>
          </cell>
        </row>
        <row r="32">
          <cell r="A32" t="str">
            <v>36169</v>
          </cell>
          <cell r="B32" t="str">
            <v>TORTA CHOCOFRESA PERSONAL</v>
          </cell>
          <cell r="C32">
            <v>2620</v>
          </cell>
          <cell r="D32" t="str">
            <v>1 UND</v>
          </cell>
        </row>
        <row r="33">
          <cell r="A33" t="str">
            <v>36180</v>
          </cell>
          <cell r="B33" t="str">
            <v>TORTA CHOCOLATE PEQUEÑA</v>
          </cell>
          <cell r="C33">
            <v>3575</v>
          </cell>
          <cell r="D33" t="str">
            <v>1 UND</v>
          </cell>
        </row>
        <row r="34">
          <cell r="A34" t="str">
            <v>36181</v>
          </cell>
          <cell r="B34" t="str">
            <v>MINI TORTA MELOCOTON REDONDA</v>
          </cell>
          <cell r="C34">
            <v>3290</v>
          </cell>
          <cell r="D34" t="str">
            <v>1 UND</v>
          </cell>
        </row>
        <row r="35">
          <cell r="A35" t="str">
            <v>36183</v>
          </cell>
          <cell r="B35" t="str">
            <v>TORTA ZANAHORIA GDE</v>
          </cell>
          <cell r="C35">
            <v>8410</v>
          </cell>
          <cell r="D35" t="str">
            <v>1 UND</v>
          </cell>
        </row>
        <row r="36">
          <cell r="A36" t="str">
            <v>40049</v>
          </cell>
          <cell r="B36" t="str">
            <v>COCADITAS (UND)</v>
          </cell>
          <cell r="C36">
            <v>260</v>
          </cell>
          <cell r="D36" t="str">
            <v>1 UND</v>
          </cell>
          <cell r="E36" t="str">
            <v>UND</v>
          </cell>
          <cell r="F36">
            <v>260</v>
          </cell>
        </row>
        <row r="37">
          <cell r="A37" t="str">
            <v>40054</v>
          </cell>
          <cell r="B37" t="str">
            <v>COSTILLAS SIN RELLENO (UND)</v>
          </cell>
          <cell r="C37">
            <v>80</v>
          </cell>
          <cell r="D37" t="str">
            <v>1 UND</v>
          </cell>
        </row>
        <row r="38">
          <cell r="A38" t="str">
            <v>42014</v>
          </cell>
          <cell r="B38" t="str">
            <v>LAMINAS DE HOJALDRE MIL HOJAS</v>
          </cell>
          <cell r="C38">
            <v>755</v>
          </cell>
          <cell r="D38" t="str">
            <v>1 Uds.</v>
          </cell>
        </row>
        <row r="39">
          <cell r="A39" t="str">
            <v>42016</v>
          </cell>
          <cell r="B39" t="str">
            <v>ARREGLADO (UND)</v>
          </cell>
          <cell r="C39">
            <v>255</v>
          </cell>
          <cell r="D39" t="str">
            <v>1 UND</v>
          </cell>
        </row>
        <row r="40">
          <cell r="A40" t="str">
            <v>42025</v>
          </cell>
          <cell r="B40" t="str">
            <v>EMPANADA POLLO PEQUEÑA (UND)</v>
          </cell>
          <cell r="C40">
            <v>125</v>
          </cell>
          <cell r="D40" t="str">
            <v>1 UND</v>
          </cell>
        </row>
        <row r="41">
          <cell r="A41" t="str">
            <v>42028</v>
          </cell>
          <cell r="B41" t="str">
            <v>EMPANADA POLLO GRANDE (UND)</v>
          </cell>
          <cell r="C41">
            <v>330</v>
          </cell>
          <cell r="D41" t="str">
            <v>1 UND</v>
          </cell>
        </row>
        <row r="42">
          <cell r="A42" t="str">
            <v>42086</v>
          </cell>
          <cell r="B42" t="str">
            <v>CANASTITA S/ RELLENO</v>
          </cell>
          <cell r="C42">
            <v>113</v>
          </cell>
          <cell r="D42" t="str">
            <v>1 UND</v>
          </cell>
        </row>
        <row r="43">
          <cell r="A43" t="str">
            <v>42092</v>
          </cell>
          <cell r="B43" t="str">
            <v>GALLETA P/CAFE (CONT=40 UND)</v>
          </cell>
          <cell r="C43">
            <v>54</v>
          </cell>
          <cell r="D43" t="str">
            <v>1 UND</v>
          </cell>
          <cell r="E43" t="str">
            <v>UND</v>
          </cell>
          <cell r="F43">
            <v>54</v>
          </cell>
        </row>
        <row r="44">
          <cell r="A44" t="str">
            <v>42128</v>
          </cell>
          <cell r="B44" t="str">
            <v>EMPANADITA TRES QUESOS (UND)</v>
          </cell>
          <cell r="C44">
            <v>194.166666666667</v>
          </cell>
          <cell r="D44" t="str">
            <v>1 UND</v>
          </cell>
        </row>
        <row r="45">
          <cell r="A45" t="str">
            <v>56009</v>
          </cell>
          <cell r="B45" t="str">
            <v>CANDELA MAGICA</v>
          </cell>
          <cell r="C45">
            <v>470.25</v>
          </cell>
          <cell r="D45" t="str">
            <v>1 UND</v>
          </cell>
        </row>
        <row r="46">
          <cell r="A46" t="str">
            <v>78002</v>
          </cell>
          <cell r="B46" t="str">
            <v>LASAGNA DE POLLO (PORCION)</v>
          </cell>
          <cell r="C46">
            <v>1144.1666666666699</v>
          </cell>
          <cell r="D46" t="str">
            <v>1 UND</v>
          </cell>
        </row>
        <row r="47">
          <cell r="A47" t="str">
            <v>95607</v>
          </cell>
          <cell r="B47" t="str">
            <v>ALMENDRAS TAJADAS (KILO)</v>
          </cell>
          <cell r="C47">
            <v>9654</v>
          </cell>
          <cell r="D47" t="str">
            <v>1000 GRAMOS</v>
          </cell>
          <cell r="E47" t="str">
            <v>Gramo</v>
          </cell>
          <cell r="F47">
            <v>9.6539999999999999</v>
          </cell>
        </row>
        <row r="48">
          <cell r="A48" t="str">
            <v>96000</v>
          </cell>
          <cell r="B48" t="str">
            <v>BRILLO MIRROIR(KILO)</v>
          </cell>
          <cell r="C48">
            <v>3650</v>
          </cell>
          <cell r="D48" t="str">
            <v>1000 GRAMOS</v>
          </cell>
        </row>
        <row r="49">
          <cell r="A49" t="str">
            <v>101040</v>
          </cell>
          <cell r="B49" t="str">
            <v>CEBOLLA EN TRENZA (KILO)</v>
          </cell>
          <cell r="C49">
            <v>1359.1</v>
          </cell>
          <cell r="D49" t="str">
            <v>1000 GRAMO</v>
          </cell>
          <cell r="E49" t="str">
            <v>Gramo</v>
          </cell>
          <cell r="F49">
            <v>1.3591</v>
          </cell>
        </row>
        <row r="50">
          <cell r="A50" t="str">
            <v>0101055</v>
          </cell>
          <cell r="B50" t="str">
            <v>CHILE DULCE (PESO)</v>
          </cell>
          <cell r="C50">
            <v>1204.5</v>
          </cell>
          <cell r="D50" t="str">
            <v>1000 GRAMO</v>
          </cell>
          <cell r="E50" t="str">
            <v>Gramo</v>
          </cell>
          <cell r="F50">
            <v>1.2044999999999999</v>
          </cell>
        </row>
        <row r="51">
          <cell r="A51" t="str">
            <v>101072</v>
          </cell>
          <cell r="B51" t="str">
            <v>CULANTRO DESINFECTADO (PAQ=100g)</v>
          </cell>
          <cell r="C51">
            <v>3949</v>
          </cell>
          <cell r="D51" t="str">
            <v>1000 GRAMO</v>
          </cell>
          <cell r="E51" t="str">
            <v>Gramo</v>
          </cell>
          <cell r="F51">
            <v>3.9489999999999998</v>
          </cell>
        </row>
        <row r="52">
          <cell r="A52" t="str">
            <v>101075</v>
          </cell>
          <cell r="B52" t="str">
            <v>ESPINACA EN HOJA (PAQ:500 G)</v>
          </cell>
          <cell r="C52">
            <v>3159.2</v>
          </cell>
          <cell r="D52" t="str">
            <v>1000 GRAMOS</v>
          </cell>
          <cell r="E52" t="str">
            <v>Gramo</v>
          </cell>
          <cell r="F52">
            <v>3.1591999999999998</v>
          </cell>
        </row>
        <row r="53">
          <cell r="A53" t="str">
            <v>0101130</v>
          </cell>
          <cell r="B53" t="str">
            <v>LIMONES MAYA (UND)</v>
          </cell>
          <cell r="C53">
            <v>242.55</v>
          </cell>
          <cell r="D53" t="str">
            <v>1 UND</v>
          </cell>
          <cell r="E53" t="str">
            <v>UND</v>
          </cell>
          <cell r="F53">
            <v>242.55</v>
          </cell>
        </row>
        <row r="54">
          <cell r="A54" t="str">
            <v>0101133</v>
          </cell>
          <cell r="B54" t="str">
            <v>LECHUGA MIX CUADRO #2 ( .500 K</v>
          </cell>
          <cell r="C54">
            <v>2257.1999999999998</v>
          </cell>
          <cell r="D54" t="str">
            <v>1000 GRAMO</v>
          </cell>
          <cell r="E54" t="str">
            <v>Gramo</v>
          </cell>
          <cell r="F54">
            <v>2.2571999999999997</v>
          </cell>
        </row>
        <row r="55">
          <cell r="A55" t="str">
            <v>0101170</v>
          </cell>
          <cell r="B55" t="str">
            <v>PAPAS FREIR (KILO)</v>
          </cell>
          <cell r="C55">
            <v>1086.9405453075599</v>
          </cell>
          <cell r="D55" t="str">
            <v>1000 gramos</v>
          </cell>
        </row>
        <row r="56">
          <cell r="A56" t="str">
            <v>0101210</v>
          </cell>
          <cell r="B56" t="str">
            <v>TOMATE (KILO)</v>
          </cell>
          <cell r="C56">
            <v>750</v>
          </cell>
          <cell r="D56" t="str">
            <v>1000 GRAMO</v>
          </cell>
          <cell r="E56" t="str">
            <v>Gramo</v>
          </cell>
          <cell r="F56">
            <v>0.75</v>
          </cell>
        </row>
        <row r="57">
          <cell r="A57" t="str">
            <v>0101236</v>
          </cell>
          <cell r="B57" t="str">
            <v>ZANAHORIA JULIANA (PAQ=1K)</v>
          </cell>
          <cell r="C57">
            <v>2025.1</v>
          </cell>
          <cell r="D57" t="str">
            <v>1000 GRAMO</v>
          </cell>
          <cell r="E57" t="str">
            <v>Gramo</v>
          </cell>
          <cell r="F57">
            <v>2.0251000000000001</v>
          </cell>
        </row>
        <row r="58">
          <cell r="A58" t="str">
            <v>105665</v>
          </cell>
          <cell r="B58" t="str">
            <v>CEREZAS CON TALLO (KILO)</v>
          </cell>
          <cell r="C58">
            <v>5978.0219780219804</v>
          </cell>
          <cell r="D58" t="str">
            <v>1000 gramos</v>
          </cell>
        </row>
        <row r="59">
          <cell r="A59" t="str">
            <v>105807</v>
          </cell>
          <cell r="B59" t="str">
            <v>FRESAS CONGELADAS KILO</v>
          </cell>
          <cell r="C59">
            <v>1890</v>
          </cell>
          <cell r="D59" t="str">
            <v>1000 GRAMO</v>
          </cell>
        </row>
        <row r="60">
          <cell r="A60" t="str">
            <v>105824</v>
          </cell>
          <cell r="B60" t="str">
            <v xml:space="preserve">PIÑA MARACUYA CONG (KILO) </v>
          </cell>
          <cell r="C60">
            <v>2834</v>
          </cell>
          <cell r="D60" t="str">
            <v>1000 gramos</v>
          </cell>
        </row>
        <row r="61">
          <cell r="A61" t="str">
            <v>109228</v>
          </cell>
          <cell r="B61" t="str">
            <v>BANDEJA PLAST NEGRA DELI 120N (252UND)</v>
          </cell>
          <cell r="C61">
            <v>64.507936507936506</v>
          </cell>
          <cell r="D61" t="str">
            <v>1 Uds.</v>
          </cell>
          <cell r="E61" t="str">
            <v>und</v>
          </cell>
          <cell r="F61">
            <v>64.507936507936506</v>
          </cell>
        </row>
        <row r="62">
          <cell r="A62" t="str">
            <v>109254</v>
          </cell>
          <cell r="B62" t="str">
            <v>VASO 3.25 ONZ (PAQ*200)</v>
          </cell>
          <cell r="C62">
            <v>12.797000000000001</v>
          </cell>
          <cell r="D62" t="str">
            <v>1 PAQUETE</v>
          </cell>
          <cell r="E62" t="str">
            <v>UND</v>
          </cell>
          <cell r="F62">
            <v>12.797000000000001</v>
          </cell>
        </row>
        <row r="63">
          <cell r="A63" t="str">
            <v>0110071</v>
          </cell>
          <cell r="B63" t="str">
            <v>ARANDANOS CONGELADOS (KILO)</v>
          </cell>
          <cell r="C63">
            <v>6659.03</v>
          </cell>
          <cell r="D63" t="str">
            <v>1000 gramos</v>
          </cell>
          <cell r="E63" t="str">
            <v>Gramo</v>
          </cell>
          <cell r="F63">
            <v>6.6590299999999996</v>
          </cell>
        </row>
        <row r="64">
          <cell r="A64" t="str">
            <v>0110080</v>
          </cell>
          <cell r="B64" t="str">
            <v>CEBOLLA MORADA (KILO)</v>
          </cell>
          <cell r="C64">
            <v>1628.4859813084099</v>
          </cell>
          <cell r="D64" t="str">
            <v>1000 GRAMO</v>
          </cell>
          <cell r="E64" t="str">
            <v>Gramo</v>
          </cell>
          <cell r="F64">
            <v>1.6284859813084098</v>
          </cell>
        </row>
        <row r="65">
          <cell r="A65" t="str">
            <v>111229</v>
          </cell>
          <cell r="B65" t="str">
            <v>JUEGO CUBIERTOS NEGR C/SERVILLETA CJ:500</v>
          </cell>
          <cell r="C65">
            <v>28.332000000000001</v>
          </cell>
          <cell r="D65" t="str">
            <v>1 Uds.</v>
          </cell>
          <cell r="E65" t="str">
            <v>UND</v>
          </cell>
          <cell r="F65">
            <v>28.332000000000001</v>
          </cell>
        </row>
        <row r="66">
          <cell r="A66" t="str">
            <v>111300</v>
          </cell>
          <cell r="B66" t="str">
            <v>TENEDORES LINEA VERDE (10/100 UD)</v>
          </cell>
          <cell r="C66">
            <v>14.271000000000001</v>
          </cell>
          <cell r="D66" t="str">
            <v>1 UND</v>
          </cell>
          <cell r="E66" t="str">
            <v>UND</v>
          </cell>
          <cell r="F66">
            <v>14.271000000000001</v>
          </cell>
        </row>
        <row r="67">
          <cell r="A67" t="str">
            <v>111301</v>
          </cell>
          <cell r="B67" t="str">
            <v>CUCHILLOS LINEA VERDE (10/100 UD)</v>
          </cell>
          <cell r="C67">
            <v>13.805999999999999</v>
          </cell>
          <cell r="D67" t="str">
            <v>1 UND</v>
          </cell>
          <cell r="E67" t="str">
            <v>UND</v>
          </cell>
          <cell r="F67">
            <v>13.805999999999999</v>
          </cell>
        </row>
        <row r="68">
          <cell r="A68" t="str">
            <v>111302</v>
          </cell>
          <cell r="B68" t="str">
            <v>CUCHARA LINEA VERDE (10/100 UD)</v>
          </cell>
          <cell r="C68">
            <v>15.356</v>
          </cell>
          <cell r="D68" t="str">
            <v>1 UND</v>
          </cell>
          <cell r="E68" t="str">
            <v>UND</v>
          </cell>
          <cell r="F68">
            <v>15.356</v>
          </cell>
        </row>
        <row r="69">
          <cell r="A69" t="str">
            <v>120206</v>
          </cell>
          <cell r="B69" t="str">
            <v xml:space="preserve">BANDEJA PLAST NEGRA 3 DIV PACTIV </v>
          </cell>
          <cell r="C69">
            <v>120.624</v>
          </cell>
          <cell r="D69" t="str">
            <v>1 UND</v>
          </cell>
          <cell r="E69" t="str">
            <v>UND</v>
          </cell>
          <cell r="F69">
            <v>120.624</v>
          </cell>
        </row>
        <row r="70">
          <cell r="A70" t="str">
            <v>120604</v>
          </cell>
          <cell r="B70" t="str">
            <v>SIROPE CHOCO. LIQUIDO HERS (LITRO)</v>
          </cell>
          <cell r="C70">
            <v>2486.76470588235</v>
          </cell>
          <cell r="D70" t="str">
            <v>1000 MILIL</v>
          </cell>
        </row>
        <row r="71">
          <cell r="A71" t="str">
            <v>125605</v>
          </cell>
          <cell r="B71" t="str">
            <v>SALSA TOMATE INDIVIDUAL (UND)</v>
          </cell>
          <cell r="C71">
            <v>16.282</v>
          </cell>
          <cell r="D71" t="str">
            <v>1 UND</v>
          </cell>
        </row>
        <row r="72">
          <cell r="A72" t="str">
            <v>130627</v>
          </cell>
          <cell r="B72" t="str">
            <v>MAYONESA INDIVIDUAL (UND)</v>
          </cell>
          <cell r="C72">
            <v>14.465</v>
          </cell>
          <cell r="D72" t="str">
            <v>1 UND</v>
          </cell>
        </row>
        <row r="73">
          <cell r="A73" t="str">
            <v>135608</v>
          </cell>
          <cell r="B73" t="str">
            <v>SALSA INGLESA LIZANO (GALON)</v>
          </cell>
          <cell r="C73">
            <v>1929.45838837517</v>
          </cell>
          <cell r="D73" t="str">
            <v>1000 mililitros</v>
          </cell>
          <cell r="E73" t="str">
            <v>Mililitro</v>
          </cell>
          <cell r="F73">
            <v>1.9294583883751699</v>
          </cell>
        </row>
        <row r="74">
          <cell r="A74" t="str">
            <v>135744</v>
          </cell>
          <cell r="B74" t="str">
            <v>SALSA MINOR TERIYAKI NESTLE (UNIDAD)</v>
          </cell>
          <cell r="C74">
            <v>14640</v>
          </cell>
          <cell r="D74" t="str">
            <v>1000 gramos</v>
          </cell>
        </row>
        <row r="75">
          <cell r="A75" t="str">
            <v>135745</v>
          </cell>
          <cell r="B75" t="str">
            <v>SALSA MINOR TSO NESTLE (UND:2.49 KILOS)</v>
          </cell>
          <cell r="C75">
            <v>7580</v>
          </cell>
          <cell r="D75" t="str">
            <v>1000 mililitros</v>
          </cell>
        </row>
        <row r="76">
          <cell r="A76" t="str">
            <v>160637</v>
          </cell>
          <cell r="B76" t="str">
            <v>ACEITE LIBRE TRANS INOLASA (15.88 L)</v>
          </cell>
          <cell r="C76">
            <v>802.77078085642302</v>
          </cell>
          <cell r="D76" t="str">
            <v>1000 gramos</v>
          </cell>
          <cell r="E76" t="str">
            <v>Gramo</v>
          </cell>
          <cell r="F76">
            <v>0.80277078085642306</v>
          </cell>
        </row>
        <row r="77">
          <cell r="A77" t="str">
            <v>163371</v>
          </cell>
          <cell r="B77" t="str">
            <v>FUZE TE LIMON 500 ML (UND)</v>
          </cell>
          <cell r="C77">
            <v>371.43</v>
          </cell>
          <cell r="D77" t="str">
            <v>1 UND</v>
          </cell>
        </row>
        <row r="78">
          <cell r="A78" t="str">
            <v>163372</v>
          </cell>
          <cell r="B78" t="str">
            <v>FUZE TE MELOCOTON 500 ML</v>
          </cell>
          <cell r="C78">
            <v>371.43</v>
          </cell>
          <cell r="D78" t="str">
            <v>1 UND</v>
          </cell>
        </row>
        <row r="79">
          <cell r="A79" t="str">
            <v>163378</v>
          </cell>
          <cell r="B79" t="str">
            <v>COCA COLA ZERO ( 600 ML ) ( 12 UND )</v>
          </cell>
          <cell r="C79">
            <v>699.699166666667</v>
          </cell>
          <cell r="D79" t="str">
            <v>1 UND</v>
          </cell>
        </row>
        <row r="80">
          <cell r="A80" t="str">
            <v>163410</v>
          </cell>
          <cell r="B80" t="str">
            <v>COCA COLA ZERO 355 ML</v>
          </cell>
          <cell r="C80">
            <v>435.11500000000001</v>
          </cell>
          <cell r="D80" t="str">
            <v>1 UND</v>
          </cell>
        </row>
        <row r="81">
          <cell r="A81" t="str">
            <v>163420</v>
          </cell>
          <cell r="B81" t="str">
            <v>COCA COLA ZERO BAGGIN BOX 2.5 GAL</v>
          </cell>
          <cell r="C81">
            <v>42786.99</v>
          </cell>
          <cell r="D81" t="str">
            <v>1 PAQ</v>
          </cell>
        </row>
        <row r="82">
          <cell r="A82" t="str">
            <v>163519</v>
          </cell>
          <cell r="B82" t="str">
            <v>COCA COLA ZERO 1.5 L</v>
          </cell>
          <cell r="C82">
            <v>882.5</v>
          </cell>
          <cell r="D82" t="str">
            <v>1 UND</v>
          </cell>
        </row>
        <row r="83">
          <cell r="A83" t="str">
            <v>164968</v>
          </cell>
          <cell r="B83" t="str">
            <v>COCA COLA 2 LITROS</v>
          </cell>
          <cell r="C83">
            <v>1750</v>
          </cell>
          <cell r="D83" t="str">
            <v>1 BOTEL</v>
          </cell>
        </row>
        <row r="84">
          <cell r="A84" t="str">
            <v>165037</v>
          </cell>
          <cell r="B84" t="str">
            <v>COCA COLA REGULAR 1.5 L</v>
          </cell>
          <cell r="C84">
            <v>833.33333333333303</v>
          </cell>
          <cell r="D84" t="str">
            <v>1 UND</v>
          </cell>
        </row>
        <row r="85">
          <cell r="A85" t="str">
            <v>165258</v>
          </cell>
          <cell r="B85" t="str">
            <v>GINGER ALE 2.5 GALONES (BAGGING BOX)</v>
          </cell>
          <cell r="C85">
            <v>42786.99</v>
          </cell>
          <cell r="D85" t="str">
            <v>1 UND</v>
          </cell>
        </row>
        <row r="86">
          <cell r="A86" t="str">
            <v>165275</v>
          </cell>
          <cell r="B86" t="str">
            <v>COCA COLA 5 GALONES(BAGGIN BOX)</v>
          </cell>
          <cell r="C86">
            <v>85573.36</v>
          </cell>
          <cell r="D86" t="str">
            <v>1 UND</v>
          </cell>
        </row>
        <row r="87">
          <cell r="A87" t="str">
            <v>165501</v>
          </cell>
          <cell r="B87" t="str">
            <v>COCA COLA LIGHT (600ML PT 12)</v>
          </cell>
          <cell r="C87">
            <v>699.69833333333304</v>
          </cell>
          <cell r="D87" t="str">
            <v>1 UND</v>
          </cell>
        </row>
        <row r="88">
          <cell r="A88" t="str">
            <v>165969</v>
          </cell>
          <cell r="B88" t="str">
            <v>COCA COLA (600ML PT12)</v>
          </cell>
          <cell r="C88">
            <v>699.69833333333304</v>
          </cell>
          <cell r="D88" t="str">
            <v>1 UND</v>
          </cell>
        </row>
        <row r="89">
          <cell r="A89" t="str">
            <v>166593</v>
          </cell>
          <cell r="B89" t="str">
            <v>FANTA NARANJA 2.5G (BAGGING BOX)</v>
          </cell>
          <cell r="C89">
            <v>42786.99</v>
          </cell>
          <cell r="D89" t="str">
            <v>1 UND</v>
          </cell>
        </row>
        <row r="90">
          <cell r="A90" t="str">
            <v>167334</v>
          </cell>
          <cell r="B90" t="str">
            <v>COCA COLA 355 ML</v>
          </cell>
          <cell r="C90">
            <v>413.39166666666699</v>
          </cell>
          <cell r="D90" t="str">
            <v>1 UND</v>
          </cell>
        </row>
        <row r="91">
          <cell r="A91" t="str">
            <v>176642</v>
          </cell>
          <cell r="B91" t="str">
            <v>EMPANIZADOR POLLO EQ ALSERRO 1/1 K</v>
          </cell>
          <cell r="C91">
            <v>1905</v>
          </cell>
          <cell r="D91" t="str">
            <v>1000 GRAMO</v>
          </cell>
          <cell r="E91" t="str">
            <v>Gramo</v>
          </cell>
          <cell r="F91">
            <v>1.905</v>
          </cell>
        </row>
        <row r="92">
          <cell r="A92" t="str">
            <v>176799</v>
          </cell>
          <cell r="B92" t="str">
            <v>ENELDO TONES ( KILO )</v>
          </cell>
          <cell r="C92">
            <v>54102.836879432602</v>
          </cell>
          <cell r="D92" t="str">
            <v>1000 GRAMO</v>
          </cell>
        </row>
        <row r="93">
          <cell r="A93" t="str">
            <v>176887</v>
          </cell>
          <cell r="B93" t="str">
            <v>SEMILLA DE AJONJOLI NEGRO BADIA</v>
          </cell>
          <cell r="C93">
            <v>6207.0484581497803</v>
          </cell>
          <cell r="D93" t="str">
            <v>1000 gramos</v>
          </cell>
        </row>
        <row r="94">
          <cell r="A94" t="str">
            <v>190619</v>
          </cell>
          <cell r="B94" t="str">
            <v>HARINA NACARINA KILO</v>
          </cell>
          <cell r="C94">
            <v>660.6</v>
          </cell>
          <cell r="D94" t="str">
            <v>1000 GRAMOS</v>
          </cell>
          <cell r="E94" t="str">
            <v>Gramo</v>
          </cell>
          <cell r="F94">
            <v>0.66060000000000008</v>
          </cell>
        </row>
        <row r="95">
          <cell r="A95" t="str">
            <v>200815</v>
          </cell>
          <cell r="B95" t="str">
            <v>TORTILLA TRIGO MISION CONG 10.5" 6/12 UD</v>
          </cell>
          <cell r="C95">
            <v>98.75</v>
          </cell>
          <cell r="D95" t="str">
            <v>1 Uds.</v>
          </cell>
        </row>
        <row r="96">
          <cell r="A96" t="str">
            <v>202631</v>
          </cell>
          <cell r="B96" t="str">
            <v>AZUCAR GLASS MOLIDA (KILO)</v>
          </cell>
          <cell r="C96">
            <v>1501</v>
          </cell>
          <cell r="D96" t="str">
            <v>1000 GRAMO</v>
          </cell>
          <cell r="E96" t="str">
            <v>Gramo</v>
          </cell>
          <cell r="F96">
            <v>1.5009999999999999</v>
          </cell>
        </row>
        <row r="97">
          <cell r="A97" t="str">
            <v>202633</v>
          </cell>
          <cell r="B97" t="str">
            <v>AZUCAR ZUCRA ( UND )</v>
          </cell>
          <cell r="C97">
            <v>8.14</v>
          </cell>
          <cell r="D97" t="str">
            <v>1 UND</v>
          </cell>
        </row>
        <row r="98">
          <cell r="A98" t="str">
            <v>0210047</v>
          </cell>
          <cell r="B98" t="str">
            <v>CHICHARRON (KILO)</v>
          </cell>
          <cell r="C98">
            <v>6490</v>
          </cell>
          <cell r="D98" t="str">
            <v>1000 GRAMO</v>
          </cell>
        </row>
        <row r="99">
          <cell r="A99" t="str">
            <v>215744</v>
          </cell>
          <cell r="B99" t="str">
            <v>TE NEGRO INGLES BIGELOW (UND)</v>
          </cell>
          <cell r="C99">
            <v>75</v>
          </cell>
          <cell r="D99" t="str">
            <v>1 UND</v>
          </cell>
        </row>
        <row r="100">
          <cell r="A100" t="str">
            <v>290603</v>
          </cell>
          <cell r="B100" t="str">
            <v xml:space="preserve">PLASTICO AUTOADHERIBLE REYNOLDS </v>
          </cell>
          <cell r="C100">
            <v>7265</v>
          </cell>
          <cell r="D100" t="str">
            <v>1 ROLLO</v>
          </cell>
        </row>
        <row r="101">
          <cell r="A101" t="str">
            <v>0310108</v>
          </cell>
          <cell r="B101" t="str">
            <v>LECHE AZUL TB DOS PINOS (LITRO)</v>
          </cell>
          <cell r="C101">
            <v>471.95</v>
          </cell>
          <cell r="D101" t="str">
            <v>1000 MILIL</v>
          </cell>
          <cell r="E101" t="str">
            <v>Mililitro</v>
          </cell>
          <cell r="F101">
            <v>0.47194999999999998</v>
          </cell>
        </row>
        <row r="102">
          <cell r="A102" t="str">
            <v>0310109</v>
          </cell>
          <cell r="B102" t="str">
            <v>LECHE DESCREMADA (LITRO)</v>
          </cell>
          <cell r="C102">
            <v>776.71</v>
          </cell>
          <cell r="D102" t="str">
            <v>1000 mililitros</v>
          </cell>
        </row>
        <row r="103">
          <cell r="A103" t="str">
            <v>0310112</v>
          </cell>
          <cell r="B103" t="str">
            <v>QUESO PRADO RICO REBANADO (KILO)</v>
          </cell>
          <cell r="C103">
            <v>5794.13</v>
          </cell>
          <cell r="D103" t="str">
            <v>1000 GRAMO</v>
          </cell>
        </row>
        <row r="104">
          <cell r="A104" t="str">
            <v>0310122</v>
          </cell>
          <cell r="B104" t="str">
            <v>YOGURT  BATDO IN LINE NATURAL 1/ 500 GRS</v>
          </cell>
          <cell r="C104">
            <v>1684</v>
          </cell>
          <cell r="D104" t="str">
            <v>1000 MILIL</v>
          </cell>
        </row>
        <row r="105">
          <cell r="A105" t="str">
            <v>0310154</v>
          </cell>
          <cell r="B105" t="str">
            <v>QUESO RAYADO RICO (PAQ: 2 KILOS)</v>
          </cell>
          <cell r="C105">
            <v>3783</v>
          </cell>
          <cell r="D105" t="str">
            <v>1000 gramos</v>
          </cell>
          <cell r="E105" t="str">
            <v>Gramo</v>
          </cell>
          <cell r="F105">
            <v>3.7829999999999999</v>
          </cell>
        </row>
        <row r="106">
          <cell r="A106" t="str">
            <v>310956</v>
          </cell>
          <cell r="B106" t="str">
            <v>TILAPIA FIL 5-7OZ80%PN CJ10Kg(P/KG)AJC</v>
          </cell>
          <cell r="C106">
            <v>3175.5319148899998</v>
          </cell>
          <cell r="D106" t="str">
            <v>1000 gramos</v>
          </cell>
          <cell r="E106" t="str">
            <v>Gramo</v>
          </cell>
          <cell r="F106">
            <v>3.1755319148899996</v>
          </cell>
        </row>
        <row r="107">
          <cell r="A107" t="str">
            <v>0312277</v>
          </cell>
          <cell r="B107" t="str">
            <v>QUESO BOCCONCINI (PAQ= 500g)</v>
          </cell>
          <cell r="C107">
            <v>7700.62</v>
          </cell>
          <cell r="D107" t="str">
            <v>1000 GRAMO</v>
          </cell>
        </row>
        <row r="108">
          <cell r="A108" t="str">
            <v>330604</v>
          </cell>
          <cell r="B108" t="str">
            <v>REMOVEDOR MADERA 14CM 1/1000</v>
          </cell>
          <cell r="C108">
            <v>3.129</v>
          </cell>
          <cell r="D108" t="str">
            <v>1 Uds.</v>
          </cell>
        </row>
        <row r="109">
          <cell r="A109" t="str">
            <v>360212</v>
          </cell>
          <cell r="B109" t="str">
            <v>TAPA PLAST LISA P/BAND  8/12 OZ (UND)</v>
          </cell>
          <cell r="C109">
            <v>56.984126984127002</v>
          </cell>
          <cell r="D109" t="str">
            <v>1 UND</v>
          </cell>
          <cell r="E109" t="str">
            <v>und</v>
          </cell>
          <cell r="F109">
            <v>56.984126984127002</v>
          </cell>
        </row>
        <row r="110">
          <cell r="A110" t="str">
            <v>400823</v>
          </cell>
          <cell r="B110" t="str">
            <v>PAPA GAJO CASCARA HIERBA</v>
          </cell>
          <cell r="C110">
            <v>1436.0255750716501</v>
          </cell>
          <cell r="D110" t="str">
            <v>1000 GRAMO</v>
          </cell>
        </row>
        <row r="111">
          <cell r="A111" t="str">
            <v>499206</v>
          </cell>
          <cell r="B111" t="str">
            <v>DELANTAL PLAST. DESECHABBLE CAJ 1/100 UD</v>
          </cell>
          <cell r="C111">
            <v>36.130000000000003</v>
          </cell>
          <cell r="D111" t="str">
            <v>1 Uds.</v>
          </cell>
        </row>
        <row r="112">
          <cell r="A112" t="str">
            <v>500765</v>
          </cell>
          <cell r="B112" t="str">
            <v>QUESO TURRIALBA (KILO)</v>
          </cell>
          <cell r="C112">
            <v>3041.3766660000001</v>
          </cell>
          <cell r="D112" t="str">
            <v>1000 gramos</v>
          </cell>
          <cell r="E112" t="str">
            <v>Gramo</v>
          </cell>
          <cell r="F112">
            <v>3.0413766660000001</v>
          </cell>
        </row>
        <row r="113">
          <cell r="A113" t="str">
            <v>500812</v>
          </cell>
          <cell r="B113" t="str">
            <v>NATILLA GRANJA  (KILO)</v>
          </cell>
          <cell r="C113">
            <v>1162.8695652173899</v>
          </cell>
          <cell r="D113" t="str">
            <v>1000 MILIL</v>
          </cell>
          <cell r="E113" t="str">
            <v>Gramo</v>
          </cell>
          <cell r="F113">
            <v>1.1628695652173899</v>
          </cell>
        </row>
        <row r="114">
          <cell r="A114" t="str">
            <v>500924</v>
          </cell>
          <cell r="B114" t="str">
            <v>LECHE DE ALMENDRA (CAJA:24 UND 236 ml)</v>
          </cell>
          <cell r="C114">
            <v>3846.3983050847501</v>
          </cell>
          <cell r="D114" t="str">
            <v>1000 mililitros</v>
          </cell>
          <cell r="E114" t="str">
            <v>Mililitro</v>
          </cell>
          <cell r="F114">
            <v>3.8463983050847501</v>
          </cell>
        </row>
        <row r="115">
          <cell r="A115" t="str">
            <v>506201</v>
          </cell>
          <cell r="B115" t="str">
            <v xml:space="preserve">BURBUJA # 5 (CAJA:3/125UND) </v>
          </cell>
          <cell r="C115">
            <v>51.072000000000003</v>
          </cell>
          <cell r="D115" t="str">
            <v>1 Uds.</v>
          </cell>
          <cell r="E115" t="str">
            <v>UND</v>
          </cell>
          <cell r="F115">
            <v>51.072000000000003</v>
          </cell>
        </row>
        <row r="116">
          <cell r="A116" t="str">
            <v>0510152</v>
          </cell>
          <cell r="B116" t="str">
            <v>AZUCAR SOBRES PERSO. SPOON (UND)</v>
          </cell>
          <cell r="C116">
            <v>5.6680000000000001</v>
          </cell>
          <cell r="D116" t="str">
            <v>1 UND</v>
          </cell>
        </row>
        <row r="117">
          <cell r="A117" t="str">
            <v>510174</v>
          </cell>
          <cell r="B117" t="str">
            <v>COCO RALLADO (PAQ: 1 K)</v>
          </cell>
          <cell r="C117">
            <v>2390</v>
          </cell>
          <cell r="D117" t="str">
            <v>1000 gramos</v>
          </cell>
          <cell r="E117" t="str">
            <v>Gramo</v>
          </cell>
          <cell r="F117">
            <v>2.39</v>
          </cell>
        </row>
        <row r="118">
          <cell r="A118" t="str">
            <v>0510179</v>
          </cell>
          <cell r="B118" t="str">
            <v>CONFITURA COLORES ( PAQ= 1 k)</v>
          </cell>
          <cell r="C118">
            <v>3670.92</v>
          </cell>
          <cell r="D118" t="str">
            <v>1000 GRAMO</v>
          </cell>
          <cell r="E118" t="str">
            <v>Gramo</v>
          </cell>
          <cell r="F118">
            <v>3.6709200000000002</v>
          </cell>
        </row>
        <row r="119">
          <cell r="A119" t="str">
            <v>510414</v>
          </cell>
          <cell r="B119" t="str">
            <v>SNACK YUCA-PLATANOS (PAQ=500g)</v>
          </cell>
          <cell r="C119">
            <v>2920.36</v>
          </cell>
          <cell r="D119" t="str">
            <v>1000 GRAMO</v>
          </cell>
        </row>
        <row r="120">
          <cell r="A120" t="str">
            <v>0512312</v>
          </cell>
          <cell r="B120" t="str">
            <v>OREGANO MAYCA (KILO)</v>
          </cell>
          <cell r="C120">
            <v>13450</v>
          </cell>
          <cell r="D120" t="str">
            <v>1000 GRAMO</v>
          </cell>
          <cell r="E120" t="str">
            <v>Gramo</v>
          </cell>
          <cell r="F120">
            <v>13.45</v>
          </cell>
        </row>
        <row r="121">
          <cell r="A121" t="str">
            <v>520865</v>
          </cell>
          <cell r="B121" t="str">
            <v>HELADO DE VAINILLA 1/4 GALON</v>
          </cell>
          <cell r="C121">
            <v>1000</v>
          </cell>
          <cell r="D121" t="str">
            <v>1 UNIDAD</v>
          </cell>
          <cell r="E121" t="str">
            <v>Gramo</v>
          </cell>
          <cell r="F121">
            <v>1.0582010582010581</v>
          </cell>
        </row>
        <row r="122">
          <cell r="A122" t="str">
            <v>526612</v>
          </cell>
          <cell r="B122" t="str">
            <v>PAJILLA BIO FLEXIBLE C/FORRO ECOSUN</v>
          </cell>
          <cell r="C122">
            <v>5.8440000000000003</v>
          </cell>
          <cell r="D122" t="str">
            <v>1 UND</v>
          </cell>
        </row>
        <row r="123">
          <cell r="A123" t="str">
            <v>618224</v>
          </cell>
          <cell r="B123" t="str">
            <v>TAPA PARA VASO 16 OZ. COCA COLA</v>
          </cell>
          <cell r="C123">
            <v>3.4070999999999998</v>
          </cell>
          <cell r="D123" t="str">
            <v>1 Uds.</v>
          </cell>
        </row>
        <row r="124">
          <cell r="A124" t="str">
            <v>0702053</v>
          </cell>
          <cell r="B124" t="str">
            <v>STICKER REDONDO AMARILLO</v>
          </cell>
          <cell r="C124">
            <v>801</v>
          </cell>
          <cell r="D124" t="str">
            <v>1 ROLLO</v>
          </cell>
        </row>
        <row r="125">
          <cell r="A125" t="str">
            <v>0702054</v>
          </cell>
          <cell r="B125" t="str">
            <v>STICKER REDONDE BLANCO</v>
          </cell>
          <cell r="C125">
            <v>800.53</v>
          </cell>
          <cell r="D125" t="str">
            <v>1 ROLLO</v>
          </cell>
        </row>
        <row r="126">
          <cell r="A126" t="str">
            <v>0702056</v>
          </cell>
          <cell r="B126" t="str">
            <v>STICKER REDONDO CELESTE</v>
          </cell>
          <cell r="C126">
            <v>806</v>
          </cell>
          <cell r="D126" t="str">
            <v>1 UND</v>
          </cell>
        </row>
        <row r="127">
          <cell r="A127" t="str">
            <v>0702057</v>
          </cell>
          <cell r="B127" t="str">
            <v>STICKER REDONDO NARANJA</v>
          </cell>
          <cell r="C127">
            <v>801.95</v>
          </cell>
          <cell r="D127" t="str">
            <v>1 ROLLO</v>
          </cell>
        </row>
        <row r="128">
          <cell r="A128" t="str">
            <v>0702059</v>
          </cell>
          <cell r="B128" t="str">
            <v>STICKER REDONDO ROSADO</v>
          </cell>
          <cell r="C128">
            <v>807.12</v>
          </cell>
          <cell r="D128" t="str">
            <v>1 UND</v>
          </cell>
        </row>
        <row r="129">
          <cell r="A129" t="str">
            <v>0702060</v>
          </cell>
          <cell r="B129" t="str">
            <v>STICKER REDONDO VERDE</v>
          </cell>
          <cell r="C129">
            <v>802.59</v>
          </cell>
          <cell r="D129" t="str">
            <v>1 UND</v>
          </cell>
        </row>
        <row r="130">
          <cell r="A130" t="str">
            <v>0702119</v>
          </cell>
          <cell r="B130" t="str">
            <v>STICKER REDONDO CAFE</v>
          </cell>
          <cell r="C130">
            <v>798</v>
          </cell>
          <cell r="D130" t="str">
            <v>1 UND</v>
          </cell>
        </row>
        <row r="131">
          <cell r="A131" t="str">
            <v>0702155</v>
          </cell>
          <cell r="B131" t="str">
            <v>ETIQUETA BLANCA VENCE ROLLO 1000</v>
          </cell>
          <cell r="C131">
            <v>1240</v>
          </cell>
          <cell r="D131" t="str">
            <v>1 UND</v>
          </cell>
        </row>
        <row r="132">
          <cell r="A132" t="str">
            <v>702175</v>
          </cell>
          <cell r="B132" t="str">
            <v>ETIQUETA IMP.SPOON.GRD. V-272 DOMO</v>
          </cell>
          <cell r="C132">
            <v>30.25</v>
          </cell>
          <cell r="D132" t="str">
            <v>1 UND</v>
          </cell>
        </row>
        <row r="133">
          <cell r="A133" t="str">
            <v>0703204</v>
          </cell>
          <cell r="B133" t="str">
            <v>TARJETA SPOONER PVC</v>
          </cell>
          <cell r="C133">
            <v>102.2</v>
          </cell>
          <cell r="D133" t="str">
            <v>1 UND</v>
          </cell>
        </row>
        <row r="134">
          <cell r="A134" t="str">
            <v>703205</v>
          </cell>
          <cell r="B134" t="str">
            <v>BROCHURE P/TARJETAS SPOONERS</v>
          </cell>
          <cell r="C134">
            <v>57</v>
          </cell>
          <cell r="D134" t="str">
            <v>1 UND</v>
          </cell>
        </row>
        <row r="135">
          <cell r="A135" t="str">
            <v>0710260</v>
          </cell>
          <cell r="B135" t="str">
            <v>PAN CUADRADO INTEGRAL (PAQ=22 REBANADAS)</v>
          </cell>
          <cell r="C135">
            <v>55</v>
          </cell>
          <cell r="D135" t="str">
            <v>1 REBAN</v>
          </cell>
        </row>
        <row r="136">
          <cell r="A136" t="str">
            <v>0710261</v>
          </cell>
          <cell r="B136" t="str">
            <v>PAN CUADRADO BLANCO (PAQ=22 REBANADAS)</v>
          </cell>
          <cell r="C136">
            <v>50</v>
          </cell>
          <cell r="D136" t="str">
            <v>1 REBAN</v>
          </cell>
        </row>
        <row r="137">
          <cell r="A137" t="str">
            <v>0710290</v>
          </cell>
          <cell r="B137" t="str">
            <v>PAPEL  DE ARROZ (PAQ=36 UND)</v>
          </cell>
          <cell r="C137">
            <v>44.836944444444399</v>
          </cell>
          <cell r="D137" t="str">
            <v>1 UND</v>
          </cell>
        </row>
        <row r="138">
          <cell r="A138" t="str">
            <v>0812274</v>
          </cell>
          <cell r="B138" t="str">
            <v>SIROPE CARAMELO HERSHEY (LITRO)</v>
          </cell>
          <cell r="C138">
            <v>3227.9293739967902</v>
          </cell>
          <cell r="D138" t="str">
            <v>1000 MILIL</v>
          </cell>
          <cell r="E138" t="str">
            <v>Mililitro</v>
          </cell>
          <cell r="F138">
            <v>3.22792937399679</v>
          </cell>
        </row>
        <row r="139">
          <cell r="A139" t="str">
            <v>0812377</v>
          </cell>
          <cell r="B139" t="str">
            <v>SIROPE CREMA IRLANDESA (LITRO)</v>
          </cell>
          <cell r="C139">
            <v>4897.3333333333303</v>
          </cell>
          <cell r="D139" t="str">
            <v>1000 MILIL</v>
          </cell>
        </row>
        <row r="140">
          <cell r="A140" t="str">
            <v>0812378</v>
          </cell>
          <cell r="B140" t="str">
            <v>SIROPE AMARETTO MONI (LITRO)</v>
          </cell>
          <cell r="C140">
            <v>5268</v>
          </cell>
          <cell r="D140" t="str">
            <v>1000 MILIL</v>
          </cell>
        </row>
        <row r="141">
          <cell r="A141" t="str">
            <v>0812388</v>
          </cell>
          <cell r="B141" t="str">
            <v>SIROPE FRUTOS BOSQUE (LITRO)</v>
          </cell>
          <cell r="C141">
            <v>5381</v>
          </cell>
          <cell r="D141" t="str">
            <v>1000 MILIL</v>
          </cell>
        </row>
        <row r="142">
          <cell r="A142" t="str">
            <v>900711</v>
          </cell>
          <cell r="B142" t="str">
            <v>FILTRO P/GRASA 10" CONICO</v>
          </cell>
          <cell r="C142">
            <v>76.66</v>
          </cell>
          <cell r="D142" t="str">
            <v>1 UND</v>
          </cell>
        </row>
        <row r="143">
          <cell r="A143" t="str">
            <v>900736</v>
          </cell>
          <cell r="B143" t="str">
            <v xml:space="preserve">TORTILLA TRIGO BLANCA 12" </v>
          </cell>
          <cell r="C143">
            <v>100.833333333333</v>
          </cell>
          <cell r="D143" t="str">
            <v>1 UND</v>
          </cell>
        </row>
        <row r="144">
          <cell r="A144" t="str">
            <v>0906226</v>
          </cell>
          <cell r="B144" t="str">
            <v xml:space="preserve">TERMOMETRO COOPER MANUAL </v>
          </cell>
          <cell r="C144">
            <v>10874</v>
          </cell>
          <cell r="D144" t="str">
            <v>1 UND</v>
          </cell>
        </row>
        <row r="145">
          <cell r="A145" t="str">
            <v>906288</v>
          </cell>
          <cell r="B145" t="str">
            <v xml:space="preserve">CILINDRO CHANTILLY CAJA 10 (UND) </v>
          </cell>
          <cell r="C145">
            <v>312</v>
          </cell>
          <cell r="D145" t="str">
            <v>1 UND</v>
          </cell>
        </row>
        <row r="146">
          <cell r="A146" t="str">
            <v>915001</v>
          </cell>
          <cell r="B146" t="str">
            <v>BOTELLA DE AGUA 600 ML</v>
          </cell>
          <cell r="C146">
            <v>234</v>
          </cell>
          <cell r="D146" t="str">
            <v>1 UND</v>
          </cell>
        </row>
        <row r="147">
          <cell r="A147" t="str">
            <v>915201</v>
          </cell>
          <cell r="B147" t="str">
            <v>TAPA PLASTICA  C/D 3 DIV.PACTI (250 UND)</v>
          </cell>
          <cell r="C147">
            <v>92.372</v>
          </cell>
          <cell r="D147" t="str">
            <v>1 UND</v>
          </cell>
        </row>
        <row r="148">
          <cell r="A148" t="str">
            <v>915621</v>
          </cell>
          <cell r="B148" t="str">
            <v>BOLSA PAPEL EMPAREDADO</v>
          </cell>
          <cell r="C148">
            <v>52.335999999999999</v>
          </cell>
          <cell r="D148" t="str">
            <v>1 UND</v>
          </cell>
        </row>
        <row r="149">
          <cell r="A149" t="str">
            <v>915640</v>
          </cell>
          <cell r="B149" t="str">
            <v>SERVILLETA NATURAL P/CAFÉ TORK 12/500 UN</v>
          </cell>
          <cell r="C149">
            <v>818.91666666666697</v>
          </cell>
          <cell r="D149" t="str">
            <v>1 UND</v>
          </cell>
          <cell r="E149" t="str">
            <v>Und</v>
          </cell>
          <cell r="F149">
            <v>1.6378333333333339</v>
          </cell>
        </row>
        <row r="150">
          <cell r="A150" t="str">
            <v>915660</v>
          </cell>
          <cell r="B150" t="str">
            <v>BOLSA KRAFT SPOON 4 LB 1/1000</v>
          </cell>
          <cell r="C150">
            <v>10.552</v>
          </cell>
          <cell r="D150" t="str">
            <v>1 Uds.</v>
          </cell>
        </row>
        <row r="151">
          <cell r="A151" t="str">
            <v>915665</v>
          </cell>
          <cell r="B151" t="str">
            <v>BOLSA KRAFT PEQUEÑA 12 LB ( PAQ:500 UND)</v>
          </cell>
          <cell r="C151">
            <v>18.626000000000001</v>
          </cell>
          <cell r="D151" t="str">
            <v>1 Uds.</v>
          </cell>
        </row>
        <row r="152">
          <cell r="A152" t="str">
            <v>915666</v>
          </cell>
          <cell r="B152" t="str">
            <v>BOLSA KRAFT MEDIANA ( PAQ: 250 UND)</v>
          </cell>
          <cell r="C152">
            <v>41.804000000000002</v>
          </cell>
          <cell r="D152" t="str">
            <v>1 Uds.</v>
          </cell>
          <cell r="E152" t="str">
            <v>Und</v>
          </cell>
          <cell r="F152">
            <v>41.804000000000002</v>
          </cell>
        </row>
        <row r="153">
          <cell r="A153" t="str">
            <v>915673</v>
          </cell>
          <cell r="B153" t="str">
            <v>BOLSA KRAFT SPOON 2L (1000 UN)</v>
          </cell>
          <cell r="C153">
            <v>7.0510000000000002</v>
          </cell>
          <cell r="D153" t="str">
            <v>1 Uds.</v>
          </cell>
        </row>
        <row r="154">
          <cell r="A154" t="str">
            <v>915701</v>
          </cell>
          <cell r="B154" t="str">
            <v>PULPA MARACUYA LIGHT UND=1LITRO</v>
          </cell>
          <cell r="C154">
            <v>2725</v>
          </cell>
          <cell r="D154" t="str">
            <v>1000 gramos</v>
          </cell>
        </row>
        <row r="155">
          <cell r="A155" t="str">
            <v>915709</v>
          </cell>
          <cell r="B155" t="str">
            <v>QUESO CREMA DOS PINOS SP 1/210 GRS</v>
          </cell>
          <cell r="C155">
            <v>4719.0476190476202</v>
          </cell>
          <cell r="D155" t="str">
            <v>1000 gramos</v>
          </cell>
          <cell r="E155" t="str">
            <v>Gramo</v>
          </cell>
          <cell r="F155">
            <v>4.71904761904762</v>
          </cell>
        </row>
        <row r="156">
          <cell r="A156" t="str">
            <v>991866</v>
          </cell>
          <cell r="B156" t="str">
            <v>VASO 12on COCA COLA 50 UND X TIRA</v>
          </cell>
          <cell r="C156">
            <v>7.7964000000000002</v>
          </cell>
          <cell r="D156" t="str">
            <v>1 UND</v>
          </cell>
        </row>
        <row r="157">
          <cell r="A157" t="str">
            <v>991867</v>
          </cell>
          <cell r="B157" t="str">
            <v>VASO 16 on COCA COLA 50 UND X TIRA</v>
          </cell>
          <cell r="C157">
            <v>10.1858</v>
          </cell>
          <cell r="D157" t="str">
            <v>1 UND</v>
          </cell>
        </row>
        <row r="158">
          <cell r="A158" t="str">
            <v>991926</v>
          </cell>
          <cell r="B158" t="str">
            <v>TAPAS 12 on COCA COLA</v>
          </cell>
          <cell r="C158">
            <v>4.3787000000000003</v>
          </cell>
          <cell r="D158" t="str">
            <v>1 Uds.</v>
          </cell>
        </row>
        <row r="159">
          <cell r="A159" t="str">
            <v>1210402</v>
          </cell>
          <cell r="B159" t="str">
            <v>MARGARINA BLOQUE (KILO)</v>
          </cell>
          <cell r="C159">
            <v>1066.96</v>
          </cell>
          <cell r="D159" t="str">
            <v>1000 GRAMO</v>
          </cell>
          <cell r="E159" t="str">
            <v>Gramo</v>
          </cell>
          <cell r="F159">
            <v>1.0669600000000001</v>
          </cell>
        </row>
        <row r="160">
          <cell r="A160" t="str">
            <v>1210411</v>
          </cell>
          <cell r="B160" t="str">
            <v>CREMA P/ CAFE INDIVIDUAL (UND)</v>
          </cell>
          <cell r="C160">
            <v>9.702</v>
          </cell>
          <cell r="D160" t="str">
            <v>1 UND</v>
          </cell>
        </row>
        <row r="161">
          <cell r="A161" t="str">
            <v>1210494</v>
          </cell>
          <cell r="B161" t="str">
            <v>CUCHARA CHOCOLATE (CAJA= 25 UND)</v>
          </cell>
          <cell r="C161">
            <v>658.9</v>
          </cell>
          <cell r="D161" t="str">
            <v>1 UND</v>
          </cell>
        </row>
        <row r="162">
          <cell r="A162" t="str">
            <v>1500008</v>
          </cell>
          <cell r="B162" t="str">
            <v>TE VERDE TROPICAL (PAQ=50 UND)</v>
          </cell>
          <cell r="C162">
            <v>350.471</v>
          </cell>
          <cell r="D162" t="str">
            <v>1 UND</v>
          </cell>
        </row>
        <row r="163">
          <cell r="A163" t="str">
            <v>1520456</v>
          </cell>
          <cell r="B163" t="str">
            <v>FRIJOLES TIERNOS CHIFRIJO C/CALDO (KILO)</v>
          </cell>
          <cell r="C163">
            <v>1388.23529411765</v>
          </cell>
          <cell r="D163" t="str">
            <v>1000 GRAMO</v>
          </cell>
        </row>
        <row r="164">
          <cell r="A164" t="str">
            <v>1522341</v>
          </cell>
          <cell r="B164" t="str">
            <v>SALSA ROJA (LITRO)</v>
          </cell>
          <cell r="C164">
            <v>1670</v>
          </cell>
          <cell r="D164" t="str">
            <v>1000 MILILITROS</v>
          </cell>
          <cell r="E164" t="str">
            <v>Mililitro</v>
          </cell>
          <cell r="F164">
            <v>1.67</v>
          </cell>
        </row>
        <row r="165">
          <cell r="A165" t="str">
            <v>1522344</v>
          </cell>
          <cell r="B165" t="str">
            <v>PURE PAPA TRUE (BOLSA=450g=3 PORC)</v>
          </cell>
          <cell r="C165">
            <v>2257.7777777777801</v>
          </cell>
          <cell r="D165" t="str">
            <v>1000 GRAMOS</v>
          </cell>
        </row>
        <row r="166">
          <cell r="A166" t="str">
            <v>1522347</v>
          </cell>
          <cell r="B166" t="str">
            <v>RELLENO LIMON (KILO)</v>
          </cell>
          <cell r="C166">
            <v>2982</v>
          </cell>
          <cell r="D166" t="str">
            <v>1000 GRAMOS</v>
          </cell>
        </row>
        <row r="167">
          <cell r="A167" t="str">
            <v>1522361</v>
          </cell>
          <cell r="B167" t="str">
            <v>SALSA ARREGLADO (LITRO)</v>
          </cell>
          <cell r="C167">
            <v>1631.25</v>
          </cell>
          <cell r="D167" t="str">
            <v>1000 MILILITROS</v>
          </cell>
        </row>
        <row r="168">
          <cell r="A168" t="str">
            <v>1522386</v>
          </cell>
          <cell r="B168" t="str">
            <v>RELLENO POLLO LAPIZ (KILO)</v>
          </cell>
          <cell r="C168">
            <v>3233.3333333333298</v>
          </cell>
          <cell r="D168" t="str">
            <v>1000 GRAMOS</v>
          </cell>
        </row>
        <row r="169">
          <cell r="A169" t="str">
            <v>1522524</v>
          </cell>
          <cell r="B169" t="str">
            <v>HUMUS DE GARBANZOS (KILO)</v>
          </cell>
          <cell r="C169">
            <v>4800</v>
          </cell>
          <cell r="D169" t="str">
            <v>1000 GRAMOS</v>
          </cell>
        </row>
        <row r="170">
          <cell r="A170" t="str">
            <v>1620470</v>
          </cell>
          <cell r="B170" t="str">
            <v>PALMITO COCINADO (KILO)</v>
          </cell>
          <cell r="C170">
            <v>4040</v>
          </cell>
          <cell r="D170" t="str">
            <v>1000 GRAMOS</v>
          </cell>
        </row>
        <row r="171">
          <cell r="A171" t="str">
            <v>1620477</v>
          </cell>
          <cell r="B171" t="str">
            <v>TIQUEÑOS CON QUESO (UND)</v>
          </cell>
          <cell r="C171">
            <v>119.75</v>
          </cell>
          <cell r="D171" t="str">
            <v>1 UND</v>
          </cell>
        </row>
        <row r="172">
          <cell r="A172" t="str">
            <v>1620479</v>
          </cell>
          <cell r="B172" t="str">
            <v>ACEITE DE AJO Y PEREJIL (LITRO)</v>
          </cell>
          <cell r="C172">
            <v>3950</v>
          </cell>
          <cell r="D172" t="str">
            <v>1000 MILILITROS</v>
          </cell>
          <cell r="E172" t="str">
            <v>Gramo</v>
          </cell>
          <cell r="F172">
            <v>3.95</v>
          </cell>
        </row>
        <row r="173">
          <cell r="A173" t="str">
            <v>1622333</v>
          </cell>
          <cell r="B173" t="str">
            <v>MAYONESA CHIPOTLE (LITRO)</v>
          </cell>
          <cell r="C173">
            <v>2740</v>
          </cell>
          <cell r="D173" t="str">
            <v>1000 MILILITROS</v>
          </cell>
          <cell r="E173" t="str">
            <v>Gramo</v>
          </cell>
          <cell r="F173">
            <v>2.74</v>
          </cell>
        </row>
        <row r="174">
          <cell r="A174" t="str">
            <v>1622343</v>
          </cell>
          <cell r="B174" t="str">
            <v>FRIJOLES MOLIDOS (KILO)</v>
          </cell>
          <cell r="C174">
            <v>2142.5</v>
          </cell>
          <cell r="D174" t="str">
            <v>1000 GRAMOS</v>
          </cell>
        </row>
        <row r="175">
          <cell r="A175" t="str">
            <v>1622344</v>
          </cell>
          <cell r="B175" t="str">
            <v>ADEREZO VINAGRETA ALBAHACA (LITRO)</v>
          </cell>
          <cell r="C175">
            <v>4428.5714285714303</v>
          </cell>
          <cell r="D175" t="str">
            <v>1000 MILILITROS</v>
          </cell>
          <cell r="E175" t="str">
            <v>Mililitro</v>
          </cell>
          <cell r="F175">
            <v>4.4285714285714306</v>
          </cell>
        </row>
        <row r="176">
          <cell r="A176" t="str">
            <v>1622394</v>
          </cell>
          <cell r="B176" t="str">
            <v>SALSA TAMARINDO (LITRO)</v>
          </cell>
          <cell r="C176">
            <v>2319.0476190476202</v>
          </cell>
          <cell r="D176" t="str">
            <v>1000 MILILITROS</v>
          </cell>
        </row>
        <row r="177">
          <cell r="A177" t="str">
            <v>1622400</v>
          </cell>
          <cell r="B177" t="str">
            <v>ADEREZO ALBAHACA CAPRESSE (LITRO)</v>
          </cell>
          <cell r="C177">
            <v>4031.4285714285702</v>
          </cell>
          <cell r="D177" t="str">
            <v>1000 MILILITROS</v>
          </cell>
          <cell r="E177" t="str">
            <v>Mililitro</v>
          </cell>
          <cell r="F177">
            <v>4.0314285714285703</v>
          </cell>
        </row>
        <row r="178">
          <cell r="A178" t="str">
            <v>1622409</v>
          </cell>
          <cell r="B178" t="str">
            <v>ADEREZO GRILL (BOLSA=500g)</v>
          </cell>
          <cell r="C178">
            <v>2190</v>
          </cell>
          <cell r="D178" t="str">
            <v>1000 GRAMOS</v>
          </cell>
          <cell r="E178" t="str">
            <v>Mililitro</v>
          </cell>
          <cell r="F178">
            <v>4.38</v>
          </cell>
        </row>
        <row r="179">
          <cell r="A179" t="str">
            <v>1622429</v>
          </cell>
          <cell r="B179" t="str">
            <v>RIZOS FLOREADOS DE CHOCOLATE</v>
          </cell>
          <cell r="C179">
            <v>9975</v>
          </cell>
          <cell r="D179" t="str">
            <v>1000 GRAMO</v>
          </cell>
        </row>
        <row r="180">
          <cell r="A180" t="str">
            <v>1622436</v>
          </cell>
          <cell r="B180" t="str">
            <v>ADEREZO PESTO ALBAHACA (KILO)</v>
          </cell>
          <cell r="C180">
            <v>3433.3333333333298</v>
          </cell>
          <cell r="D180" t="str">
            <v>1000 GRAMOS</v>
          </cell>
          <cell r="E180" t="str">
            <v>Mililitro</v>
          </cell>
          <cell r="F180">
            <v>3.43333333333333</v>
          </cell>
        </row>
        <row r="181">
          <cell r="A181" t="str">
            <v>1730613</v>
          </cell>
          <cell r="B181" t="str">
            <v>LECHE DELACTOMY (LITRO)</v>
          </cell>
          <cell r="C181">
            <v>869.41666666666697</v>
          </cell>
          <cell r="D181" t="str">
            <v>1000 MILIL</v>
          </cell>
        </row>
        <row r="182">
          <cell r="A182" t="str">
            <v>1730645</v>
          </cell>
          <cell r="B182" t="str">
            <v>QUESO RALLADO MOZARELLA (PAQ= 1 K)</v>
          </cell>
          <cell r="C182">
            <v>3412.7049999999999</v>
          </cell>
          <cell r="D182" t="str">
            <v>1000 GRAMOS</v>
          </cell>
        </row>
        <row r="183">
          <cell r="A183" t="str">
            <v>1730663</v>
          </cell>
          <cell r="B183" t="str">
            <v>SALSA AJI AMARILLO DOY PACK (PAQ=460 g)</v>
          </cell>
          <cell r="C183">
            <v>7353.7826086956502</v>
          </cell>
          <cell r="D183" t="str">
            <v>1000 GRAMO</v>
          </cell>
        </row>
        <row r="184">
          <cell r="A184" t="str">
            <v>1730670</v>
          </cell>
          <cell r="B184" t="str">
            <v>BOLITA FALAFEL CRUDA (CAJA=100 UND)</v>
          </cell>
          <cell r="C184">
            <v>77</v>
          </cell>
          <cell r="D184" t="str">
            <v>1 UND</v>
          </cell>
        </row>
        <row r="185">
          <cell r="A185" t="str">
            <v>1840640</v>
          </cell>
          <cell r="B185" t="str">
            <v>BOLSAS TRANSP EXTRAGRANDE 37x55 (KILO)</v>
          </cell>
          <cell r="C185">
            <v>1129.7087628866</v>
          </cell>
          <cell r="D185" t="str">
            <v>1000 gramos</v>
          </cell>
        </row>
        <row r="186">
          <cell r="A186" t="str">
            <v>1840675</v>
          </cell>
          <cell r="B186" t="str">
            <v>BOLSA DE BASURA NEGRA ( KILO )</v>
          </cell>
          <cell r="C186">
            <v>1130</v>
          </cell>
          <cell r="D186" t="str">
            <v>1000 gramos</v>
          </cell>
        </row>
        <row r="187">
          <cell r="A187" t="str">
            <v>1950701</v>
          </cell>
          <cell r="B187" t="str">
            <v xml:space="preserve">BOLSA KRAFF # 2 20x10 </v>
          </cell>
          <cell r="C187">
            <v>8.4320000000000004</v>
          </cell>
          <cell r="D187" t="str">
            <v>1 UND</v>
          </cell>
        </row>
        <row r="188">
          <cell r="A188" t="str">
            <v>1950702</v>
          </cell>
          <cell r="B188" t="str">
            <v>BOLSA 12x18 TRANSP (KILO)</v>
          </cell>
          <cell r="C188">
            <v>1624</v>
          </cell>
          <cell r="D188" t="str">
            <v>1000 gramos</v>
          </cell>
        </row>
        <row r="189">
          <cell r="A189" t="str">
            <v>1950704</v>
          </cell>
          <cell r="B189" t="str">
            <v>BOLSA 5x8 TRANSP (KILO)</v>
          </cell>
          <cell r="C189">
            <v>1631</v>
          </cell>
          <cell r="D189" t="str">
            <v>1000 gramos</v>
          </cell>
        </row>
        <row r="190">
          <cell r="A190" t="str">
            <v>1950705</v>
          </cell>
          <cell r="B190" t="str">
            <v>BOLSA 8x12 TRANSP (KILO)</v>
          </cell>
          <cell r="C190">
            <v>1613.3854961832101</v>
          </cell>
          <cell r="D190" t="str">
            <v>1000 gramos</v>
          </cell>
        </row>
        <row r="191">
          <cell r="A191" t="str">
            <v>1950708</v>
          </cell>
          <cell r="B191" t="str">
            <v>BOLSA 17x25 TRANSP (KILO)</v>
          </cell>
          <cell r="C191">
            <v>1615</v>
          </cell>
          <cell r="D191" t="str">
            <v>1000 gramos</v>
          </cell>
        </row>
        <row r="192">
          <cell r="A192" t="str">
            <v>1950731</v>
          </cell>
          <cell r="B192" t="str">
            <v>CAPSULA  # 3 CON LOGO UND</v>
          </cell>
          <cell r="C192">
            <v>7.5199999999999998E-3</v>
          </cell>
          <cell r="D192" t="str">
            <v>1 Uds.</v>
          </cell>
        </row>
        <row r="193">
          <cell r="A193" t="str">
            <v>1950735</v>
          </cell>
          <cell r="B193" t="str">
            <v>CAPSULA #5 CON LOGO</v>
          </cell>
          <cell r="C193">
            <v>9.0200000000000002E-3</v>
          </cell>
          <cell r="D193" t="str">
            <v>1 UND</v>
          </cell>
        </row>
        <row r="194">
          <cell r="A194" t="str">
            <v>1950747</v>
          </cell>
          <cell r="B194" t="str">
            <v>FILTROS DE PAPEL PARA CAFE (500 UND)</v>
          </cell>
          <cell r="C194">
            <v>12.696</v>
          </cell>
          <cell r="D194" t="str">
            <v>1 UND</v>
          </cell>
        </row>
        <row r="195">
          <cell r="A195" t="str">
            <v>1950756</v>
          </cell>
          <cell r="B195" t="str">
            <v>BANDEJA ALUM DESE 6 PORC #4040</v>
          </cell>
          <cell r="C195">
            <v>246</v>
          </cell>
          <cell r="D195" t="str">
            <v>1 UND</v>
          </cell>
        </row>
        <row r="196">
          <cell r="A196" t="str">
            <v>1950786</v>
          </cell>
          <cell r="B196" t="str">
            <v xml:space="preserve">BOLSA IMP. SPOON CAMI 12 * 25 </v>
          </cell>
          <cell r="C196">
            <v>2204</v>
          </cell>
          <cell r="D196" t="str">
            <v>1000 gramos</v>
          </cell>
          <cell r="E196" t="str">
            <v>Und</v>
          </cell>
          <cell r="F196">
            <v>26.238095238095237</v>
          </cell>
        </row>
        <row r="197">
          <cell r="A197" t="str">
            <v>1950797</v>
          </cell>
          <cell r="B197" t="str">
            <v>VASO PLAST. TRASL 16 OZ (PAQ=50 UND)</v>
          </cell>
          <cell r="C197">
            <v>40.700000000000003</v>
          </cell>
          <cell r="D197" t="str">
            <v>1 UND</v>
          </cell>
          <cell r="E197" t="str">
            <v>Und</v>
          </cell>
          <cell r="F197">
            <v>40.700000000000003</v>
          </cell>
        </row>
        <row r="198">
          <cell r="A198" t="str">
            <v>1950914</v>
          </cell>
          <cell r="B198" t="str">
            <v>PORTA VASO 4 CAVIDADES (PAQ: 25 UND)</v>
          </cell>
          <cell r="C198">
            <v>60</v>
          </cell>
          <cell r="D198" t="str">
            <v>1 PAQ</v>
          </cell>
        </row>
        <row r="199">
          <cell r="A199" t="str">
            <v>1950921</v>
          </cell>
          <cell r="B199" t="str">
            <v>TAPA SUFLE PLAST .5/.75/1 OZ (PAQ=100 UN</v>
          </cell>
          <cell r="C199">
            <v>6.0979000000000001</v>
          </cell>
          <cell r="D199" t="str">
            <v>1 UND</v>
          </cell>
          <cell r="E199" t="str">
            <v>Und</v>
          </cell>
          <cell r="F199">
            <v>6.0979000000000001</v>
          </cell>
        </row>
        <row r="200">
          <cell r="A200" t="str">
            <v>1950928</v>
          </cell>
          <cell r="B200" t="str">
            <v>BOLSA TRANSPARENTE 56X96X1.80 (KILO)</v>
          </cell>
          <cell r="C200">
            <v>1666</v>
          </cell>
          <cell r="D200" t="str">
            <v>1000 gramos</v>
          </cell>
        </row>
        <row r="201">
          <cell r="A201" t="str">
            <v>1950959</v>
          </cell>
          <cell r="B201" t="str">
            <v>TAPA PLAST. SUFLE 3.25 onz (PAQ=120 UND)</v>
          </cell>
          <cell r="C201">
            <v>12.4029166666667</v>
          </cell>
          <cell r="D201" t="str">
            <v>1 UND</v>
          </cell>
          <cell r="E201" t="str">
            <v>Und</v>
          </cell>
          <cell r="F201">
            <v>12.4029166666667</v>
          </cell>
        </row>
        <row r="202">
          <cell r="A202" t="str">
            <v>1952409</v>
          </cell>
          <cell r="B202" t="str">
            <v>BANDEJA  ALUMINIO A-42 ( 4 PORC )</v>
          </cell>
          <cell r="C202">
            <v>99</v>
          </cell>
          <cell r="D202" t="str">
            <v>1 UND</v>
          </cell>
          <cell r="E202" t="str">
            <v>Und</v>
          </cell>
          <cell r="F202">
            <v>99</v>
          </cell>
        </row>
        <row r="203">
          <cell r="A203" t="str">
            <v>1952410</v>
          </cell>
          <cell r="B203" t="str">
            <v>TAPA CONTEN. ALUMINIO A-42 ( 4 PORC )</v>
          </cell>
          <cell r="C203">
            <v>70.84</v>
          </cell>
          <cell r="D203" t="str">
            <v>1 UND</v>
          </cell>
          <cell r="E203" t="str">
            <v>Und</v>
          </cell>
          <cell r="F203">
            <v>70.84</v>
          </cell>
        </row>
        <row r="204">
          <cell r="A204" t="str">
            <v>1952432</v>
          </cell>
          <cell r="B204" t="str">
            <v>TAPA BAND ALUM. DESE 4040 (6 PORC)</v>
          </cell>
          <cell r="C204">
            <v>95</v>
          </cell>
          <cell r="D204" t="str">
            <v>1 UND</v>
          </cell>
        </row>
        <row r="205">
          <cell r="A205" t="str">
            <v>1952826</v>
          </cell>
          <cell r="B205" t="str">
            <v>TAPA DOMO P/VASO TRASL 16onz ( PAQ*100)</v>
          </cell>
          <cell r="C205">
            <v>21.159600000000001</v>
          </cell>
          <cell r="D205" t="str">
            <v>1 UND</v>
          </cell>
          <cell r="E205" t="str">
            <v>Und</v>
          </cell>
          <cell r="F205">
            <v>21.159600000000001</v>
          </cell>
        </row>
        <row r="206">
          <cell r="A206" t="str">
            <v>2000001</v>
          </cell>
          <cell r="B206" t="str">
            <v>SALMON AHUMADO  (PAQ=900g)</v>
          </cell>
          <cell r="C206">
            <v>21413.333333333299</v>
          </cell>
          <cell r="D206" t="str">
            <v>1000 GRAMO</v>
          </cell>
        </row>
        <row r="207">
          <cell r="A207" t="str">
            <v>2001001</v>
          </cell>
          <cell r="B207" t="str">
            <v>PEPINO ENTERO (KILO)</v>
          </cell>
          <cell r="C207">
            <v>660</v>
          </cell>
          <cell r="D207" t="str">
            <v>1000 GRAMO</v>
          </cell>
          <cell r="E207" t="str">
            <v>Gramo</v>
          </cell>
          <cell r="F207">
            <v>0.66</v>
          </cell>
        </row>
        <row r="208">
          <cell r="A208" t="str">
            <v>10100068</v>
          </cell>
          <cell r="B208" t="str">
            <v>PAPITA RALLADA ( PAQ= 1.5 k)</v>
          </cell>
          <cell r="C208">
            <v>11440</v>
          </cell>
          <cell r="D208" t="str">
            <v>1000 GRAMO</v>
          </cell>
          <cell r="E208" t="str">
            <v>Gramo</v>
          </cell>
          <cell r="F208">
            <v>11.44</v>
          </cell>
        </row>
        <row r="209">
          <cell r="A209" t="str">
            <v>10100088</v>
          </cell>
          <cell r="B209" t="str">
            <v>VINAGRE BALSAMICO TINTO (250 ML)</v>
          </cell>
          <cell r="C209">
            <v>9936</v>
          </cell>
          <cell r="D209" t="str">
            <v>1000 gramos</v>
          </cell>
          <cell r="E209" t="str">
            <v>Gramo</v>
          </cell>
          <cell r="F209">
            <v>9.9359999999999999</v>
          </cell>
        </row>
        <row r="210">
          <cell r="A210" t="str">
            <v>10100089</v>
          </cell>
          <cell r="B210" t="str">
            <v>CHILE MORRON LATA (UND=390g)**</v>
          </cell>
          <cell r="C210">
            <v>5280</v>
          </cell>
          <cell r="D210" t="str">
            <v>1000 GRAMO</v>
          </cell>
          <cell r="E210" t="str">
            <v>Gramo</v>
          </cell>
          <cell r="F210">
            <v>5.28</v>
          </cell>
        </row>
        <row r="211">
          <cell r="A211" t="str">
            <v>10100098</v>
          </cell>
          <cell r="B211" t="str">
            <v>SAL REFINADA ( PAQ=500g)</v>
          </cell>
          <cell r="C211">
            <v>850</v>
          </cell>
          <cell r="D211" t="str">
            <v>1000 GRAMO</v>
          </cell>
          <cell r="E211" t="str">
            <v>Gramo</v>
          </cell>
          <cell r="F211">
            <v>0.85</v>
          </cell>
        </row>
        <row r="212">
          <cell r="A212" t="str">
            <v>10100103</v>
          </cell>
          <cell r="B212" t="str">
            <v>ACEITE EXTRA VIRGEN FILIPPO(UND=250 ml</v>
          </cell>
          <cell r="C212">
            <v>6836</v>
          </cell>
          <cell r="D212" t="str">
            <v>1000 MILIL</v>
          </cell>
          <cell r="E212" t="str">
            <v>Mililitro</v>
          </cell>
          <cell r="F212">
            <v>6.8360000000000003</v>
          </cell>
        </row>
        <row r="213">
          <cell r="A213" t="str">
            <v>10100107</v>
          </cell>
          <cell r="B213" t="str">
            <v>TORTILLA (PAQ= 50 UND)</v>
          </cell>
          <cell r="C213">
            <v>23.1</v>
          </cell>
          <cell r="D213" t="str">
            <v>1 Uds.</v>
          </cell>
          <cell r="E213" t="str">
            <v>Und</v>
          </cell>
          <cell r="F213">
            <v>23.1</v>
          </cell>
        </row>
        <row r="214">
          <cell r="A214" t="str">
            <v>10100108</v>
          </cell>
          <cell r="B214" t="str">
            <v>EQUAL SUCRALOSA (CAJA=2000/UND)</v>
          </cell>
          <cell r="C214">
            <v>6.5702199999999999</v>
          </cell>
          <cell r="D214" t="str">
            <v>1 UND</v>
          </cell>
        </row>
        <row r="215">
          <cell r="A215" t="str">
            <v>10100116</v>
          </cell>
          <cell r="B215" t="str">
            <v>ACEITUNA VERDE C/PIMIENTO (UND=180g)</v>
          </cell>
          <cell r="C215">
            <v>5454.2</v>
          </cell>
          <cell r="D215" t="str">
            <v>1000 GRAMO</v>
          </cell>
          <cell r="E215" t="str">
            <v>Gramo</v>
          </cell>
          <cell r="F215">
            <v>5.4542000000000002</v>
          </cell>
        </row>
        <row r="216">
          <cell r="A216" t="str">
            <v>10100130</v>
          </cell>
          <cell r="B216" t="str">
            <v>CREMA AVELLANAS NUTELLA 750g</v>
          </cell>
          <cell r="C216">
            <v>7725.3333333333303</v>
          </cell>
          <cell r="D216" t="str">
            <v>1000 gramos</v>
          </cell>
          <cell r="E216" t="str">
            <v>Gramo</v>
          </cell>
          <cell r="F216">
            <v>7.7253333333333307</v>
          </cell>
        </row>
        <row r="217">
          <cell r="A217" t="str">
            <v>10100131</v>
          </cell>
          <cell r="B217" t="str">
            <v xml:space="preserve">PAN TOAST ARTESANAL BRUCHETAS </v>
          </cell>
          <cell r="C217">
            <v>126.91249999999999</v>
          </cell>
          <cell r="D217" t="str">
            <v>1 Uds.</v>
          </cell>
        </row>
        <row r="218">
          <cell r="A218" t="str">
            <v>10100145</v>
          </cell>
          <cell r="B218" t="str">
            <v>JALEA DE GUAYABA (PAQ =200 g)</v>
          </cell>
          <cell r="C218">
            <v>3025</v>
          </cell>
          <cell r="D218" t="str">
            <v>1000 gramos</v>
          </cell>
        </row>
        <row r="219">
          <cell r="A219" t="str">
            <v>10100254</v>
          </cell>
          <cell r="B219" t="str">
            <v>GRANOLA SIN PASAS (PAQ:500 G)</v>
          </cell>
          <cell r="C219">
            <v>3993</v>
          </cell>
          <cell r="D219" t="str">
            <v>1000 gramos</v>
          </cell>
        </row>
        <row r="220">
          <cell r="A220" t="str">
            <v>10200012</v>
          </cell>
          <cell r="B220" t="str">
            <v>TE CHAI ESPECIES (PAQ=800 g)</v>
          </cell>
          <cell r="C220">
            <v>6756.75</v>
          </cell>
          <cell r="D220" t="str">
            <v>1000 GRAMO</v>
          </cell>
        </row>
        <row r="221">
          <cell r="A221" t="str">
            <v>10200022</v>
          </cell>
          <cell r="B221" t="str">
            <v>TE PALACIO ROYAL"ARANDANO" (PAQ =12 UND)</v>
          </cell>
          <cell r="C221">
            <v>196.35</v>
          </cell>
          <cell r="D221" t="str">
            <v>1 Uds.</v>
          </cell>
        </row>
        <row r="222">
          <cell r="A222" t="str">
            <v>10200023</v>
          </cell>
          <cell r="B222" t="str">
            <v>TE ON THE BEACH "VERDE" (PAQ=12 UND)</v>
          </cell>
          <cell r="C222">
            <v>187</v>
          </cell>
          <cell r="D222" t="str">
            <v>1 Uds.</v>
          </cell>
        </row>
        <row r="223">
          <cell r="A223" t="str">
            <v>10200024</v>
          </cell>
          <cell r="B223" t="str">
            <v>TE MENTA DEGESTIVA (PAQ=12 UND)</v>
          </cell>
          <cell r="C223">
            <v>196.35</v>
          </cell>
          <cell r="D223" t="str">
            <v>1 Uds.</v>
          </cell>
        </row>
        <row r="224">
          <cell r="A224" t="str">
            <v>10200025</v>
          </cell>
          <cell r="B224" t="str">
            <v>TE SPICY CHAI (PAQ=12 UND)</v>
          </cell>
          <cell r="C224">
            <v>196.35</v>
          </cell>
          <cell r="D224" t="str">
            <v>1 Uds.</v>
          </cell>
        </row>
        <row r="225">
          <cell r="A225" t="str">
            <v>10200026</v>
          </cell>
          <cell r="B225" t="str">
            <v>TE BED TIME "MANZANILLA" (PAQ=12 UND)</v>
          </cell>
          <cell r="C225">
            <v>196.35</v>
          </cell>
          <cell r="D225" t="str">
            <v>1 Uds.</v>
          </cell>
        </row>
        <row r="226">
          <cell r="A226" t="str">
            <v>10200027</v>
          </cell>
          <cell r="B226" t="str">
            <v>TE GINGER FRESH (PAQ=12 UND)</v>
          </cell>
          <cell r="C226">
            <v>196.35</v>
          </cell>
          <cell r="D226" t="str">
            <v>1 Uds.</v>
          </cell>
        </row>
        <row r="227">
          <cell r="A227" t="str">
            <v>10200028</v>
          </cell>
          <cell r="B227" t="str">
            <v>TE MAGIC TEA "AZUL" (PAQ=12 UND)</v>
          </cell>
          <cell r="C227">
            <v>196.35</v>
          </cell>
          <cell r="D227" t="str">
            <v>1 Uds.</v>
          </cell>
        </row>
        <row r="228">
          <cell r="A228" t="str">
            <v>10200029</v>
          </cell>
          <cell r="B228" t="str">
            <v>LECHE SABORIZADA FRAPPE MIX (paq= 1 kilo</v>
          </cell>
          <cell r="C228">
            <v>6050</v>
          </cell>
          <cell r="D228" t="str">
            <v>1000 gramos</v>
          </cell>
          <cell r="E228" t="str">
            <v>Gramo</v>
          </cell>
          <cell r="F228">
            <v>6.05</v>
          </cell>
        </row>
        <row r="229">
          <cell r="A229" t="str">
            <v>10300008</v>
          </cell>
          <cell r="B229" t="str">
            <v>JAMON PAVO LIGHT (PAQ=500 G)</v>
          </cell>
          <cell r="C229">
            <v>5775</v>
          </cell>
          <cell r="D229" t="str">
            <v>1000 GRAMO</v>
          </cell>
        </row>
        <row r="230">
          <cell r="A230" t="str">
            <v>10300019</v>
          </cell>
          <cell r="B230" t="str">
            <v>TOCINETA (PAQ= 2 KILOS)</v>
          </cell>
          <cell r="C230">
            <v>5557.45</v>
          </cell>
          <cell r="D230" t="str">
            <v>1000 GRAMO</v>
          </cell>
          <cell r="E230" t="str">
            <v>Gramo</v>
          </cell>
          <cell r="F230">
            <v>5.5574500000000002</v>
          </cell>
        </row>
        <row r="231">
          <cell r="A231" t="str">
            <v>10300035</v>
          </cell>
          <cell r="B231" t="str">
            <v>JAMON COCIDO DELIKA GI (PAQ:250 G)</v>
          </cell>
          <cell r="C231">
            <v>4019.04</v>
          </cell>
          <cell r="D231" t="str">
            <v>1000 gramos</v>
          </cell>
          <cell r="E231" t="str">
            <v>Gramo</v>
          </cell>
          <cell r="F231">
            <v>4.0190400000000004</v>
          </cell>
        </row>
        <row r="232">
          <cell r="A232" t="str">
            <v>10300038</v>
          </cell>
          <cell r="B232" t="str">
            <v>ROAF BEEF REBANADO (PAQ:1 K)</v>
          </cell>
          <cell r="C232">
            <v>5775</v>
          </cell>
          <cell r="D232" t="str">
            <v>1000 gramos</v>
          </cell>
        </row>
        <row r="233">
          <cell r="A233" t="str">
            <v>10300039</v>
          </cell>
          <cell r="B233" t="str">
            <v>FILET TRUCHA PORCIONES (KILO)</v>
          </cell>
          <cell r="C233">
            <v>6809</v>
          </cell>
          <cell r="D233" t="str">
            <v>1000 gramos</v>
          </cell>
          <cell r="E233" t="str">
            <v>Gramo</v>
          </cell>
          <cell r="F233">
            <v>6.8090000000000002</v>
          </cell>
        </row>
        <row r="234">
          <cell r="A234" t="str">
            <v>10300041</v>
          </cell>
          <cell r="B234" t="str">
            <v>JAMON DE PAVO LIGHT (PAQ:250 G)</v>
          </cell>
          <cell r="C234">
            <v>2968</v>
          </cell>
          <cell r="D234" t="str">
            <v>1000 GRAMOS</v>
          </cell>
        </row>
        <row r="235">
          <cell r="A235" t="str">
            <v>10700003</v>
          </cell>
          <cell r="B235" t="str">
            <v>SALSA CHOCOLATE LYONS (KILO)</v>
          </cell>
          <cell r="C235">
            <v>4262.1145374449297</v>
          </cell>
          <cell r="D235" t="str">
            <v>1000 GRAMO</v>
          </cell>
        </row>
        <row r="236">
          <cell r="A236" t="str">
            <v>10700013</v>
          </cell>
          <cell r="B236" t="str">
            <v>STICK DORADO (CAJA= 100 UND)</v>
          </cell>
          <cell r="C236">
            <v>64.218000000000004</v>
          </cell>
          <cell r="D236" t="str">
            <v>1 UND</v>
          </cell>
        </row>
        <row r="237">
          <cell r="A237" t="str">
            <v>10700026</v>
          </cell>
          <cell r="B237" t="str">
            <v>PLACA DE FONDANT (PAQ = 10 UND)</v>
          </cell>
          <cell r="C237">
            <v>77</v>
          </cell>
          <cell r="D237" t="str">
            <v>1 Uds.</v>
          </cell>
        </row>
        <row r="238">
          <cell r="A238" t="str">
            <v>10700033</v>
          </cell>
          <cell r="B238" t="str">
            <v>CHOCOLATE KIT KAT (CAJA:24 UND)</v>
          </cell>
          <cell r="C238">
            <v>437.61666666666702</v>
          </cell>
          <cell r="D238" t="str">
            <v>1 UND</v>
          </cell>
        </row>
        <row r="239">
          <cell r="A239" t="str">
            <v>10700035</v>
          </cell>
          <cell r="B239" t="str">
            <v>DOYPACK FUDGE (PAQ:650 G)</v>
          </cell>
          <cell r="C239">
            <v>4398.3076923076896</v>
          </cell>
          <cell r="D239" t="str">
            <v>1000 gramos</v>
          </cell>
          <cell r="E239" t="str">
            <v>Gramo</v>
          </cell>
          <cell r="F239">
            <v>4.3983076923076894</v>
          </cell>
        </row>
        <row r="240">
          <cell r="A240" t="str">
            <v>10900005</v>
          </cell>
          <cell r="B240" t="str">
            <v>MENTA EN RAMAS ( PAQ=100g)</v>
          </cell>
          <cell r="C240">
            <v>5781.3</v>
          </cell>
          <cell r="D240" t="str">
            <v>1000 GRAMOS</v>
          </cell>
        </row>
        <row r="241">
          <cell r="A241" t="str">
            <v>10900006</v>
          </cell>
          <cell r="B241" t="str">
            <v>SANDIA CONG INPAK (KILO)</v>
          </cell>
          <cell r="C241">
            <v>1762.666665</v>
          </cell>
          <cell r="D241" t="str">
            <v>1000 GRAMO</v>
          </cell>
        </row>
        <row r="242">
          <cell r="A242" t="str">
            <v>10900007</v>
          </cell>
          <cell r="B242" t="str">
            <v>MORA CONG INPAK (KILO)</v>
          </cell>
          <cell r="C242">
            <v>3315.3846153846198</v>
          </cell>
          <cell r="D242" t="str">
            <v>1000 GRAMO</v>
          </cell>
        </row>
        <row r="243">
          <cell r="A243" t="str">
            <v>10900009</v>
          </cell>
          <cell r="B243" t="str">
            <v>GUANABANA CONG INPANK (KILO)</v>
          </cell>
          <cell r="C243">
            <v>2991.7460266666699</v>
          </cell>
          <cell r="D243" t="str">
            <v>1000 GRAMO</v>
          </cell>
        </row>
        <row r="244">
          <cell r="A244" t="str">
            <v>10900010</v>
          </cell>
          <cell r="B244" t="str">
            <v>PIÑA CONGELADA INPAK (KILO)</v>
          </cell>
          <cell r="C244">
            <v>1522.6973687499999</v>
          </cell>
          <cell r="D244" t="str">
            <v>1000 GRAMO</v>
          </cell>
        </row>
        <row r="245">
          <cell r="A245" t="str">
            <v>10900011</v>
          </cell>
          <cell r="B245" t="str">
            <v>PAPAYA CONG INPAK (KILO)</v>
          </cell>
          <cell r="C245">
            <v>1403.9473625000001</v>
          </cell>
          <cell r="D245" t="str">
            <v>1000 GRAMO</v>
          </cell>
        </row>
        <row r="246">
          <cell r="A246" t="str">
            <v>10900012</v>
          </cell>
          <cell r="B246" t="str">
            <v>MANGO CONG INPAK (KILO)</v>
          </cell>
          <cell r="C246">
            <v>3061.6666660000001</v>
          </cell>
          <cell r="D246" t="str">
            <v>1000 GRAMO</v>
          </cell>
        </row>
        <row r="247">
          <cell r="A247" t="str">
            <v>10900029</v>
          </cell>
          <cell r="B247" t="str">
            <v>ZANAHORIA TIRAS (PAQ=500g)</v>
          </cell>
          <cell r="C247">
            <v>941.6</v>
          </cell>
          <cell r="D247" t="str">
            <v>1000 GRAMO</v>
          </cell>
          <cell r="E247" t="str">
            <v>Gramo</v>
          </cell>
          <cell r="F247">
            <v>0.94159999999999999</v>
          </cell>
        </row>
        <row r="248">
          <cell r="A248" t="str">
            <v>10900032</v>
          </cell>
          <cell r="B248" t="str">
            <v>FRESAS ENTERA BURBUJA(UND=300g)</v>
          </cell>
          <cell r="C248">
            <v>3208.3333333333298</v>
          </cell>
          <cell r="D248" t="str">
            <v>1000 GRAMO</v>
          </cell>
          <cell r="E248" t="str">
            <v>Gramo</v>
          </cell>
          <cell r="F248">
            <v>3.2083333333333299</v>
          </cell>
        </row>
        <row r="249">
          <cell r="A249" t="str">
            <v>10900034</v>
          </cell>
          <cell r="B249" t="str">
            <v>ALBAHACA  (PAQ=100g)</v>
          </cell>
          <cell r="C249">
            <v>5621</v>
          </cell>
          <cell r="D249" t="str">
            <v>1000 GRAMO</v>
          </cell>
          <cell r="E249" t="str">
            <v>Gramo</v>
          </cell>
          <cell r="F249">
            <v>5.6210000000000004</v>
          </cell>
        </row>
        <row r="250">
          <cell r="A250" t="str">
            <v>10900036</v>
          </cell>
          <cell r="B250" t="str">
            <v>LECHUGA AMERICANA ENTERA (PAQ=500g)</v>
          </cell>
          <cell r="C250">
            <v>2257.1999999999998</v>
          </cell>
          <cell r="D250" t="str">
            <v>1000 gramos</v>
          </cell>
          <cell r="E250" t="str">
            <v>Gramo</v>
          </cell>
          <cell r="F250">
            <v>2.2571999999999997</v>
          </cell>
        </row>
        <row r="251">
          <cell r="A251" t="str">
            <v>10900040</v>
          </cell>
          <cell r="B251" t="str">
            <v>PEREJIL (PAQ=32g)</v>
          </cell>
          <cell r="C251">
            <v>10587.5</v>
          </cell>
          <cell r="D251" t="str">
            <v>1000 GRAMO</v>
          </cell>
          <cell r="E251" t="str">
            <v>Gramo</v>
          </cell>
          <cell r="F251">
            <v>10.5875</v>
          </cell>
        </row>
        <row r="252">
          <cell r="A252" t="str">
            <v>10900041</v>
          </cell>
          <cell r="B252" t="str">
            <v>REPOLLO MORADO RALLADO (PAQ=250g)</v>
          </cell>
          <cell r="C252">
            <v>1917.68</v>
          </cell>
          <cell r="D252" t="str">
            <v>1000 GRAMO</v>
          </cell>
          <cell r="E252" t="str">
            <v>Gramo</v>
          </cell>
          <cell r="F252">
            <v>1.9176800000000001</v>
          </cell>
        </row>
        <row r="253">
          <cell r="A253" t="str">
            <v>10900042</v>
          </cell>
          <cell r="B253" t="str">
            <v>HIERBA BUENA (PAQ=100g)</v>
          </cell>
          <cell r="C253">
            <v>9791.5</v>
          </cell>
          <cell r="D253" t="str">
            <v>1000 GRAMO</v>
          </cell>
          <cell r="E253" t="str">
            <v>Gramo</v>
          </cell>
          <cell r="F253">
            <v>9.7914999999999992</v>
          </cell>
        </row>
        <row r="254">
          <cell r="A254" t="str">
            <v>10900043</v>
          </cell>
          <cell r="B254" t="str">
            <v>TOMATE CHERRY (PAQ=200g)</v>
          </cell>
          <cell r="C254">
            <v>2475</v>
          </cell>
          <cell r="D254" t="str">
            <v>1000 gramos</v>
          </cell>
          <cell r="E254" t="str">
            <v>Gramo</v>
          </cell>
          <cell r="F254">
            <v>2.4750000000000001</v>
          </cell>
        </row>
        <row r="255">
          <cell r="A255" t="str">
            <v>10900047</v>
          </cell>
          <cell r="B255" t="str">
            <v>ALFALFA  BOLSA (BURBUJA 150g)</v>
          </cell>
          <cell r="C255">
            <v>5500</v>
          </cell>
          <cell r="D255" t="str">
            <v>1000 GRAMO</v>
          </cell>
        </row>
        <row r="256">
          <cell r="A256" t="str">
            <v>10900051</v>
          </cell>
          <cell r="B256" t="str">
            <v>AGUACATE KILO</v>
          </cell>
          <cell r="C256">
            <v>2420</v>
          </cell>
          <cell r="D256" t="str">
            <v>1000 GRAMOS</v>
          </cell>
          <cell r="E256" t="str">
            <v>Und</v>
          </cell>
          <cell r="F256">
            <v>513.04000000000008</v>
          </cell>
        </row>
        <row r="257">
          <cell r="A257" t="str">
            <v>10900057</v>
          </cell>
          <cell r="B257" t="str">
            <v>ZUQUINI MINI (PAQ=200g)L</v>
          </cell>
          <cell r="C257">
            <v>2200</v>
          </cell>
          <cell r="D257" t="str">
            <v>1000 gramos</v>
          </cell>
        </row>
        <row r="258">
          <cell r="A258" t="str">
            <v>10900059</v>
          </cell>
          <cell r="B258" t="str">
            <v>RABANO (KILO)</v>
          </cell>
          <cell r="C258">
            <v>1263.9000000000001</v>
          </cell>
          <cell r="D258" t="str">
            <v>1000 GRAMOS</v>
          </cell>
          <cell r="E258" t="str">
            <v>Gramo</v>
          </cell>
          <cell r="F258">
            <v>1.2639</v>
          </cell>
        </row>
        <row r="259">
          <cell r="A259" t="str">
            <v>10900061</v>
          </cell>
          <cell r="B259" t="str">
            <v xml:space="preserve">MARACUYA CONGELADA INK PACK </v>
          </cell>
          <cell r="C259">
            <v>3393.3333280000002</v>
          </cell>
          <cell r="D259" t="str">
            <v>1000 gramos</v>
          </cell>
        </row>
        <row r="260">
          <cell r="A260" t="str">
            <v>11100006</v>
          </cell>
          <cell r="B260" t="str">
            <v>MANTEQUILLA BLISTER 7g (CAJA=120 UND)</v>
          </cell>
          <cell r="C260">
            <v>73.002333333333297</v>
          </cell>
          <cell r="D260" t="str">
            <v>1 UND</v>
          </cell>
        </row>
        <row r="261">
          <cell r="A261" t="str">
            <v>11200005</v>
          </cell>
          <cell r="B261" t="str">
            <v>PAN BAGUETTINO (PAQ=20 UND)</v>
          </cell>
          <cell r="C261">
            <v>132</v>
          </cell>
          <cell r="D261" t="str">
            <v>1 UND</v>
          </cell>
        </row>
        <row r="262">
          <cell r="A262" t="str">
            <v>11200019</v>
          </cell>
          <cell r="B262" t="str">
            <v>PAN MINI BAGUET ( PAQ=5 UND)</v>
          </cell>
          <cell r="C262">
            <v>209</v>
          </cell>
          <cell r="D262" t="str">
            <v>1 UND</v>
          </cell>
          <cell r="E262" t="str">
            <v>Und</v>
          </cell>
          <cell r="F262">
            <v>209</v>
          </cell>
        </row>
        <row r="263">
          <cell r="A263" t="str">
            <v>11200041</v>
          </cell>
          <cell r="B263" t="str">
            <v>CONCHA PIZZA (PAQ =5UND)</v>
          </cell>
          <cell r="C263">
            <v>185.9</v>
          </cell>
          <cell r="D263" t="str">
            <v>1 UND</v>
          </cell>
        </row>
        <row r="264">
          <cell r="A264" t="str">
            <v>11200058</v>
          </cell>
          <cell r="B264" t="str">
            <v>PAN ARABE BLANCO 15 cm ( PAQ= 5 UND)</v>
          </cell>
          <cell r="C264">
            <v>200.2</v>
          </cell>
          <cell r="D264" t="str">
            <v>1 Uds.</v>
          </cell>
          <cell r="E264" t="str">
            <v>Und</v>
          </cell>
          <cell r="F264">
            <v>200.2</v>
          </cell>
        </row>
        <row r="265">
          <cell r="A265" t="str">
            <v>11200063</v>
          </cell>
          <cell r="B265" t="str">
            <v>PAN CIABATTA 16 CM (PAQ:10 UND)</v>
          </cell>
          <cell r="C265">
            <v>242</v>
          </cell>
          <cell r="D265" t="str">
            <v>1 Uds.</v>
          </cell>
        </row>
        <row r="266">
          <cell r="A266" t="str">
            <v>11300005</v>
          </cell>
          <cell r="B266" t="str">
            <v>HUEVOS EN CARTON (CARTON=30 UND)</v>
          </cell>
          <cell r="C266">
            <v>84.3333333333333</v>
          </cell>
          <cell r="D266" t="str">
            <v>1 UND</v>
          </cell>
          <cell r="E266" t="str">
            <v>Und</v>
          </cell>
          <cell r="F266">
            <v>84.3333333333333</v>
          </cell>
        </row>
        <row r="267">
          <cell r="A267" t="str">
            <v>11300009</v>
          </cell>
          <cell r="B267" t="str">
            <v>CLARA DE HUEVO (CAJA:5000 g)</v>
          </cell>
          <cell r="C267">
            <v>2035</v>
          </cell>
          <cell r="D267" t="str">
            <v>1000 gramos</v>
          </cell>
        </row>
        <row r="268">
          <cell r="A268" t="str">
            <v>11300010</v>
          </cell>
          <cell r="B268" t="str">
            <v>HUEVO DURO (PAQ:4 UND)</v>
          </cell>
          <cell r="C268">
            <v>187</v>
          </cell>
          <cell r="D268" t="str">
            <v>1 UND</v>
          </cell>
          <cell r="E268" t="str">
            <v>Und</v>
          </cell>
          <cell r="F268">
            <v>187</v>
          </cell>
        </row>
        <row r="269">
          <cell r="A269" t="str">
            <v>11400015</v>
          </cell>
          <cell r="B269" t="str">
            <v>QUESO GOUDA (PAQ=160g)</v>
          </cell>
          <cell r="C269">
            <v>11332.5</v>
          </cell>
          <cell r="D269" t="str">
            <v>1000 GRAMO</v>
          </cell>
        </row>
        <row r="270">
          <cell r="A270" t="str">
            <v>11400031</v>
          </cell>
          <cell r="B270" t="str">
            <v>CREMA PRESTIGE GRAND (UND=4 K)</v>
          </cell>
          <cell r="C270">
            <v>1756.25</v>
          </cell>
          <cell r="D270" t="str">
            <v>1000 mililitros</v>
          </cell>
        </row>
        <row r="271">
          <cell r="A271" t="str">
            <v>11400036</v>
          </cell>
          <cell r="B271" t="str">
            <v>QUESO FETA (PAQ=200g)</v>
          </cell>
          <cell r="C271">
            <v>16175</v>
          </cell>
          <cell r="D271" t="str">
            <v>1000 gramos</v>
          </cell>
          <cell r="E271" t="str">
            <v>Gramo</v>
          </cell>
          <cell r="F271">
            <v>16.175000000000001</v>
          </cell>
        </row>
        <row r="272">
          <cell r="A272" t="str">
            <v>11400038</v>
          </cell>
          <cell r="B272" t="str">
            <v>LECHE COND COCINADA (CAJA=18.9 k)</v>
          </cell>
          <cell r="C272">
            <v>2525.4603174603199</v>
          </cell>
          <cell r="D272" t="str">
            <v>1000 GRAMO</v>
          </cell>
          <cell r="E272" t="str">
            <v>Gramo</v>
          </cell>
          <cell r="F272">
            <v>2.5254603174603201</v>
          </cell>
        </row>
        <row r="273">
          <cell r="A273" t="str">
            <v>11400051</v>
          </cell>
          <cell r="B273" t="str">
            <v>CREMA PRESTIGE GRAND (1000 GRAMOS)</v>
          </cell>
          <cell r="C273">
            <v>2186.71</v>
          </cell>
          <cell r="D273" t="str">
            <v>1000 gramos</v>
          </cell>
          <cell r="E273" t="str">
            <v>Gramo</v>
          </cell>
          <cell r="F273">
            <v>2.1867100000000002</v>
          </cell>
        </row>
        <row r="274">
          <cell r="A274" t="str">
            <v>11900027</v>
          </cell>
          <cell r="B274" t="str">
            <v>SEMILLA DE MARAÑON (PAQ:1 kilo)</v>
          </cell>
          <cell r="C274">
            <v>10500</v>
          </cell>
          <cell r="D274" t="str">
            <v>1000 gramos</v>
          </cell>
          <cell r="E274" t="str">
            <v>Gramo</v>
          </cell>
          <cell r="F274">
            <v>10.5</v>
          </cell>
        </row>
        <row r="275">
          <cell r="A275" t="str">
            <v>12300005</v>
          </cell>
          <cell r="B275" t="str">
            <v>SALSA AJI AMARILLO 160 GR (CAJA =12 UND)</v>
          </cell>
          <cell r="C275">
            <v>1153.57</v>
          </cell>
          <cell r="D275" t="str">
            <v>1 UND</v>
          </cell>
        </row>
        <row r="276">
          <cell r="A276" t="str">
            <v>20100003</v>
          </cell>
          <cell r="B276" t="str">
            <v>ADEREZO CULANTRO (KILO)</v>
          </cell>
          <cell r="C276">
            <v>2979.1666666666702</v>
          </cell>
          <cell r="D276" t="str">
            <v>1000 GRAMOS</v>
          </cell>
          <cell r="E276" t="str">
            <v>Gramo</v>
          </cell>
          <cell r="F276">
            <v>2.9791666666666701</v>
          </cell>
        </row>
        <row r="277">
          <cell r="A277" t="str">
            <v>20100018</v>
          </cell>
          <cell r="B277" t="str">
            <v>PICADILLO DE PLATANO CON CHORIZO ( KILO)</v>
          </cell>
          <cell r="C277">
            <v>3218.75</v>
          </cell>
          <cell r="D277" t="str">
            <v>1000 GRAMOS</v>
          </cell>
        </row>
        <row r="278">
          <cell r="A278" t="str">
            <v>20100053</v>
          </cell>
          <cell r="B278" t="str">
            <v>CREMA DE AYOTE ( BOLSA = 200g)</v>
          </cell>
          <cell r="C278">
            <v>1765</v>
          </cell>
          <cell r="D278" t="str">
            <v>1000 GRAMOS</v>
          </cell>
        </row>
        <row r="279">
          <cell r="A279" t="str">
            <v>20100056</v>
          </cell>
          <cell r="B279" t="str">
            <v xml:space="preserve">PECHUGA RELLENA JAMON Y QUESO C/SALSA </v>
          </cell>
          <cell r="C279">
            <v>6163.3333333333303</v>
          </cell>
          <cell r="D279" t="str">
            <v>1000 GRAMOS</v>
          </cell>
        </row>
        <row r="280">
          <cell r="A280" t="str">
            <v>20100058</v>
          </cell>
          <cell r="B280" t="str">
            <v>ADEREZO ALCAPARRAS Y ANCHOAS (BOLSA=240g</v>
          </cell>
          <cell r="C280">
            <v>4716.6666666666697</v>
          </cell>
          <cell r="D280" t="str">
            <v>1000 gramos</v>
          </cell>
        </row>
        <row r="281">
          <cell r="A281" t="str">
            <v>20100059</v>
          </cell>
          <cell r="B281" t="str">
            <v>POLLO DESMENUZADO (PAQ=160g)</v>
          </cell>
          <cell r="C281">
            <v>5468.75</v>
          </cell>
          <cell r="D281" t="str">
            <v>1000 gramos</v>
          </cell>
          <cell r="E281" t="str">
            <v>Gramo</v>
          </cell>
          <cell r="F281">
            <v>5.46875</v>
          </cell>
        </row>
        <row r="282">
          <cell r="A282" t="str">
            <v>20100060</v>
          </cell>
          <cell r="B282" t="str">
            <v>QUESO PARMESANO ( BOLSA= 150g)</v>
          </cell>
          <cell r="C282">
            <v>12966.666666666701</v>
          </cell>
          <cell r="D282" t="str">
            <v>1000 GRAMOS</v>
          </cell>
        </row>
        <row r="283">
          <cell r="A283" t="str">
            <v>20100061</v>
          </cell>
          <cell r="B283" t="str">
            <v>SALSA LIMON Y ALCAPARRAS (BOLSA = 120g)</v>
          </cell>
          <cell r="C283">
            <v>3133.3333333333298</v>
          </cell>
          <cell r="D283" t="str">
            <v>1000 GRAMOS</v>
          </cell>
        </row>
        <row r="284">
          <cell r="A284" t="str">
            <v>20100062</v>
          </cell>
          <cell r="B284" t="str">
            <v>CHAOMING ( BOLSA= 30g)</v>
          </cell>
          <cell r="C284">
            <v>7366.6666666666697</v>
          </cell>
          <cell r="D284" t="str">
            <v>1000 GRAMOS</v>
          </cell>
        </row>
        <row r="285">
          <cell r="A285" t="str">
            <v>20100063</v>
          </cell>
          <cell r="B285" t="str">
            <v>QUINOA BLANCA (BOLSA=100g)</v>
          </cell>
          <cell r="C285">
            <v>3660</v>
          </cell>
          <cell r="D285" t="str">
            <v>1000 GRAMOS</v>
          </cell>
          <cell r="E285" t="str">
            <v>Gramo</v>
          </cell>
          <cell r="F285">
            <v>3.66</v>
          </cell>
        </row>
        <row r="286">
          <cell r="A286" t="str">
            <v>20100064</v>
          </cell>
          <cell r="B286" t="str">
            <v>FRIJOLES NEGROS CASADITO (BOLSA=520g)</v>
          </cell>
          <cell r="C286">
            <v>819.23076923076906</v>
          </cell>
          <cell r="D286" t="str">
            <v>1000 GRAMOS</v>
          </cell>
          <cell r="E286" t="str">
            <v>Gramo</v>
          </cell>
          <cell r="F286">
            <v>0.8192307692307691</v>
          </cell>
        </row>
        <row r="287">
          <cell r="A287" t="str">
            <v>20100065</v>
          </cell>
          <cell r="B287" t="str">
            <v>MADUROS EN MIEL (BOLSA=400g)</v>
          </cell>
          <cell r="C287">
            <v>1230</v>
          </cell>
          <cell r="D287" t="str">
            <v>1000 GRAMOS</v>
          </cell>
        </row>
        <row r="288">
          <cell r="A288" t="str">
            <v>20100066</v>
          </cell>
          <cell r="B288" t="str">
            <v>ARROZ C/POLLO (Bolsa: 550 g)</v>
          </cell>
          <cell r="C288">
            <v>2368.2909090909102</v>
          </cell>
          <cell r="D288" t="str">
            <v>1000 gramos</v>
          </cell>
        </row>
        <row r="289">
          <cell r="A289" t="str">
            <v>20100077</v>
          </cell>
          <cell r="B289" t="str">
            <v>TARTA DE ALMENDRA (CAJA 4 UND)</v>
          </cell>
          <cell r="C289">
            <v>428.5</v>
          </cell>
          <cell r="D289" t="str">
            <v>1 Uds.</v>
          </cell>
        </row>
        <row r="290">
          <cell r="A290" t="str">
            <v>20100079</v>
          </cell>
          <cell r="B290" t="str">
            <v xml:space="preserve">PECHUGA PARRILLA CRUDA (1 UNIDAD) </v>
          </cell>
          <cell r="C290">
            <v>644</v>
          </cell>
          <cell r="D290" t="str">
            <v>1 Uds.</v>
          </cell>
          <cell r="E290" t="str">
            <v>Und</v>
          </cell>
          <cell r="F290">
            <v>644</v>
          </cell>
        </row>
        <row r="291">
          <cell r="A291" t="str">
            <v>20100094</v>
          </cell>
          <cell r="B291" t="str">
            <v>EMPAQUE FIDEO ORIENTAL 100g</v>
          </cell>
          <cell r="C291">
            <v>2730</v>
          </cell>
          <cell r="D291" t="str">
            <v>1000 gramos</v>
          </cell>
        </row>
        <row r="292">
          <cell r="A292" t="str">
            <v>20100095</v>
          </cell>
          <cell r="B292" t="str">
            <v>EMPAQUE SOPA ORIENTAL 300g</v>
          </cell>
          <cell r="C292">
            <v>1126.6666666666699</v>
          </cell>
          <cell r="D292" t="str">
            <v>1000 gramos</v>
          </cell>
        </row>
        <row r="293">
          <cell r="A293" t="str">
            <v>20100098</v>
          </cell>
          <cell r="B293" t="str">
            <v>SALSA DE  NARANJA (BOLSA= 100g )</v>
          </cell>
          <cell r="C293">
            <v>3370</v>
          </cell>
          <cell r="D293" t="str">
            <v>1000 GRAMOS</v>
          </cell>
        </row>
        <row r="294">
          <cell r="A294" t="str">
            <v>20100100</v>
          </cell>
          <cell r="B294" t="str">
            <v xml:space="preserve">CANELONES RELLENOS DE POLLO Y ESPINACA </v>
          </cell>
          <cell r="C294">
            <v>1099.1666666666699</v>
          </cell>
          <cell r="D294" t="str">
            <v>1 PORCION</v>
          </cell>
          <cell r="E294" t="str">
            <v>Porcion</v>
          </cell>
          <cell r="F294">
            <v>1099.1666666666699</v>
          </cell>
        </row>
        <row r="295">
          <cell r="A295" t="str">
            <v>20100105</v>
          </cell>
          <cell r="B295" t="str">
            <v>ADEREZO ROSADO (BOLSA=1000g)</v>
          </cell>
          <cell r="C295">
            <v>1270</v>
          </cell>
          <cell r="D295" t="str">
            <v>1000 gramos</v>
          </cell>
        </row>
        <row r="296">
          <cell r="A296" t="str">
            <v>20100106</v>
          </cell>
          <cell r="B296" t="str">
            <v>MAYONESA SPOON (BOLSA=1000g)</v>
          </cell>
          <cell r="C296">
            <v>1457</v>
          </cell>
          <cell r="D296" t="str">
            <v>1000 gramos</v>
          </cell>
          <cell r="E296" t="str">
            <v>Gramo</v>
          </cell>
          <cell r="F296">
            <v>1.4570000000000001</v>
          </cell>
        </row>
        <row r="297">
          <cell r="A297" t="str">
            <v>20100111</v>
          </cell>
          <cell r="B297" t="str">
            <v>EMPAQUE SALSA DE CULANTRO ( BOLSA 200 g)</v>
          </cell>
          <cell r="C297">
            <v>2680</v>
          </cell>
          <cell r="D297" t="str">
            <v>1000 GRAMOS</v>
          </cell>
          <cell r="E297" t="str">
            <v>Gramo</v>
          </cell>
          <cell r="F297">
            <v>2.68</v>
          </cell>
        </row>
        <row r="298">
          <cell r="A298" t="str">
            <v xml:space="preserve">20100113 </v>
          </cell>
          <cell r="B298" t="str">
            <v xml:space="preserve">EMPAQUE CREMA GARBANZOS ( BOLSA 200 g) </v>
          </cell>
          <cell r="C298">
            <v>2360</v>
          </cell>
          <cell r="D298" t="str">
            <v>1000 GRAMOS</v>
          </cell>
        </row>
        <row r="299">
          <cell r="A299" t="str">
            <v>20100135</v>
          </cell>
          <cell r="B299" t="str">
            <v>SALSA MANGO HABANERO (BOLSA=100 G)</v>
          </cell>
          <cell r="C299">
            <v>4460.7</v>
          </cell>
          <cell r="D299" t="str">
            <v>1000 gramos</v>
          </cell>
        </row>
        <row r="300">
          <cell r="A300" t="str">
            <v>20100136</v>
          </cell>
          <cell r="B300" t="str">
            <v>ARROZ PARA SUSHI (BOLSA=450 G)</v>
          </cell>
          <cell r="C300">
            <v>1486.2888888888899</v>
          </cell>
          <cell r="D300" t="str">
            <v>1000 gramos</v>
          </cell>
        </row>
        <row r="301">
          <cell r="A301" t="str">
            <v>20100137</v>
          </cell>
          <cell r="B301" t="str">
            <v>ADEREZO ORIENTAL (BOLSA=240 G)</v>
          </cell>
          <cell r="C301">
            <v>5014.3333333333303</v>
          </cell>
          <cell r="D301" t="str">
            <v>1000 gramos</v>
          </cell>
        </row>
        <row r="302">
          <cell r="A302" t="str">
            <v>20100138</v>
          </cell>
          <cell r="B302" t="str">
            <v>RELLENO POLLO ENCHILAD MEX. (Bls=180g)</v>
          </cell>
          <cell r="C302">
            <v>4755.5555555555602</v>
          </cell>
          <cell r="D302" t="str">
            <v>1000 gramos</v>
          </cell>
        </row>
        <row r="303">
          <cell r="A303" t="str">
            <v>20100139</v>
          </cell>
          <cell r="B303" t="str">
            <v>SALSA ROJA MEXICA (BOLSA =240 g)</v>
          </cell>
          <cell r="C303">
            <v>1959.7083333333301</v>
          </cell>
          <cell r="D303" t="str">
            <v>1000 gramos</v>
          </cell>
          <cell r="E303" t="str">
            <v>Gramo</v>
          </cell>
          <cell r="F303">
            <v>1.9597083333333301</v>
          </cell>
        </row>
        <row r="304">
          <cell r="A304" t="str">
            <v>20200036</v>
          </cell>
          <cell r="B304" t="str">
            <v>GALLETA PARA DECORAR MENU INFANTIL</v>
          </cell>
          <cell r="C304">
            <v>687.5</v>
          </cell>
          <cell r="D304" t="str">
            <v>1 UND</v>
          </cell>
        </row>
        <row r="305">
          <cell r="A305" t="str">
            <v>20200056</v>
          </cell>
          <cell r="B305" t="str">
            <v>TORTA MITAD Y MITAD</v>
          </cell>
          <cell r="C305">
            <v>6293</v>
          </cell>
          <cell r="D305" t="str">
            <v>1 Uds.</v>
          </cell>
        </row>
        <row r="306">
          <cell r="A306" t="str">
            <v>20200059</v>
          </cell>
          <cell r="B306" t="str">
            <v xml:space="preserve">BROWNIE DE CHOCOMENTA  </v>
          </cell>
          <cell r="C306">
            <v>392.66666666666703</v>
          </cell>
          <cell r="D306" t="str">
            <v>1 UND</v>
          </cell>
        </row>
        <row r="307">
          <cell r="A307" t="str">
            <v>20200060</v>
          </cell>
          <cell r="B307" t="str">
            <v>BROWNIE BLONDIE</v>
          </cell>
          <cell r="C307">
            <v>359</v>
          </cell>
          <cell r="D307" t="str">
            <v>1 UND</v>
          </cell>
        </row>
        <row r="308">
          <cell r="A308" t="str">
            <v>20200063</v>
          </cell>
          <cell r="B308" t="str">
            <v>TORTA KALUA DIA DEL PADRE</v>
          </cell>
          <cell r="C308">
            <v>6790</v>
          </cell>
          <cell r="D308" t="str">
            <v>1 Uds.</v>
          </cell>
        </row>
        <row r="309">
          <cell r="A309" t="str">
            <v>20300006</v>
          </cell>
          <cell r="B309" t="str">
            <v>FROSTING DE QUESO</v>
          </cell>
          <cell r="C309">
            <v>4280</v>
          </cell>
          <cell r="D309" t="str">
            <v>1000 GRAMOS</v>
          </cell>
        </row>
        <row r="310">
          <cell r="A310" t="str">
            <v>20300007</v>
          </cell>
          <cell r="B310" t="str">
            <v>CUCHARA DE CHOCOLATE BELGA (CAJ=20 und</v>
          </cell>
          <cell r="C310">
            <v>715</v>
          </cell>
          <cell r="D310" t="str">
            <v>1 Uds.</v>
          </cell>
        </row>
        <row r="311">
          <cell r="A311" t="str">
            <v>20400007</v>
          </cell>
          <cell r="B311" t="str">
            <v>SOMBRERO DE PALMITO ( UND )</v>
          </cell>
          <cell r="C311">
            <v>201</v>
          </cell>
          <cell r="D311" t="str">
            <v>1 UND</v>
          </cell>
        </row>
        <row r="312">
          <cell r="A312" t="str">
            <v>20400009</v>
          </cell>
          <cell r="B312" t="str">
            <v>CANASTA P/TARTALETA UND</v>
          </cell>
          <cell r="C312">
            <v>136.75</v>
          </cell>
          <cell r="D312" t="str">
            <v>1 UND</v>
          </cell>
        </row>
        <row r="313">
          <cell r="A313" t="str">
            <v>20400018</v>
          </cell>
          <cell r="B313" t="str">
            <v>QUEQUE SECO ZANAHORIA PORCIONADO UND.</v>
          </cell>
          <cell r="C313">
            <v>669.5</v>
          </cell>
          <cell r="D313" t="str">
            <v>1 UND</v>
          </cell>
        </row>
        <row r="314">
          <cell r="A314" t="str">
            <v>20400020</v>
          </cell>
          <cell r="B314" t="str">
            <v>GALLETA TORTA CHILENA PEQUEÑA 14 CM</v>
          </cell>
          <cell r="C314">
            <v>1240</v>
          </cell>
          <cell r="D314" t="str">
            <v>1 UND</v>
          </cell>
        </row>
        <row r="315">
          <cell r="A315" t="str">
            <v>20400022</v>
          </cell>
          <cell r="B315" t="str">
            <v>CAJETA GRANDE (CAJA=6 UND)</v>
          </cell>
          <cell r="C315">
            <v>335.5</v>
          </cell>
          <cell r="D315" t="str">
            <v>1 UND</v>
          </cell>
        </row>
        <row r="316">
          <cell r="A316" t="str">
            <v>20400025</v>
          </cell>
          <cell r="B316" t="str">
            <v>ENCHILADA PAPA Y CARNE (CAJA= 4 UND)</v>
          </cell>
          <cell r="C316">
            <v>248.75</v>
          </cell>
          <cell r="D316" t="str">
            <v>1 UND</v>
          </cell>
        </row>
        <row r="317">
          <cell r="A317" t="str">
            <v>20400041</v>
          </cell>
          <cell r="B317" t="str">
            <v xml:space="preserve">EMPANADA POLLO Y HONGOS REINGEN EMPAQ </v>
          </cell>
          <cell r="C317">
            <v>354.5</v>
          </cell>
          <cell r="D317" t="str">
            <v>1 Uds.</v>
          </cell>
        </row>
        <row r="318">
          <cell r="A318" t="str">
            <v>20400051</v>
          </cell>
          <cell r="B318" t="str">
            <v>CROCANTE DE NUEZ (CAJA:6 UND)L</v>
          </cell>
          <cell r="C318">
            <v>643.5</v>
          </cell>
          <cell r="D318" t="str">
            <v>1 Uds.</v>
          </cell>
        </row>
        <row r="319">
          <cell r="A319" t="str">
            <v>20400052</v>
          </cell>
          <cell r="B319" t="str">
            <v>GALLETAS MEDIA LUNA (UNIDAD)</v>
          </cell>
          <cell r="C319">
            <v>1230</v>
          </cell>
          <cell r="D319" t="str">
            <v>1 UND</v>
          </cell>
        </row>
        <row r="320">
          <cell r="A320" t="str">
            <v>20400053</v>
          </cell>
          <cell r="B320" t="str">
            <v>OREJITAS DULCES (UNIDAD)</v>
          </cell>
          <cell r="C320">
            <v>592</v>
          </cell>
          <cell r="D320" t="str">
            <v>1 UND</v>
          </cell>
        </row>
        <row r="321">
          <cell r="A321" t="str">
            <v>20400054</v>
          </cell>
          <cell r="B321" t="str">
            <v>PALITOS DE QUESO (UNIDAD)</v>
          </cell>
          <cell r="C321">
            <v>1084</v>
          </cell>
          <cell r="D321" t="str">
            <v>1 UND</v>
          </cell>
        </row>
        <row r="322">
          <cell r="A322" t="str">
            <v>20400105</v>
          </cell>
          <cell r="B322" t="str">
            <v>GALLETA ALFAJOR FLOR CHOCOLATE (CJ:42 U)</v>
          </cell>
          <cell r="C322">
            <v>27.952380952380999</v>
          </cell>
          <cell r="D322" t="str">
            <v>1 UND</v>
          </cell>
        </row>
        <row r="323">
          <cell r="A323" t="str">
            <v>20400106</v>
          </cell>
          <cell r="B323" t="str">
            <v>GALLETA ALFAJOR FLOR (CAJA:42 UND)</v>
          </cell>
          <cell r="C323">
            <v>26.119047619047599</v>
          </cell>
          <cell r="D323" t="str">
            <v>1 UND</v>
          </cell>
        </row>
        <row r="324">
          <cell r="A324" t="str">
            <v>20400140</v>
          </cell>
          <cell r="B324" t="str">
            <v>PAÑUELO JAMON Y QUESO PAST FROL (CJ=6 U)</v>
          </cell>
          <cell r="C324">
            <v>285.5</v>
          </cell>
          <cell r="D324" t="str">
            <v>1 Uds.</v>
          </cell>
        </row>
        <row r="325">
          <cell r="A325" t="str">
            <v>20400143</v>
          </cell>
          <cell r="B325" t="str">
            <v>CIRCULOS CHILENA CHOCO (Paq=8 und)</v>
          </cell>
          <cell r="C325">
            <v>607.38</v>
          </cell>
          <cell r="D325" t="str">
            <v>1 Paq</v>
          </cell>
        </row>
        <row r="326">
          <cell r="A326" t="str">
            <v>20500006</v>
          </cell>
          <cell r="B326" t="str">
            <v>ARROLLADO LECHE COND PEQ (UND)</v>
          </cell>
          <cell r="C326">
            <v>155</v>
          </cell>
          <cell r="D326" t="str">
            <v>1 UND</v>
          </cell>
        </row>
        <row r="327">
          <cell r="A327" t="str">
            <v>20500009</v>
          </cell>
          <cell r="B327" t="str">
            <v>BROWNIE DE CHOCOLATE  RECT. (CAJA:6 UND)</v>
          </cell>
          <cell r="C327">
            <v>430</v>
          </cell>
          <cell r="D327" t="str">
            <v>1 UND</v>
          </cell>
        </row>
        <row r="328">
          <cell r="A328" t="str">
            <v>20500012</v>
          </cell>
          <cell r="B328" t="str">
            <v>MEZCLA PARA TRES LECHES 1200 ML</v>
          </cell>
          <cell r="C328">
            <v>1763.75</v>
          </cell>
          <cell r="D328" t="str">
            <v>1000 MILILITROS</v>
          </cell>
        </row>
        <row r="329">
          <cell r="A329" t="str">
            <v>20500014</v>
          </cell>
          <cell r="B329" t="str">
            <v>ROSQUETE TRES LECHES 6 PORC.</v>
          </cell>
          <cell r="C329">
            <v>206.5</v>
          </cell>
          <cell r="D329" t="str">
            <v>1 PORCION</v>
          </cell>
        </row>
        <row r="330">
          <cell r="A330" t="str">
            <v>20500015</v>
          </cell>
          <cell r="B330" t="str">
            <v>FLAN DE COCO RECTANGULAR ( 1500 GRS )</v>
          </cell>
          <cell r="C330">
            <v>3925</v>
          </cell>
          <cell r="D330" t="str">
            <v>1 UND</v>
          </cell>
        </row>
        <row r="331">
          <cell r="A331" t="str">
            <v>20500036</v>
          </cell>
          <cell r="B331" t="str">
            <v>PIONONO DE GUANABANA 821 g</v>
          </cell>
          <cell r="C331">
            <v>4065</v>
          </cell>
          <cell r="D331" t="str">
            <v>1 UND</v>
          </cell>
        </row>
        <row r="332">
          <cell r="A332" t="str">
            <v>20500037</v>
          </cell>
          <cell r="B332" t="str">
            <v>CHEESE CAKE BASE BLANCA 6 PORC</v>
          </cell>
          <cell r="C332">
            <v>3445</v>
          </cell>
          <cell r="D332" t="str">
            <v>1 UND</v>
          </cell>
        </row>
        <row r="333">
          <cell r="A333" t="str">
            <v>20500038</v>
          </cell>
          <cell r="B333" t="str">
            <v>RELLENO DE FRESA (Bolsa:360 g)</v>
          </cell>
          <cell r="C333">
            <v>3408.3333333333298</v>
          </cell>
          <cell r="D333" t="str">
            <v>1000 gramos</v>
          </cell>
        </row>
        <row r="334">
          <cell r="A334" t="str">
            <v>50100037</v>
          </cell>
          <cell r="B334" t="str">
            <v>MOLDE ALUMINIO RED 2058 (CAJA:500 UND)</v>
          </cell>
          <cell r="C334">
            <v>0.15179999999999999</v>
          </cell>
          <cell r="D334" t="str">
            <v>1 CAJA</v>
          </cell>
        </row>
        <row r="335">
          <cell r="A335" t="str">
            <v>50400014</v>
          </cell>
          <cell r="B335" t="str">
            <v>CAJA PEQUEÑA OFFICE BREAK (CAJA:625 UND)</v>
          </cell>
          <cell r="C335">
            <v>71.063701923076906</v>
          </cell>
          <cell r="D335" t="str">
            <v>1 CAJA</v>
          </cell>
          <cell r="E335" t="str">
            <v>Und</v>
          </cell>
          <cell r="F335">
            <v>71.063701923076906</v>
          </cell>
        </row>
        <row r="336">
          <cell r="A336" t="str">
            <v>50400015</v>
          </cell>
          <cell r="B336" t="str">
            <v>CAJA MEDIANA OFFICE BREAK (CAJA:400 UND)</v>
          </cell>
          <cell r="C336">
            <v>86.9</v>
          </cell>
          <cell r="D336" t="str">
            <v>1 CAJA</v>
          </cell>
          <cell r="E336" t="str">
            <v>Und</v>
          </cell>
          <cell r="F336">
            <v>86.9</v>
          </cell>
        </row>
        <row r="337">
          <cell r="A337" t="str">
            <v>50400016</v>
          </cell>
          <cell r="B337" t="str">
            <v>CAJA GRANDE OFFICE BREAK (CAJA:280 UND)</v>
          </cell>
          <cell r="C337">
            <v>113.3</v>
          </cell>
          <cell r="D337" t="str">
            <v>1 CAJA</v>
          </cell>
        </row>
        <row r="338">
          <cell r="A338" t="str">
            <v>50400017</v>
          </cell>
          <cell r="B338" t="str">
            <v>CAJA PORCION OFFICE BREAK (CAJA:950 UND)</v>
          </cell>
          <cell r="C338">
            <v>60.06</v>
          </cell>
          <cell r="D338" t="str">
            <v>1 CAJA</v>
          </cell>
        </row>
        <row r="339">
          <cell r="A339" t="str">
            <v>50500002</v>
          </cell>
          <cell r="B339" t="str">
            <v>CANDELA DIBUJOS ANIMADOS SURTIDA ESPIRAL</v>
          </cell>
          <cell r="C339">
            <v>455.4</v>
          </cell>
          <cell r="D339" t="str">
            <v>1 UND</v>
          </cell>
        </row>
        <row r="340">
          <cell r="A340" t="str">
            <v>50500003</v>
          </cell>
          <cell r="B340" t="str">
            <v>CANDELA CARITAS COLORES</v>
          </cell>
          <cell r="C340">
            <v>465.9</v>
          </cell>
          <cell r="D340" t="str">
            <v>1 UND</v>
          </cell>
        </row>
        <row r="341">
          <cell r="A341" t="str">
            <v>50500004</v>
          </cell>
          <cell r="B341" t="str">
            <v>CANDELA GLOBOS SURTIDO COLORES</v>
          </cell>
          <cell r="C341">
            <v>470.25</v>
          </cell>
          <cell r="D341" t="str">
            <v>1 UND</v>
          </cell>
        </row>
        <row r="342">
          <cell r="A342" t="str">
            <v>50500005</v>
          </cell>
          <cell r="B342" t="str">
            <v>CANDELA FELIZ CUMPLE ESCARCHA SURTIDA</v>
          </cell>
          <cell r="C342">
            <v>470.25</v>
          </cell>
          <cell r="D342" t="str">
            <v>1 UND</v>
          </cell>
        </row>
        <row r="343">
          <cell r="A343" t="str">
            <v>50700028</v>
          </cell>
          <cell r="B343" t="str">
            <v>CONTENEDOR PLAS SUFLE 1 OZ (PAQ:200 UND)</v>
          </cell>
          <cell r="C343">
            <v>6.8079000000000001</v>
          </cell>
          <cell r="D343" t="str">
            <v>1 Uds.</v>
          </cell>
          <cell r="E343" t="str">
            <v>Und</v>
          </cell>
          <cell r="F343">
            <v>6.8079000000000001</v>
          </cell>
        </row>
        <row r="344">
          <cell r="A344" t="str">
            <v>50700029</v>
          </cell>
          <cell r="B344" t="str">
            <v>CONTENEDOR SUFLE 2 ONZ (PAQ:200 UND)</v>
          </cell>
          <cell r="C344">
            <v>8.5861999999999998</v>
          </cell>
          <cell r="D344" t="str">
            <v>1 PAQUETE</v>
          </cell>
          <cell r="E344" t="str">
            <v>Und</v>
          </cell>
          <cell r="F344">
            <v>8.5861999999999998</v>
          </cell>
        </row>
        <row r="345">
          <cell r="A345" t="str">
            <v>51100018</v>
          </cell>
          <cell r="B345" t="str">
            <v>PAPEL ENCERADO 12X12 (PAQ:1000 UND)</v>
          </cell>
          <cell r="C345">
            <v>20570</v>
          </cell>
          <cell r="D345" t="str">
            <v>1 PAQUETE</v>
          </cell>
          <cell r="E345" t="str">
            <v>Und</v>
          </cell>
          <cell r="F345">
            <v>20.57</v>
          </cell>
        </row>
        <row r="346">
          <cell r="A346" t="str">
            <v>51400022</v>
          </cell>
          <cell r="B346" t="str">
            <v>BOWL FIBRA 24 ONZ COMPOST (PAQ:125 UND)</v>
          </cell>
          <cell r="C346">
            <v>127.8</v>
          </cell>
          <cell r="D346" t="str">
            <v>1 PAQUETE</v>
          </cell>
        </row>
        <row r="347">
          <cell r="A347" t="str">
            <v>51400023</v>
          </cell>
          <cell r="B347" t="str">
            <v>BOWL FIBRA 32 ONZ COMPOST (PAQ:125 UND)</v>
          </cell>
          <cell r="C347">
            <v>178.88</v>
          </cell>
          <cell r="D347" t="str">
            <v>1 PAQUETE</v>
          </cell>
          <cell r="E347" t="str">
            <v>Und</v>
          </cell>
          <cell r="F347">
            <v>178.88</v>
          </cell>
        </row>
        <row r="348">
          <cell r="A348" t="str">
            <v>51400024</v>
          </cell>
          <cell r="B348" t="str">
            <v>TAPA  BOWL 16/24/32 ONZ (PAQ:125 UND)</v>
          </cell>
          <cell r="C348">
            <v>11181</v>
          </cell>
          <cell r="D348" t="str">
            <v>1 PAQUETE</v>
          </cell>
          <cell r="E348" t="str">
            <v>Und</v>
          </cell>
          <cell r="F348">
            <v>89.447999999999993</v>
          </cell>
        </row>
        <row r="349">
          <cell r="A349" t="str">
            <v>51400026</v>
          </cell>
          <cell r="B349" t="str">
            <v>BANDEJA FIBRA 3 DIVISIONES (PAQ:50 UND)</v>
          </cell>
          <cell r="C349">
            <v>146.94</v>
          </cell>
          <cell r="D349" t="str">
            <v>1 PAQUETE</v>
          </cell>
          <cell r="E349" t="str">
            <v>Und</v>
          </cell>
          <cell r="F349">
            <v>146.94</v>
          </cell>
        </row>
        <row r="350">
          <cell r="A350" t="str">
            <v>51400027</v>
          </cell>
          <cell r="B350" t="str">
            <v>TAPA BOWL SOPA 8 ONZ (PAQ:50 UND)</v>
          </cell>
          <cell r="C350">
            <v>57.5</v>
          </cell>
          <cell r="D350" t="str">
            <v>1 PAQUETE</v>
          </cell>
          <cell r="E350" t="str">
            <v>Und</v>
          </cell>
          <cell r="F350">
            <v>57.5</v>
          </cell>
        </row>
        <row r="351">
          <cell r="A351" t="str">
            <v>51400028</v>
          </cell>
          <cell r="B351" t="str">
            <v>BOWL FIBRA SOPA 16 ONZ (PAQ:50 UND)</v>
          </cell>
          <cell r="C351">
            <v>95.82</v>
          </cell>
          <cell r="D351" t="str">
            <v>1 PAQUETE</v>
          </cell>
        </row>
        <row r="352">
          <cell r="A352" t="str">
            <v>51400029</v>
          </cell>
          <cell r="B352" t="str">
            <v>BOWL FIBRA 16 ONZ COMPOST (PAQ:125 UND)</v>
          </cell>
          <cell r="C352">
            <v>207.64</v>
          </cell>
          <cell r="D352" t="str">
            <v>1 PAQUETE</v>
          </cell>
        </row>
        <row r="353">
          <cell r="A353" t="str">
            <v>51400031</v>
          </cell>
          <cell r="B353" t="str">
            <v>TAPA FIBRA BANDEJA 3 DIV  (PAQ:50 UND)</v>
          </cell>
          <cell r="C353">
            <v>6389</v>
          </cell>
          <cell r="D353" t="str">
            <v>1 PAQUETE</v>
          </cell>
          <cell r="E353" t="str">
            <v>Und</v>
          </cell>
          <cell r="F353">
            <v>127.78</v>
          </cell>
        </row>
        <row r="354">
          <cell r="A354" t="str">
            <v>51400032</v>
          </cell>
          <cell r="B354" t="str">
            <v>BOWL FIBRA SOPA 12 ONZ (PAQ:50 UND)</v>
          </cell>
          <cell r="C354">
            <v>44.72</v>
          </cell>
          <cell r="D354" t="str">
            <v>1 PAQUETE</v>
          </cell>
        </row>
        <row r="355">
          <cell r="A355" t="str">
            <v>51400033</v>
          </cell>
          <cell r="B355" t="str">
            <v>TAPA BOWL SOPA 12/16/32 ONZ (PAQ:50 UND)</v>
          </cell>
          <cell r="C355">
            <v>89.44</v>
          </cell>
          <cell r="D355" t="str">
            <v>1 PAQUETE</v>
          </cell>
        </row>
        <row r="356">
          <cell r="A356" t="str">
            <v>51400034</v>
          </cell>
          <cell r="B356" t="str">
            <v>BOWL FIBRA SOPA 8 ONZ (PAQ:50 UND)</v>
          </cell>
          <cell r="C356">
            <v>57.5</v>
          </cell>
          <cell r="D356" t="str">
            <v>1 PAQUETE</v>
          </cell>
          <cell r="E356" t="str">
            <v>und</v>
          </cell>
          <cell r="F356">
            <v>57.5</v>
          </cell>
        </row>
        <row r="357">
          <cell r="A357" t="str">
            <v>51500012</v>
          </cell>
          <cell r="B357" t="str">
            <v>VASO BIODEGRADABLE 12 ONZ (PAQ 25 UND)</v>
          </cell>
          <cell r="C357">
            <v>58.3</v>
          </cell>
          <cell r="D357" t="str">
            <v>1 UND</v>
          </cell>
        </row>
        <row r="358">
          <cell r="A358" t="str">
            <v>51500013</v>
          </cell>
          <cell r="B358" t="str">
            <v>TAPA VASO BIO 12,16 ON (PAQ 50 UND)</v>
          </cell>
          <cell r="C358">
            <v>24.65</v>
          </cell>
          <cell r="D358" t="str">
            <v>1 UND</v>
          </cell>
        </row>
        <row r="359">
          <cell r="A359" t="str">
            <v>51500014</v>
          </cell>
          <cell r="B359" t="str">
            <v>VASO BIODEGRADABLE 8 ONZ (PAQ 25UND)</v>
          </cell>
          <cell r="C359">
            <v>44</v>
          </cell>
          <cell r="D359" t="str">
            <v>1 UND</v>
          </cell>
        </row>
        <row r="360">
          <cell r="A360" t="str">
            <v>51500015</v>
          </cell>
          <cell r="B360" t="str">
            <v>TAPA VASO BIO 8 ONZ (PAQ 50 UND)</v>
          </cell>
          <cell r="C360">
            <v>24.2</v>
          </cell>
          <cell r="D360" t="str">
            <v>1 UND</v>
          </cell>
        </row>
        <row r="361">
          <cell r="A361" t="str">
            <v>51500032</v>
          </cell>
          <cell r="B361" t="str">
            <v>TAPA SUFLE 1,5-2-2,5 (PAQ:100 UND)</v>
          </cell>
          <cell r="C361">
            <v>8.3210999999999995</v>
          </cell>
          <cell r="D361" t="str">
            <v>1 UND</v>
          </cell>
          <cell r="E361" t="str">
            <v>Und</v>
          </cell>
          <cell r="F361">
            <v>8.3210999999999995</v>
          </cell>
        </row>
        <row r="362">
          <cell r="A362" t="str">
            <v>51600026</v>
          </cell>
          <cell r="B362" t="str">
            <v>BANDEJA FIBRA 10X7.5X1.5 (PAQ=50 UND)</v>
          </cell>
          <cell r="C362">
            <v>134.34</v>
          </cell>
          <cell r="D362" t="str">
            <v>1 PAQUETE</v>
          </cell>
          <cell r="E362" t="str">
            <v>Und</v>
          </cell>
          <cell r="F362">
            <v>134.34</v>
          </cell>
        </row>
        <row r="363">
          <cell r="A363" t="str">
            <v>51600027</v>
          </cell>
          <cell r="B363" t="str">
            <v>TAPA TRANS 10X7.5X1.5 (PAQ=50 UND)</v>
          </cell>
          <cell r="C363">
            <v>201.8</v>
          </cell>
          <cell r="D363" t="str">
            <v>1 PAQUETE</v>
          </cell>
        </row>
        <row r="364">
          <cell r="A364" t="str">
            <v>101000015</v>
          </cell>
          <cell r="B364" t="str">
            <v>AZUCAR REFINADA VICTORIA ( PAQ= 1 k)</v>
          </cell>
          <cell r="C364">
            <v>760.28</v>
          </cell>
          <cell r="D364" t="str">
            <v>1000 GRAMO</v>
          </cell>
        </row>
        <row r="365">
          <cell r="A365" t="str">
            <v>102000028</v>
          </cell>
          <cell r="B365" t="str">
            <v>JUGO DE NARANJA NATU*FRUIT (GALON)</v>
          </cell>
          <cell r="C365">
            <v>803.41</v>
          </cell>
          <cell r="D365" t="str">
            <v>1000 MILILITROS</v>
          </cell>
          <cell r="E365" t="str">
            <v>Mililitro</v>
          </cell>
          <cell r="F365">
            <v>0.80340999999999996</v>
          </cell>
        </row>
        <row r="366">
          <cell r="A366" t="str">
            <v>102000035</v>
          </cell>
          <cell r="B366" t="str">
            <v>JUGO LIMON (UND=930 ml).</v>
          </cell>
          <cell r="C366">
            <v>1685.4838709677399</v>
          </cell>
          <cell r="D366" t="str">
            <v>1000 mililitros</v>
          </cell>
        </row>
        <row r="367">
          <cell r="A367" t="str">
            <v>102000041</v>
          </cell>
          <cell r="B367" t="str">
            <v>TE FRIO LIMON (PAQ: 500 G)</v>
          </cell>
          <cell r="C367">
            <v>3630</v>
          </cell>
          <cell r="D367" t="str">
            <v>1000 gramos</v>
          </cell>
        </row>
        <row r="368">
          <cell r="A368" t="str">
            <v>102000052</v>
          </cell>
          <cell r="B368" t="str">
            <v>JUGO DE NARANJA 100% NATURAL (UND)</v>
          </cell>
          <cell r="C368">
            <v>803.40750000000003</v>
          </cell>
          <cell r="D368" t="str">
            <v>1000 mililitros</v>
          </cell>
        </row>
        <row r="369">
          <cell r="A369" t="str">
            <v>103000001</v>
          </cell>
          <cell r="B369" t="str">
            <v>SALMON EN MEDALLON ( PESO=230 g)</v>
          </cell>
          <cell r="C369">
            <v>9885.65</v>
          </cell>
          <cell r="D369" t="str">
            <v>1000 GRAMOS</v>
          </cell>
          <cell r="E369" t="str">
            <v>Gramo</v>
          </cell>
          <cell r="F369">
            <v>9.88565</v>
          </cell>
        </row>
        <row r="370">
          <cell r="A370" t="str">
            <v>105000007</v>
          </cell>
          <cell r="B370" t="str">
            <v>PIMIENTA NEGRA MOLIDA (UND= 510g)</v>
          </cell>
          <cell r="C370">
            <v>15001.9607843137</v>
          </cell>
          <cell r="D370" t="str">
            <v>1000 GRAMO</v>
          </cell>
        </row>
        <row r="371">
          <cell r="A371" t="str">
            <v>105000049</v>
          </cell>
          <cell r="B371" t="str">
            <v>PIMIENTA EN SOBRES (PAQ:1000 UND)</v>
          </cell>
          <cell r="C371">
            <v>5.258</v>
          </cell>
          <cell r="D371" t="str">
            <v>1 Uds.</v>
          </cell>
        </row>
        <row r="372">
          <cell r="A372" t="str">
            <v>105000050</v>
          </cell>
          <cell r="B372" t="str">
            <v>SAL EN SOBRES (PAQ:1000 UND)</v>
          </cell>
          <cell r="C372">
            <v>5.5528000000000004</v>
          </cell>
          <cell r="D372" t="str">
            <v>1 Uds.</v>
          </cell>
        </row>
        <row r="373">
          <cell r="A373" t="str">
            <v>109000129</v>
          </cell>
          <cell r="B373" t="str">
            <v>EDAMAME (PAQ:453 G)</v>
          </cell>
          <cell r="C373">
            <v>4565.1214128035299</v>
          </cell>
          <cell r="D373" t="str">
            <v>1000 Gramos</v>
          </cell>
        </row>
        <row r="374">
          <cell r="A374" t="str">
            <v>109000130</v>
          </cell>
          <cell r="B374" t="str">
            <v>PIÑA PICADA (PAQ:500 G)</v>
          </cell>
          <cell r="C374">
            <v>1870</v>
          </cell>
          <cell r="D374" t="str">
            <v>1000 Gramos</v>
          </cell>
        </row>
        <row r="375">
          <cell r="A375" t="str">
            <v>111000028</v>
          </cell>
          <cell r="B375" t="str">
            <v>CROCANTE CHOCO Y ALMENDRA (BOLSA:3 UND)</v>
          </cell>
          <cell r="C375">
            <v>3217</v>
          </cell>
          <cell r="D375" t="str">
            <v>1 BOLSA</v>
          </cell>
        </row>
        <row r="376">
          <cell r="A376" t="str">
            <v>112000047</v>
          </cell>
          <cell r="B376" t="str">
            <v>EMPANIZADOR PANKO (PAQ: 3 K)</v>
          </cell>
          <cell r="C376">
            <v>4443.3333333333303</v>
          </cell>
          <cell r="D376" t="str">
            <v>1000 gramos</v>
          </cell>
          <cell r="E376" t="str">
            <v>Gramo</v>
          </cell>
          <cell r="F376">
            <v>4.4433333333333307</v>
          </cell>
        </row>
        <row r="377">
          <cell r="A377" t="str">
            <v>112000061</v>
          </cell>
          <cell r="B377" t="str">
            <v>PAN MUFFIN 70 g (PAQ = 6 UND)</v>
          </cell>
          <cell r="C377">
            <v>209</v>
          </cell>
          <cell r="D377" t="str">
            <v>1 Uds.</v>
          </cell>
        </row>
        <row r="378">
          <cell r="A378" t="str">
            <v>120000015</v>
          </cell>
          <cell r="B378" t="str">
            <v>PINCEL (PAQ:20 UND)</v>
          </cell>
          <cell r="C378">
            <v>75.712500000000006</v>
          </cell>
          <cell r="D378" t="str">
            <v>1 PAQUETE</v>
          </cell>
        </row>
        <row r="379">
          <cell r="A379" t="str">
            <v>120000021</v>
          </cell>
          <cell r="B379" t="str">
            <v>LATA DE GAS BUTANO BOZ ( UND)</v>
          </cell>
          <cell r="C379">
            <v>1511</v>
          </cell>
          <cell r="D379" t="str">
            <v>1 Uds.</v>
          </cell>
        </row>
        <row r="380">
          <cell r="A380" t="str">
            <v>120000027</v>
          </cell>
          <cell r="B380" t="str">
            <v>MASCARILLA TELA  (UND)</v>
          </cell>
          <cell r="C380">
            <v>1430</v>
          </cell>
          <cell r="D380" t="str">
            <v>1 UND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>
        <row r="2">
          <cell r="A2" t="str">
            <v>54</v>
          </cell>
          <cell r="B2" t="str">
            <v>DETERGENTE LIQUIDO (1 L)</v>
          </cell>
          <cell r="C2" t="str">
            <v>03/03/2020</v>
          </cell>
          <cell r="D2">
            <v>9986.67</v>
          </cell>
          <cell r="E2" t="str">
            <v>1000 mililitros</v>
          </cell>
        </row>
        <row r="3">
          <cell r="A3" t="str">
            <v>55</v>
          </cell>
          <cell r="B3" t="str">
            <v xml:space="preserve">DETERGENTE EN POLVO (CAJA=5 SOBRES) </v>
          </cell>
          <cell r="C3" t="str">
            <v>27/02/2020</v>
          </cell>
          <cell r="D3">
            <v>6160</v>
          </cell>
          <cell r="E3" t="str">
            <v>1 CAJA</v>
          </cell>
        </row>
        <row r="4">
          <cell r="A4" t="str">
            <v>4207</v>
          </cell>
          <cell r="B4" t="str">
            <v>BURBUJA PLAST DOBLE CIERRE PACTIV 6" 4/1</v>
          </cell>
          <cell r="C4" t="str">
            <v>05/03/2020</v>
          </cell>
          <cell r="D4">
            <v>55.531999999999996</v>
          </cell>
          <cell r="E4" t="str">
            <v>1 Uds.</v>
          </cell>
        </row>
        <row r="5">
          <cell r="A5" t="str">
            <v>10556</v>
          </cell>
          <cell r="B5" t="str">
            <v>SERVILLETA TORK XPRESS ADV (CAJA = 12PAQ</v>
          </cell>
          <cell r="C5" t="str">
            <v>30/11/2019</v>
          </cell>
          <cell r="D5">
            <v>976</v>
          </cell>
          <cell r="E5" t="str">
            <v>12 UND</v>
          </cell>
          <cell r="F5" t="str">
            <v>UND</v>
          </cell>
          <cell r="G5">
            <v>0.16266666666666665</v>
          </cell>
        </row>
        <row r="6">
          <cell r="A6" t="str">
            <v>20408</v>
          </cell>
          <cell r="B6" t="str">
            <v>ENVOLTURA PAPEL NORPAK 12X10</v>
          </cell>
          <cell r="C6" t="str">
            <v>03/03/2020</v>
          </cell>
          <cell r="D6">
            <v>3519</v>
          </cell>
          <cell r="E6" t="str">
            <v>1 Uds.</v>
          </cell>
        </row>
        <row r="7">
          <cell r="A7" t="str">
            <v>28517</v>
          </cell>
          <cell r="B7" t="str">
            <v xml:space="preserve">PAPEL ALUMINIO 14,5 MICRAS </v>
          </cell>
          <cell r="C7" t="str">
            <v>03/03/2020</v>
          </cell>
          <cell r="D7">
            <v>14851</v>
          </cell>
          <cell r="E7" t="str">
            <v>1 UND</v>
          </cell>
        </row>
        <row r="8">
          <cell r="A8" t="str">
            <v>37208</v>
          </cell>
          <cell r="B8" t="str">
            <v>TAPA PLAST LISA P/BAND 8/12ONZ (UND)</v>
          </cell>
          <cell r="C8" t="str">
            <v>27/02/2020</v>
          </cell>
          <cell r="D8">
            <v>32.2986111111111</v>
          </cell>
          <cell r="E8" t="str">
            <v>1 UND</v>
          </cell>
          <cell r="F8" t="str">
            <v>UND</v>
          </cell>
          <cell r="G8">
            <v>32.2986111111111</v>
          </cell>
        </row>
        <row r="9">
          <cell r="A9" t="str">
            <v>56009</v>
          </cell>
          <cell r="B9" t="str">
            <v>CANDELA MAGICA</v>
          </cell>
          <cell r="C9" t="str">
            <v>05/03/2020</v>
          </cell>
          <cell r="D9">
            <v>470.25</v>
          </cell>
          <cell r="E9" t="str">
            <v>1 UND</v>
          </cell>
        </row>
        <row r="10">
          <cell r="A10" t="str">
            <v>109210</v>
          </cell>
          <cell r="B10" t="str">
            <v>TAZON C/TAPA PLAST ROSEWAR 35onz</v>
          </cell>
          <cell r="C10" t="str">
            <v>25/01/2020</v>
          </cell>
          <cell r="D10">
            <v>175.89545454545501</v>
          </cell>
          <cell r="E10" t="str">
            <v>1 UND</v>
          </cell>
        </row>
        <row r="11">
          <cell r="A11" t="str">
            <v>109228</v>
          </cell>
          <cell r="B11" t="str">
            <v>BANDEJA PLAST NEGRA DELI 120N (252UND)</v>
          </cell>
          <cell r="C11" t="str">
            <v>03/03/2020</v>
          </cell>
          <cell r="D11">
            <v>62.3095238095</v>
          </cell>
          <cell r="E11" t="str">
            <v>1 Uds.</v>
          </cell>
          <cell r="F11" t="str">
            <v>UND</v>
          </cell>
          <cell r="G11">
            <v>62.3095238095</v>
          </cell>
        </row>
        <row r="12">
          <cell r="A12" t="str">
            <v>111229</v>
          </cell>
          <cell r="B12" t="str">
            <v>JUEGO CUBIERTOS NEGR C/SERVILLETA CJ:500</v>
          </cell>
          <cell r="C12" t="str">
            <v>04/03/2020</v>
          </cell>
          <cell r="D12">
            <v>27.606000000000002</v>
          </cell>
          <cell r="E12" t="str">
            <v>1 Uds.</v>
          </cell>
          <cell r="F12" t="str">
            <v>UND</v>
          </cell>
          <cell r="G12">
            <v>27.606000000000002</v>
          </cell>
        </row>
        <row r="13">
          <cell r="A13" t="str">
            <v>111300</v>
          </cell>
          <cell r="B13" t="str">
            <v>TENEDORES LINEA VERDE (10/100 UD)</v>
          </cell>
          <cell r="C13" t="str">
            <v>05/03/2020</v>
          </cell>
          <cell r="D13">
            <v>14.143000000000001</v>
          </cell>
          <cell r="E13" t="str">
            <v>1 UND</v>
          </cell>
          <cell r="F13" t="str">
            <v>UND</v>
          </cell>
          <cell r="G13">
            <v>14.143000000000001</v>
          </cell>
        </row>
        <row r="14">
          <cell r="A14" t="str">
            <v>111301</v>
          </cell>
          <cell r="B14" t="str">
            <v>CUCHILLOS LINEA VERDE (10/100 UD)</v>
          </cell>
          <cell r="C14" t="str">
            <v>05/03/2020</v>
          </cell>
          <cell r="D14">
            <v>13.682</v>
          </cell>
          <cell r="E14" t="str">
            <v>1 UND</v>
          </cell>
          <cell r="F14" t="str">
            <v>UND</v>
          </cell>
          <cell r="G14">
            <v>13.682</v>
          </cell>
        </row>
        <row r="15">
          <cell r="A15" t="str">
            <v>111302</v>
          </cell>
          <cell r="B15" t="str">
            <v>CUCHARA LINEA VERDE (10/100 UD)</v>
          </cell>
          <cell r="C15" t="str">
            <v>05/03/2020</v>
          </cell>
          <cell r="D15">
            <v>14.962999999999999</v>
          </cell>
          <cell r="E15" t="str">
            <v>1 UND</v>
          </cell>
          <cell r="F15" t="str">
            <v>UND</v>
          </cell>
          <cell r="G15">
            <v>14.962999999999999</v>
          </cell>
        </row>
        <row r="16">
          <cell r="A16" t="str">
            <v>120206</v>
          </cell>
          <cell r="B16" t="str">
            <v xml:space="preserve">BANDEJA PLAST NEGRA 3 DIV PACTIV </v>
          </cell>
          <cell r="C16" t="str">
            <v>31/01/2020</v>
          </cell>
          <cell r="D16">
            <v>114.648</v>
          </cell>
          <cell r="E16" t="str">
            <v>1 UND</v>
          </cell>
        </row>
        <row r="17">
          <cell r="A17" t="str">
            <v>290603</v>
          </cell>
          <cell r="B17" t="str">
            <v xml:space="preserve">PLASTICO AUTOADHERIBLE REYNOLDS </v>
          </cell>
          <cell r="C17" t="str">
            <v>05/03/2020</v>
          </cell>
          <cell r="D17">
            <v>6901</v>
          </cell>
          <cell r="E17" t="str">
            <v>1 ROLLO</v>
          </cell>
          <cell r="F17" t="str">
            <v>Cm</v>
          </cell>
          <cell r="G17">
            <v>0.34505000000000002</v>
          </cell>
        </row>
        <row r="18">
          <cell r="A18" t="str">
            <v>330604</v>
          </cell>
          <cell r="B18" t="str">
            <v>REMOVEDOR MADERA 14CM 1/1000</v>
          </cell>
          <cell r="C18" t="str">
            <v>03/03/2020</v>
          </cell>
          <cell r="D18">
            <v>3.1</v>
          </cell>
          <cell r="E18" t="str">
            <v>1 Uds.</v>
          </cell>
          <cell r="F18" t="str">
            <v>UND</v>
          </cell>
          <cell r="G18">
            <v>3.1</v>
          </cell>
        </row>
        <row r="19">
          <cell r="A19" t="str">
            <v>360212</v>
          </cell>
          <cell r="B19" t="str">
            <v>TAPA PLAST LISA P/BAND  8/12 OZ (UND)</v>
          </cell>
          <cell r="C19" t="str">
            <v>03/03/2020</v>
          </cell>
          <cell r="D19">
            <v>53.785714285714299</v>
          </cell>
          <cell r="E19" t="str">
            <v>1 UND</v>
          </cell>
        </row>
        <row r="20">
          <cell r="A20" t="str">
            <v>385224</v>
          </cell>
          <cell r="B20" t="str">
            <v>TAPA PLASTICA SOUFLE 5.5 OZ ( UND)</v>
          </cell>
          <cell r="C20" t="str">
            <v>07/11/2019</v>
          </cell>
          <cell r="D20">
            <v>9.75</v>
          </cell>
          <cell r="E20" t="str">
            <v>1 UND</v>
          </cell>
          <cell r="F20" t="str">
            <v>UND</v>
          </cell>
          <cell r="G20">
            <v>9.75</v>
          </cell>
        </row>
        <row r="21">
          <cell r="A21" t="str">
            <v>499206</v>
          </cell>
          <cell r="B21" t="str">
            <v>DELANTAL PLAST. DESECHABBLE CAJ 1/100 UD</v>
          </cell>
          <cell r="C21" t="str">
            <v>02/03/2020</v>
          </cell>
          <cell r="D21">
            <v>35.58</v>
          </cell>
          <cell r="E21" t="str">
            <v>1 Uds.</v>
          </cell>
        </row>
        <row r="22">
          <cell r="A22" t="str">
            <v>499601</v>
          </cell>
          <cell r="B22" t="str">
            <v>PALILLOS DE DIENTES 1/800</v>
          </cell>
          <cell r="C22" t="str">
            <v>29/02/2020</v>
          </cell>
          <cell r="D22">
            <v>4.4999999999999998E-2</v>
          </cell>
          <cell r="E22" t="str">
            <v>1 UND</v>
          </cell>
        </row>
        <row r="23">
          <cell r="A23" t="str">
            <v>506201</v>
          </cell>
          <cell r="B23" t="str">
            <v xml:space="preserve">BURBUJA # 5 (CAJA:3/125UND) </v>
          </cell>
          <cell r="C23" t="str">
            <v>05/03/2020</v>
          </cell>
          <cell r="D23">
            <v>48.506666666666703</v>
          </cell>
          <cell r="E23" t="str">
            <v>1 Uds.</v>
          </cell>
          <cell r="F23" t="str">
            <v>UND</v>
          </cell>
          <cell r="G23">
            <v>48.506666666666703</v>
          </cell>
        </row>
        <row r="24">
          <cell r="A24" t="str">
            <v>526612</v>
          </cell>
          <cell r="B24" t="str">
            <v>PAJILLA BIO FLEXIBLE C/FORRO ECOSUN</v>
          </cell>
          <cell r="C24" t="str">
            <v>05/03/2020</v>
          </cell>
          <cell r="D24">
            <v>7.24</v>
          </cell>
          <cell r="E24" t="str">
            <v>1 UND</v>
          </cell>
          <cell r="F24" t="str">
            <v>UND</v>
          </cell>
          <cell r="G24">
            <v>7.24</v>
          </cell>
        </row>
        <row r="25">
          <cell r="A25" t="str">
            <v>618224</v>
          </cell>
          <cell r="B25" t="str">
            <v>TAPA PARA VASO 16 OZ. COCA COLA</v>
          </cell>
          <cell r="C25" t="str">
            <v>05/03/2020</v>
          </cell>
          <cell r="D25">
            <v>3.4070999999999998</v>
          </cell>
          <cell r="E25" t="str">
            <v>1 Uds.</v>
          </cell>
        </row>
        <row r="26">
          <cell r="A26" t="str">
            <v>0702053</v>
          </cell>
          <cell r="B26" t="str">
            <v>STICKER REDONDO AMARILLO</v>
          </cell>
          <cell r="C26" t="str">
            <v>05/03/2020</v>
          </cell>
          <cell r="D26">
            <v>801</v>
          </cell>
          <cell r="E26" t="str">
            <v>1 ROLLO</v>
          </cell>
        </row>
        <row r="27">
          <cell r="A27" t="str">
            <v>0702054</v>
          </cell>
          <cell r="B27" t="str">
            <v>STICKER REDONDE BLANCO</v>
          </cell>
          <cell r="C27" t="str">
            <v>05/03/2020</v>
          </cell>
          <cell r="D27">
            <v>800.53</v>
          </cell>
          <cell r="E27" t="str">
            <v>1 ROLLO</v>
          </cell>
        </row>
        <row r="28">
          <cell r="A28" t="str">
            <v>0702056</v>
          </cell>
          <cell r="B28" t="str">
            <v>STICKER REDONDO CELESTE</v>
          </cell>
          <cell r="C28" t="str">
            <v>05/03/2020</v>
          </cell>
          <cell r="D28">
            <v>806</v>
          </cell>
          <cell r="E28" t="str">
            <v>1 UND</v>
          </cell>
        </row>
        <row r="29">
          <cell r="A29" t="str">
            <v>0702057</v>
          </cell>
          <cell r="B29" t="str">
            <v>STICKER REDONDO NARANJA</v>
          </cell>
          <cell r="C29" t="str">
            <v>05/03/2020</v>
          </cell>
          <cell r="D29">
            <v>801.95</v>
          </cell>
          <cell r="E29" t="str">
            <v>1 ROLLO</v>
          </cell>
        </row>
        <row r="30">
          <cell r="A30" t="str">
            <v>0702058</v>
          </cell>
          <cell r="B30" t="str">
            <v>STICKER REDONDO ROJO</v>
          </cell>
          <cell r="C30" t="str">
            <v>16/12/2019</v>
          </cell>
          <cell r="D30">
            <v>200</v>
          </cell>
          <cell r="E30" t="str">
            <v>1 UND</v>
          </cell>
        </row>
        <row r="31">
          <cell r="A31" t="str">
            <v>0702059</v>
          </cell>
          <cell r="B31" t="str">
            <v>STICKER REDONDO ROSADO</v>
          </cell>
          <cell r="C31" t="str">
            <v>05/03/2020</v>
          </cell>
          <cell r="D31">
            <v>807.12</v>
          </cell>
          <cell r="E31" t="str">
            <v>1 UND</v>
          </cell>
        </row>
        <row r="32">
          <cell r="A32" t="str">
            <v>0702060</v>
          </cell>
          <cell r="B32" t="str">
            <v>STICKER REDONDO VERDE</v>
          </cell>
          <cell r="C32" t="str">
            <v>05/03/2020</v>
          </cell>
          <cell r="D32">
            <v>802.59</v>
          </cell>
          <cell r="E32" t="str">
            <v>1 UND</v>
          </cell>
        </row>
        <row r="33">
          <cell r="A33" t="str">
            <v>0702072</v>
          </cell>
          <cell r="B33" t="str">
            <v>ETIQ. BLANCA 3X3 (ROLLO 2000 UND)</v>
          </cell>
          <cell r="C33" t="str">
            <v>04/03/2020</v>
          </cell>
          <cell r="D33">
            <v>1</v>
          </cell>
          <cell r="E33" t="str">
            <v>1 UND</v>
          </cell>
        </row>
        <row r="34">
          <cell r="A34" t="str">
            <v>0702119</v>
          </cell>
          <cell r="B34" t="str">
            <v>STICKER REDONDO CAFE</v>
          </cell>
          <cell r="C34" t="str">
            <v>05/03/2020</v>
          </cell>
          <cell r="D34">
            <v>798</v>
          </cell>
          <cell r="E34" t="str">
            <v>1 UND</v>
          </cell>
        </row>
        <row r="35">
          <cell r="A35" t="str">
            <v>0702155</v>
          </cell>
          <cell r="B35" t="str">
            <v>ETIQUETA BLANCA VENCE ROLLO 1000</v>
          </cell>
          <cell r="C35" t="str">
            <v>05/03/2020</v>
          </cell>
          <cell r="D35">
            <v>1.24</v>
          </cell>
          <cell r="E35" t="str">
            <v>1 UND</v>
          </cell>
          <cell r="F35" t="str">
            <v>UND</v>
          </cell>
          <cell r="G35">
            <v>1.24</v>
          </cell>
        </row>
        <row r="36">
          <cell r="A36" t="str">
            <v>702174</v>
          </cell>
          <cell r="B36" t="str">
            <v>ETIQUETA SELLO SEGURIDAD ROLLO 1000</v>
          </cell>
          <cell r="C36" t="str">
            <v>18/02/2020</v>
          </cell>
          <cell r="D36">
            <v>7140</v>
          </cell>
          <cell r="E36" t="str">
            <v>1 UND</v>
          </cell>
        </row>
        <row r="37">
          <cell r="A37" t="str">
            <v>702175</v>
          </cell>
          <cell r="B37" t="str">
            <v>ETIQUETA IMP.SPOON.GRD. V-272 DOMO</v>
          </cell>
          <cell r="C37" t="str">
            <v>05/03/2020</v>
          </cell>
          <cell r="D37">
            <v>30.25</v>
          </cell>
          <cell r="E37" t="str">
            <v>1 UND</v>
          </cell>
        </row>
        <row r="38">
          <cell r="A38" t="str">
            <v>0703204</v>
          </cell>
          <cell r="B38" t="str">
            <v>TARJETA SPOONER PVC</v>
          </cell>
          <cell r="C38" t="str">
            <v>05/03/2020</v>
          </cell>
          <cell r="D38">
            <v>102.2</v>
          </cell>
          <cell r="E38" t="str">
            <v>1 UND</v>
          </cell>
        </row>
        <row r="39">
          <cell r="A39" t="str">
            <v>703205</v>
          </cell>
          <cell r="B39" t="str">
            <v>BROCHURE P/TARJETAS SPOONERS</v>
          </cell>
          <cell r="C39" t="str">
            <v>05/03/2020</v>
          </cell>
          <cell r="D39">
            <v>57</v>
          </cell>
          <cell r="E39" t="str">
            <v>1 UND</v>
          </cell>
        </row>
        <row r="40">
          <cell r="A40" t="str">
            <v>900711</v>
          </cell>
          <cell r="B40" t="str">
            <v>FILTRO P/GRASA 10" CONICO</v>
          </cell>
          <cell r="C40" t="str">
            <v>04/03/2020</v>
          </cell>
          <cell r="D40">
            <v>72.819999999999993</v>
          </cell>
          <cell r="E40" t="str">
            <v>1 UND</v>
          </cell>
        </row>
        <row r="41">
          <cell r="A41" t="str">
            <v>0906226</v>
          </cell>
          <cell r="B41" t="str">
            <v xml:space="preserve">TERMOMETRO COOPER MANUAL </v>
          </cell>
          <cell r="C41" t="str">
            <v>11/02/2020</v>
          </cell>
          <cell r="D41">
            <v>16311</v>
          </cell>
          <cell r="E41" t="str">
            <v>1 UND</v>
          </cell>
        </row>
        <row r="42">
          <cell r="A42" t="str">
            <v>906288</v>
          </cell>
          <cell r="B42" t="str">
            <v xml:space="preserve">CILINDRO CHANTILLY CAJA 10 (UND) </v>
          </cell>
          <cell r="C42" t="str">
            <v>05/03/2020</v>
          </cell>
          <cell r="D42">
            <v>312</v>
          </cell>
          <cell r="E42" t="str">
            <v>1 UND</v>
          </cell>
        </row>
        <row r="43">
          <cell r="A43" t="str">
            <v>915201</v>
          </cell>
          <cell r="B43" t="str">
            <v>TAPA PLASTICA  C/D 3 DIV.PACTI (250 UND)</v>
          </cell>
          <cell r="C43" t="str">
            <v>25/02/2020</v>
          </cell>
          <cell r="D43">
            <v>90.968000000000004</v>
          </cell>
          <cell r="E43" t="str">
            <v>1 UND</v>
          </cell>
        </row>
        <row r="44">
          <cell r="A44" t="str">
            <v>915621</v>
          </cell>
          <cell r="B44" t="str">
            <v>BOLSA PAPEL EMPAREDADO</v>
          </cell>
          <cell r="C44" t="str">
            <v>05/03/2020</v>
          </cell>
          <cell r="D44">
            <v>52.335999999999999</v>
          </cell>
          <cell r="E44" t="str">
            <v>1 UND</v>
          </cell>
          <cell r="F44" t="str">
            <v>UND</v>
          </cell>
          <cell r="G44">
            <v>52.335999999999999</v>
          </cell>
        </row>
        <row r="45">
          <cell r="A45" t="str">
            <v>915640</v>
          </cell>
          <cell r="B45" t="str">
            <v>SERVILLETA NATURAL P/CAFÉ TORK 12/500 UN</v>
          </cell>
          <cell r="C45" t="str">
            <v>05/03/2020</v>
          </cell>
          <cell r="D45">
            <v>818.91666666666697</v>
          </cell>
          <cell r="E45" t="str">
            <v>1 UND</v>
          </cell>
        </row>
        <row r="46">
          <cell r="A46" t="str">
            <v>915660</v>
          </cell>
          <cell r="B46" t="str">
            <v>BOLSA KRAFT SPOON 4 LB 1/1000</v>
          </cell>
          <cell r="C46" t="str">
            <v>04/03/2020</v>
          </cell>
          <cell r="D46">
            <v>10.552</v>
          </cell>
          <cell r="E46" t="str">
            <v>1 Uds.</v>
          </cell>
        </row>
        <row r="47">
          <cell r="A47" t="str">
            <v>915665</v>
          </cell>
          <cell r="B47" t="str">
            <v>BOLSA KRAFT PEQUEÑA 12 LB ( PAQ:500 UND)</v>
          </cell>
          <cell r="C47" t="str">
            <v>05/03/2020</v>
          </cell>
          <cell r="D47">
            <v>18.626000000000001</v>
          </cell>
          <cell r="E47" t="str">
            <v>1 Uds.</v>
          </cell>
          <cell r="F47" t="str">
            <v>UND</v>
          </cell>
        </row>
        <row r="48">
          <cell r="A48" t="str">
            <v>915666</v>
          </cell>
          <cell r="B48" t="str">
            <v>BOLSA KRAFT MEDIANA ( PAQ: 250 UND)</v>
          </cell>
          <cell r="C48" t="str">
            <v>05/03/2020</v>
          </cell>
          <cell r="D48">
            <v>41.804000000000002</v>
          </cell>
          <cell r="E48" t="str">
            <v>1 Uds.</v>
          </cell>
        </row>
        <row r="49">
          <cell r="A49" t="str">
            <v>991866</v>
          </cell>
          <cell r="B49" t="str">
            <v>VASO 12on COCA COLA 50 UND X TIRA</v>
          </cell>
          <cell r="C49" t="str">
            <v>05/03/2020</v>
          </cell>
          <cell r="D49">
            <v>7.7964000000000002</v>
          </cell>
          <cell r="E49" t="str">
            <v>1 UND</v>
          </cell>
        </row>
        <row r="50">
          <cell r="A50" t="str">
            <v>991867</v>
          </cell>
          <cell r="B50" t="str">
            <v>VASO 16 on COCA COLA 50 UND X TIRA</v>
          </cell>
          <cell r="C50" t="str">
            <v>05/03/2020</v>
          </cell>
          <cell r="D50">
            <v>10.1858</v>
          </cell>
          <cell r="E50" t="str">
            <v>1 UND</v>
          </cell>
        </row>
        <row r="51">
          <cell r="A51" t="str">
            <v>991926</v>
          </cell>
          <cell r="B51" t="str">
            <v>TAPAS 12 on COCA COLA</v>
          </cell>
          <cell r="C51" t="str">
            <v>05/03/2020</v>
          </cell>
          <cell r="D51">
            <v>7.0796999999999999</v>
          </cell>
          <cell r="E51" t="str">
            <v>1 Uds.</v>
          </cell>
        </row>
        <row r="52">
          <cell r="A52" t="str">
            <v>1003006</v>
          </cell>
          <cell r="B52" t="str">
            <v>CUBREBOCAS DESECHABLES CAJA 100UD</v>
          </cell>
          <cell r="C52" t="str">
            <v>29/02/2020</v>
          </cell>
          <cell r="D52">
            <v>19.079999999999998</v>
          </cell>
          <cell r="E52" t="str">
            <v>1 UND</v>
          </cell>
        </row>
        <row r="53">
          <cell r="A53" t="str">
            <v>1840640</v>
          </cell>
          <cell r="B53" t="str">
            <v>BOLSAS TRANSP EXTRAGRANDE 37x55 (KILO)</v>
          </cell>
          <cell r="C53" t="str">
            <v>05/03/2020</v>
          </cell>
          <cell r="D53">
            <v>1130</v>
          </cell>
          <cell r="E53" t="str">
            <v>1000 gramos</v>
          </cell>
        </row>
        <row r="54">
          <cell r="A54" t="str">
            <v>1840675</v>
          </cell>
          <cell r="B54" t="str">
            <v>BOLSA DE BASURA NEGRA ( KILO )</v>
          </cell>
          <cell r="C54" t="str">
            <v>29/02/2020</v>
          </cell>
          <cell r="D54">
            <v>1130</v>
          </cell>
          <cell r="E54" t="str">
            <v>1000 gramos</v>
          </cell>
        </row>
        <row r="55">
          <cell r="A55" t="str">
            <v>1840689</v>
          </cell>
          <cell r="B55" t="str">
            <v>SERVILLETA TORK W7T (CAJA = 12 PAQ)</v>
          </cell>
          <cell r="C55" t="str">
            <v>16/01/2020</v>
          </cell>
          <cell r="D55">
            <v>1028.4166</v>
          </cell>
          <cell r="E55" t="str">
            <v>1 PAQ</v>
          </cell>
        </row>
        <row r="56">
          <cell r="A56" t="str">
            <v>1842446</v>
          </cell>
          <cell r="B56" t="str">
            <v>BASURERO CUADRADO 30 L</v>
          </cell>
          <cell r="C56" t="str">
            <v>04/03/2020</v>
          </cell>
          <cell r="D56">
            <v>31100</v>
          </cell>
          <cell r="E56" t="str">
            <v>1 UND</v>
          </cell>
        </row>
        <row r="57">
          <cell r="A57" t="str">
            <v>1950408</v>
          </cell>
          <cell r="B57" t="str">
            <v>CAJA OFFICE BREAK PORCION (CAJA 525 U)</v>
          </cell>
          <cell r="C57" t="str">
            <v>20/11/2019</v>
          </cell>
          <cell r="D57">
            <v>62</v>
          </cell>
          <cell r="E57" t="str">
            <v>1 UND</v>
          </cell>
          <cell r="F57" t="str">
            <v>UND</v>
          </cell>
          <cell r="G57">
            <v>62</v>
          </cell>
        </row>
        <row r="58">
          <cell r="A58" t="str">
            <v>1950701</v>
          </cell>
          <cell r="B58" t="str">
            <v xml:space="preserve">BOLSA KRAFF # 2 20x10 </v>
          </cell>
          <cell r="C58" t="str">
            <v>03/03/2020</v>
          </cell>
          <cell r="D58">
            <v>9.3689999999999998</v>
          </cell>
          <cell r="E58" t="str">
            <v>1 UND</v>
          </cell>
          <cell r="F58" t="str">
            <v>UND</v>
          </cell>
          <cell r="G58">
            <v>9.3689999999999998</v>
          </cell>
        </row>
        <row r="59">
          <cell r="A59" t="str">
            <v>1950702</v>
          </cell>
          <cell r="B59" t="str">
            <v>BOLSA 12x18 TRANSP (KILO)</v>
          </cell>
          <cell r="C59" t="str">
            <v>05/03/2020</v>
          </cell>
          <cell r="D59">
            <v>1624</v>
          </cell>
          <cell r="E59" t="str">
            <v>1000 gramos</v>
          </cell>
        </row>
        <row r="60">
          <cell r="A60" t="str">
            <v>1950703</v>
          </cell>
          <cell r="B60" t="str">
            <v>BOLSA IMP. SPOON CAMI 8 * 16</v>
          </cell>
          <cell r="C60" t="str">
            <v>11/11/2019</v>
          </cell>
          <cell r="D60">
            <v>2202</v>
          </cell>
          <cell r="E60" t="str">
            <v>1000 gramos</v>
          </cell>
          <cell r="F60" t="str">
            <v>UND</v>
          </cell>
          <cell r="G60">
            <v>9.9189189189189193</v>
          </cell>
        </row>
        <row r="61">
          <cell r="A61" t="str">
            <v>1950704</v>
          </cell>
          <cell r="B61" t="str">
            <v>BOLSA 5x8 TRANSP (KILO)</v>
          </cell>
          <cell r="C61" t="str">
            <v>05/03/2020</v>
          </cell>
          <cell r="D61">
            <v>1631</v>
          </cell>
          <cell r="E61" t="str">
            <v>1000 gramos</v>
          </cell>
          <cell r="F61" t="str">
            <v>UND</v>
          </cell>
          <cell r="G61">
            <v>3.262</v>
          </cell>
        </row>
        <row r="62">
          <cell r="A62" t="str">
            <v>1950705</v>
          </cell>
          <cell r="B62" t="str">
            <v>BOLSA 8x12 TRANSP (KILO)</v>
          </cell>
          <cell r="C62" t="str">
            <v>05/03/2020</v>
          </cell>
          <cell r="D62">
            <v>1614</v>
          </cell>
          <cell r="E62" t="str">
            <v>1000 gramos</v>
          </cell>
        </row>
        <row r="63">
          <cell r="A63" t="str">
            <v>1950708</v>
          </cell>
          <cell r="B63" t="str">
            <v>BOLSA 17x25 TRANSP (KILO)</v>
          </cell>
          <cell r="C63" t="str">
            <v>05/03/2020</v>
          </cell>
          <cell r="D63">
            <v>1615</v>
          </cell>
          <cell r="E63" t="str">
            <v>1000 gramos</v>
          </cell>
        </row>
        <row r="64">
          <cell r="A64" t="str">
            <v>1950709</v>
          </cell>
          <cell r="B64" t="str">
            <v>BOLSAS IMP. SPOON CAMI 10 * 20 (KILO)</v>
          </cell>
          <cell r="C64" t="str">
            <v>07/11/2019</v>
          </cell>
          <cell r="D64">
            <v>2204</v>
          </cell>
          <cell r="E64" t="str">
            <v>1000 gramos</v>
          </cell>
          <cell r="F64" t="str">
            <v>UND</v>
          </cell>
          <cell r="G64">
            <v>20.036363636363635</v>
          </cell>
        </row>
        <row r="65">
          <cell r="A65" t="str">
            <v>1950715</v>
          </cell>
          <cell r="B65" t="str">
            <v>CAPSULA # 2 SIN LOGO</v>
          </cell>
          <cell r="C65" t="str">
            <v>10/01/2020</v>
          </cell>
          <cell r="D65">
            <v>7</v>
          </cell>
          <cell r="E65" t="str">
            <v>1 UND</v>
          </cell>
        </row>
        <row r="66">
          <cell r="A66" t="str">
            <v>1950729</v>
          </cell>
          <cell r="B66" t="str">
            <v>CAJA MEDIANA BLANCA</v>
          </cell>
          <cell r="C66" t="str">
            <v>23/11/2019</v>
          </cell>
          <cell r="D66">
            <v>39</v>
          </cell>
          <cell r="E66" t="str">
            <v>1 UND</v>
          </cell>
        </row>
        <row r="67">
          <cell r="A67" t="str">
            <v>1950730</v>
          </cell>
          <cell r="B67" t="str">
            <v>CAJA PEQ BLANCA</v>
          </cell>
          <cell r="C67" t="str">
            <v>28/11/2019</v>
          </cell>
          <cell r="D67">
            <v>25.21</v>
          </cell>
          <cell r="E67" t="str">
            <v>1 UND</v>
          </cell>
        </row>
        <row r="68">
          <cell r="A68" t="str">
            <v>1950731</v>
          </cell>
          <cell r="B68" t="str">
            <v>CAPSULA  # 3 CON LOGO UND</v>
          </cell>
          <cell r="C68" t="str">
            <v>04/03/2020</v>
          </cell>
          <cell r="D68">
            <v>7.52</v>
          </cell>
          <cell r="E68" t="str">
            <v>1 Uds.</v>
          </cell>
          <cell r="F68" t="str">
            <v>UND</v>
          </cell>
          <cell r="G68">
            <v>7.52</v>
          </cell>
        </row>
        <row r="69">
          <cell r="A69" t="str">
            <v>1950735</v>
          </cell>
          <cell r="B69" t="str">
            <v>CAPSULA #5 CON LOGO</v>
          </cell>
          <cell r="C69" t="str">
            <v>04/03/2020</v>
          </cell>
          <cell r="D69">
            <v>9.02</v>
          </cell>
          <cell r="E69" t="str">
            <v>1 UND</v>
          </cell>
        </row>
        <row r="70">
          <cell r="A70" t="str">
            <v>1950736</v>
          </cell>
          <cell r="B70" t="str">
            <v>CAPSULA # 5 BLANCA (100 * PAQ)</v>
          </cell>
          <cell r="C70" t="str">
            <v>24/01/2020</v>
          </cell>
          <cell r="D70">
            <v>9</v>
          </cell>
          <cell r="E70" t="str">
            <v>1 UND</v>
          </cell>
        </row>
        <row r="71">
          <cell r="A71" t="str">
            <v>1950742</v>
          </cell>
          <cell r="B71" t="str">
            <v>CONTENEDOR PLAST SUFLE 5.5 PACT.</v>
          </cell>
          <cell r="C71" t="str">
            <v>29/02/2020</v>
          </cell>
          <cell r="D71">
            <v>27.14</v>
          </cell>
          <cell r="E71" t="str">
            <v>1 Uds.</v>
          </cell>
          <cell r="F71" t="str">
            <v>UND</v>
          </cell>
          <cell r="G71">
            <v>27.14</v>
          </cell>
        </row>
        <row r="72">
          <cell r="A72" t="str">
            <v>1950747</v>
          </cell>
          <cell r="B72" t="str">
            <v xml:space="preserve">FILTROS DE PAPEL PARA CAFE </v>
          </cell>
          <cell r="C72" t="str">
            <v>04/03/2020</v>
          </cell>
          <cell r="D72">
            <v>12.144</v>
          </cell>
          <cell r="E72" t="str">
            <v>1 UND</v>
          </cell>
        </row>
        <row r="73">
          <cell r="A73" t="str">
            <v>1950752</v>
          </cell>
          <cell r="B73" t="str">
            <v>CAJA MINI BLANCA</v>
          </cell>
          <cell r="C73" t="str">
            <v>28/11/2019</v>
          </cell>
          <cell r="D73">
            <v>21.52</v>
          </cell>
          <cell r="E73" t="str">
            <v>1 UND</v>
          </cell>
        </row>
        <row r="74">
          <cell r="A74" t="str">
            <v>1950756</v>
          </cell>
          <cell r="B74" t="str">
            <v>BANDEJA ALUM DESE 6 PORC #4040</v>
          </cell>
          <cell r="C74" t="str">
            <v>05/03/2020</v>
          </cell>
          <cell r="D74">
            <v>246</v>
          </cell>
          <cell r="E74" t="str">
            <v>1 UND</v>
          </cell>
        </row>
        <row r="75">
          <cell r="A75" t="str">
            <v>1950786</v>
          </cell>
          <cell r="B75" t="str">
            <v xml:space="preserve">BOLSA IMP. SPOON CAMI 12 * 25 </v>
          </cell>
          <cell r="C75" t="str">
            <v>05/03/2020</v>
          </cell>
          <cell r="D75">
            <v>2204</v>
          </cell>
          <cell r="E75" t="str">
            <v>1000 gramos</v>
          </cell>
          <cell r="F75" t="str">
            <v>UND</v>
          </cell>
          <cell r="G75">
            <v>26.238095238095237</v>
          </cell>
        </row>
        <row r="76">
          <cell r="A76" t="str">
            <v>1950797</v>
          </cell>
          <cell r="B76" t="str">
            <v>VASO PLAST. TRASL 16 OZ (PAQ=50 UND)</v>
          </cell>
          <cell r="C76" t="str">
            <v>05/03/2020</v>
          </cell>
          <cell r="D76">
            <v>40.700000000000003</v>
          </cell>
          <cell r="E76" t="str">
            <v>1 UND</v>
          </cell>
          <cell r="F76" t="str">
            <v>und</v>
          </cell>
          <cell r="G76">
            <v>40.700000000000003</v>
          </cell>
        </row>
        <row r="77">
          <cell r="A77" t="str">
            <v>1950883</v>
          </cell>
          <cell r="B77" t="str">
            <v>CAJA PEQ OFFICE BREAK PORC. (CAJA 550 U)</v>
          </cell>
          <cell r="C77" t="str">
            <v>10/01/2020</v>
          </cell>
          <cell r="D77">
            <v>68</v>
          </cell>
          <cell r="E77" t="str">
            <v>1 UND</v>
          </cell>
          <cell r="F77" t="str">
            <v>UND</v>
          </cell>
          <cell r="G77">
            <v>68</v>
          </cell>
        </row>
        <row r="78">
          <cell r="A78" t="str">
            <v>1950884</v>
          </cell>
          <cell r="B78" t="str">
            <v>CAJA MEDIANA OFFICE BREAK (300U)</v>
          </cell>
          <cell r="C78" t="str">
            <v>21/11/2019</v>
          </cell>
          <cell r="D78">
            <v>95</v>
          </cell>
          <cell r="E78" t="str">
            <v>1 UND</v>
          </cell>
        </row>
        <row r="79">
          <cell r="A79" t="str">
            <v>1950885</v>
          </cell>
          <cell r="B79" t="str">
            <v>CAJA GDE OFFICE BREAK (225U)</v>
          </cell>
          <cell r="C79" t="str">
            <v>04/12/2019</v>
          </cell>
          <cell r="D79">
            <v>124</v>
          </cell>
          <cell r="E79" t="str">
            <v>1 UND</v>
          </cell>
        </row>
        <row r="80">
          <cell r="A80" t="str">
            <v>1950886</v>
          </cell>
          <cell r="B80" t="str">
            <v>PLATO 10 COMPOSTABLE (CAJA 500 U)</v>
          </cell>
          <cell r="C80" t="str">
            <v>06/12/2019</v>
          </cell>
          <cell r="D80">
            <v>85</v>
          </cell>
          <cell r="E80" t="str">
            <v>1 UND</v>
          </cell>
          <cell r="F80" t="str">
            <v>und</v>
          </cell>
          <cell r="G80">
            <v>85</v>
          </cell>
        </row>
        <row r="81">
          <cell r="A81" t="str">
            <v>1950888</v>
          </cell>
          <cell r="B81" t="str">
            <v>PLATO  6 COMPOSTABLE (1000U)</v>
          </cell>
          <cell r="C81" t="str">
            <v>18/02/2020</v>
          </cell>
          <cell r="D81">
            <v>32</v>
          </cell>
          <cell r="E81" t="str">
            <v>1 UND</v>
          </cell>
          <cell r="F81" t="str">
            <v>UND</v>
          </cell>
          <cell r="G81">
            <v>32</v>
          </cell>
        </row>
        <row r="82">
          <cell r="A82" t="str">
            <v>1950914</v>
          </cell>
          <cell r="B82" t="str">
            <v>PORTA VASO 4 CAVIDADES (PAQ: 25 UND)</v>
          </cell>
          <cell r="C82" t="str">
            <v>05/03/2020</v>
          </cell>
          <cell r="D82">
            <v>60</v>
          </cell>
          <cell r="E82" t="str">
            <v>1 PAQ</v>
          </cell>
        </row>
        <row r="83">
          <cell r="A83" t="str">
            <v>1950921</v>
          </cell>
          <cell r="B83" t="str">
            <v>TAPA SUFLE PLAST .5/.75/1 OZ (PAQ=100 UN</v>
          </cell>
          <cell r="C83" t="str">
            <v>05/03/2020</v>
          </cell>
          <cell r="D83">
            <v>6.0979000000000001</v>
          </cell>
          <cell r="E83" t="str">
            <v>1 UND</v>
          </cell>
        </row>
        <row r="84">
          <cell r="A84" t="str">
            <v>1950928</v>
          </cell>
          <cell r="B84" t="str">
            <v>BOLSA TRANSPARENTE 56X96X1.80 (KILO)</v>
          </cell>
          <cell r="C84" t="str">
            <v>05/03/2020</v>
          </cell>
          <cell r="D84">
            <v>1666</v>
          </cell>
          <cell r="E84" t="str">
            <v>1000 gramos</v>
          </cell>
        </row>
        <row r="85">
          <cell r="A85" t="str">
            <v>1950941</v>
          </cell>
          <cell r="B85" t="str">
            <v>FUNDA VASO BLEND (UND)</v>
          </cell>
          <cell r="C85" t="str">
            <v>05/03/2020</v>
          </cell>
          <cell r="D85">
            <v>62</v>
          </cell>
          <cell r="E85" t="str">
            <v>1 UND</v>
          </cell>
        </row>
        <row r="86">
          <cell r="A86" t="str">
            <v>1950959</v>
          </cell>
          <cell r="B86" t="str">
            <v>TAPA PLAST. SUFLE 3.25 onz (PAQ=120 UND)</v>
          </cell>
          <cell r="C86" t="str">
            <v>05/03/2020</v>
          </cell>
          <cell r="D86">
            <v>1488.35</v>
          </cell>
          <cell r="E86" t="str">
            <v>1 UND</v>
          </cell>
          <cell r="F86" t="str">
            <v>UND</v>
          </cell>
          <cell r="G86">
            <v>12.402916666666666</v>
          </cell>
        </row>
        <row r="87">
          <cell r="A87" t="str">
            <v>1952409</v>
          </cell>
          <cell r="B87" t="str">
            <v>BANDEJA  ALUMINIO A-42 ( 4 PORC )</v>
          </cell>
          <cell r="C87" t="str">
            <v>05/03/2020</v>
          </cell>
          <cell r="D87">
            <v>88</v>
          </cell>
          <cell r="E87" t="str">
            <v>1 UND</v>
          </cell>
          <cell r="F87" t="str">
            <v>UND</v>
          </cell>
          <cell r="G87">
            <v>88</v>
          </cell>
        </row>
        <row r="88">
          <cell r="A88" t="str">
            <v>1952410</v>
          </cell>
          <cell r="B88" t="str">
            <v>TAPA CONTEN. ALUMINIO A-42 ( 4 PORC )</v>
          </cell>
          <cell r="C88" t="str">
            <v>05/03/2020</v>
          </cell>
          <cell r="D88">
            <v>132</v>
          </cell>
          <cell r="E88" t="str">
            <v>1 UND</v>
          </cell>
          <cell r="F88" t="str">
            <v>UND</v>
          </cell>
          <cell r="G88">
            <v>132</v>
          </cell>
        </row>
        <row r="89">
          <cell r="A89" t="str">
            <v>1952432</v>
          </cell>
          <cell r="B89" t="str">
            <v>TAPA BAND ALUM. DESE 4040 (6 PORC)</v>
          </cell>
          <cell r="C89" t="str">
            <v>05/03/2020</v>
          </cell>
          <cell r="D89">
            <v>95</v>
          </cell>
          <cell r="E89" t="str">
            <v>1 UND</v>
          </cell>
        </row>
        <row r="90">
          <cell r="A90" t="str">
            <v>1952826</v>
          </cell>
          <cell r="B90" t="str">
            <v>TAPA DOMO P/VASO TRASL 16onz ( PAQ*100)</v>
          </cell>
          <cell r="C90" t="str">
            <v>05/03/2020</v>
          </cell>
          <cell r="D90">
            <v>21.159600000000001</v>
          </cell>
          <cell r="E90" t="str">
            <v>1 UND</v>
          </cell>
          <cell r="F90" t="str">
            <v>UND</v>
          </cell>
          <cell r="G90">
            <v>21.159600000000001</v>
          </cell>
        </row>
        <row r="91">
          <cell r="A91" t="str">
            <v>12050040</v>
          </cell>
          <cell r="B91" t="str">
            <v>MUG SPOON UND</v>
          </cell>
          <cell r="C91" t="str">
            <v>02/03/2020</v>
          </cell>
          <cell r="D91">
            <v>5727.69</v>
          </cell>
          <cell r="E91" t="str">
            <v>1 Uds.</v>
          </cell>
        </row>
        <row r="92">
          <cell r="A92" t="str">
            <v>50400014</v>
          </cell>
          <cell r="B92" t="str">
            <v>CAJA PEQUEÑA OFFICE BREAK (CAJA:625 UND)</v>
          </cell>
          <cell r="C92" t="str">
            <v>05/03/2020</v>
          </cell>
          <cell r="D92">
            <v>70.95</v>
          </cell>
          <cell r="E92" t="str">
            <v>1 CAJA</v>
          </cell>
          <cell r="F92" t="str">
            <v>UND</v>
          </cell>
          <cell r="G92">
            <v>70.95</v>
          </cell>
        </row>
        <row r="93">
          <cell r="A93" t="str">
            <v>50400015</v>
          </cell>
          <cell r="B93" t="str">
            <v>CAJA MEDIANA OFFICE BREAK (CAJA:400 UND)</v>
          </cell>
          <cell r="C93" t="str">
            <v>04/03/2020</v>
          </cell>
          <cell r="D93">
            <v>86.9</v>
          </cell>
          <cell r="E93" t="str">
            <v>1 CAJA</v>
          </cell>
          <cell r="F93" t="str">
            <v>UND</v>
          </cell>
          <cell r="G93">
            <v>86.9</v>
          </cell>
        </row>
        <row r="94">
          <cell r="A94" t="str">
            <v>50400016</v>
          </cell>
          <cell r="B94" t="str">
            <v>CAJA GRANDE OFFICE BREAK (CAJA:280 UND)</v>
          </cell>
          <cell r="C94" t="str">
            <v>04/03/2020</v>
          </cell>
          <cell r="D94">
            <v>113.3</v>
          </cell>
          <cell r="E94" t="str">
            <v>1 CAJA</v>
          </cell>
        </row>
        <row r="95">
          <cell r="A95" t="str">
            <v>50400017</v>
          </cell>
          <cell r="B95" t="str">
            <v>CAJA PORCION OFFICE BREAK (CAJA:950 UND)</v>
          </cell>
          <cell r="C95" t="str">
            <v>05/03/2020</v>
          </cell>
          <cell r="D95">
            <v>60.06</v>
          </cell>
          <cell r="E95" t="str">
            <v>1 CAJA</v>
          </cell>
          <cell r="F95" t="str">
            <v>UND</v>
          </cell>
          <cell r="G95">
            <v>60.06</v>
          </cell>
        </row>
        <row r="96">
          <cell r="A96" t="str">
            <v>50500001</v>
          </cell>
          <cell r="B96" t="str">
            <v>CANDELA CUMPLEAÑOS FIGURAS SURTIDAS</v>
          </cell>
          <cell r="C96" t="str">
            <v>01/11/2019</v>
          </cell>
          <cell r="D96">
            <v>458.48</v>
          </cell>
          <cell r="E96" t="str">
            <v>1 UND</v>
          </cell>
        </row>
        <row r="97">
          <cell r="A97" t="str">
            <v>50500002</v>
          </cell>
          <cell r="B97" t="str">
            <v>CANDELA DIBUJOS ANIMADOS SURTIDA ESPIRAL</v>
          </cell>
          <cell r="C97" t="str">
            <v>05/03/2020</v>
          </cell>
          <cell r="D97">
            <v>455.4</v>
          </cell>
          <cell r="E97" t="str">
            <v>1 UND</v>
          </cell>
        </row>
        <row r="98">
          <cell r="A98" t="str">
            <v>50500003</v>
          </cell>
          <cell r="B98" t="str">
            <v>CANDELA CARITAS COLORES</v>
          </cell>
          <cell r="C98" t="str">
            <v>05/03/2020</v>
          </cell>
          <cell r="D98">
            <v>465.9</v>
          </cell>
          <cell r="E98" t="str">
            <v>1 UND</v>
          </cell>
        </row>
        <row r="99">
          <cell r="A99" t="str">
            <v>50500004</v>
          </cell>
          <cell r="B99" t="str">
            <v>CANDELA GLOBOS SURTIDO COLORES</v>
          </cell>
          <cell r="C99" t="str">
            <v>05/03/2020</v>
          </cell>
          <cell r="D99">
            <v>470.25</v>
          </cell>
          <cell r="E99" t="str">
            <v>1 UND</v>
          </cell>
        </row>
        <row r="100">
          <cell r="A100" t="str">
            <v>50500005</v>
          </cell>
          <cell r="B100" t="str">
            <v>CANDELA FELIZ CUMPLE ESCARCHA SURTIDA</v>
          </cell>
          <cell r="C100" t="str">
            <v>05/03/2020</v>
          </cell>
          <cell r="D100">
            <v>470.25</v>
          </cell>
          <cell r="E100" t="str">
            <v>1 UND</v>
          </cell>
        </row>
        <row r="101">
          <cell r="A101" t="str">
            <v>50700024</v>
          </cell>
          <cell r="B101" t="str">
            <v xml:space="preserve">CONTENEDOR PAPEL 12 ONZAS </v>
          </cell>
          <cell r="C101" t="str">
            <v>11/11/2019</v>
          </cell>
          <cell r="D101">
            <v>0.8</v>
          </cell>
          <cell r="E101" t="str">
            <v>1 UND</v>
          </cell>
        </row>
        <row r="102">
          <cell r="A102" t="str">
            <v>50700025</v>
          </cell>
          <cell r="B102" t="str">
            <v>CONTENEDOR PAPEL BLANCO 8 ON (PAQ 50 U)</v>
          </cell>
          <cell r="C102" t="str">
            <v>28/11/2019</v>
          </cell>
          <cell r="D102">
            <v>35.72</v>
          </cell>
          <cell r="E102" t="str">
            <v>1 UND</v>
          </cell>
        </row>
        <row r="103">
          <cell r="A103" t="str">
            <v>50700026</v>
          </cell>
          <cell r="B103" t="str">
            <v>TAPA PLAS. P/CONTEN PAPEL 8ON (PAQ 50 U)</v>
          </cell>
          <cell r="C103" t="str">
            <v>11/11/2019</v>
          </cell>
          <cell r="D103">
            <v>24.72</v>
          </cell>
          <cell r="E103" t="str">
            <v>1 UND</v>
          </cell>
        </row>
        <row r="104">
          <cell r="A104" t="str">
            <v>50700028</v>
          </cell>
          <cell r="B104" t="str">
            <v>CONTENEDOR PLAS SUFLE 1 OZ (PAQ:200 UND)</v>
          </cell>
          <cell r="C104" t="str">
            <v>05/03/2020</v>
          </cell>
          <cell r="D104">
            <v>6.8079000000000001</v>
          </cell>
          <cell r="E104" t="str">
            <v>1 Uds.</v>
          </cell>
          <cell r="F104" t="str">
            <v>UND</v>
          </cell>
          <cell r="G104">
            <v>6.8079000000000001</v>
          </cell>
        </row>
        <row r="105">
          <cell r="A105" t="str">
            <v>51100016</v>
          </cell>
          <cell r="B105" t="str">
            <v>BLOCK HOJAS PARA COLOREAR (UND)L</v>
          </cell>
          <cell r="C105" t="str">
            <v>05/03/2020</v>
          </cell>
          <cell r="D105">
            <v>1061</v>
          </cell>
          <cell r="E105" t="str">
            <v>1 UND</v>
          </cell>
        </row>
        <row r="106">
          <cell r="A106" t="str">
            <v>51100018</v>
          </cell>
          <cell r="B106" t="str">
            <v>PAPEL ENCERADO 12X12 (PAQ:1000 UND)</v>
          </cell>
          <cell r="C106" t="str">
            <v>05/03/2020</v>
          </cell>
          <cell r="D106">
            <v>20570</v>
          </cell>
          <cell r="E106" t="str">
            <v>1 PAQUETE</v>
          </cell>
          <cell r="F106" t="str">
            <v>UND</v>
          </cell>
          <cell r="G106">
            <v>20.57</v>
          </cell>
        </row>
        <row r="107">
          <cell r="A107" t="str">
            <v>51400023</v>
          </cell>
          <cell r="B107" t="str">
            <v>BOWL FIBRA 32 ONZ COMPOST (PAQ:125 UND)</v>
          </cell>
          <cell r="C107" t="str">
            <v>05/03/2020</v>
          </cell>
          <cell r="D107">
            <v>178.88</v>
          </cell>
          <cell r="E107" t="str">
            <v>1 PAQUETE</v>
          </cell>
        </row>
        <row r="108">
          <cell r="A108" t="str">
            <v>51500012</v>
          </cell>
          <cell r="B108" t="str">
            <v>VASO BIODEGRADABLE 12 ONZ (PAQ 25 UND)</v>
          </cell>
          <cell r="C108" t="str">
            <v>05/03/2020</v>
          </cell>
          <cell r="D108">
            <v>58.3</v>
          </cell>
          <cell r="E108" t="str">
            <v>1 UND</v>
          </cell>
          <cell r="F108" t="str">
            <v>UND</v>
          </cell>
          <cell r="G108">
            <v>58.3</v>
          </cell>
        </row>
        <row r="109">
          <cell r="A109" t="str">
            <v>51500013</v>
          </cell>
          <cell r="B109" t="str">
            <v>TAPA VASO BIO 12,16 ON (PAQ 50 UND)</v>
          </cell>
          <cell r="C109" t="str">
            <v>05/03/2020</v>
          </cell>
          <cell r="D109">
            <v>24.65</v>
          </cell>
          <cell r="E109" t="str">
            <v>1 UND</v>
          </cell>
          <cell r="F109" t="str">
            <v>UND</v>
          </cell>
          <cell r="G109">
            <v>24.65</v>
          </cell>
        </row>
        <row r="110">
          <cell r="A110" t="str">
            <v>51500014</v>
          </cell>
          <cell r="B110" t="str">
            <v>VASO BIODEGRADABLE 8 ONZ (PAQ 25UND)</v>
          </cell>
          <cell r="C110" t="str">
            <v>05/03/2020</v>
          </cell>
          <cell r="D110">
            <v>44</v>
          </cell>
          <cell r="E110" t="str">
            <v>1 UND</v>
          </cell>
          <cell r="F110" t="str">
            <v>UND</v>
          </cell>
          <cell r="G110">
            <v>44</v>
          </cell>
        </row>
        <row r="111">
          <cell r="A111" t="str">
            <v>51500015</v>
          </cell>
          <cell r="B111" t="str">
            <v>TAPA VASO BIO 8 ONZ (PAQ 50 UND)</v>
          </cell>
          <cell r="C111" t="str">
            <v>05/03/2020</v>
          </cell>
          <cell r="D111">
            <v>24.2</v>
          </cell>
          <cell r="E111" t="str">
            <v>1 UND</v>
          </cell>
          <cell r="F111" t="str">
            <v>UND</v>
          </cell>
          <cell r="G111">
            <v>24.2</v>
          </cell>
        </row>
        <row r="112">
          <cell r="A112" t="str">
            <v>51500026</v>
          </cell>
          <cell r="B112" t="str">
            <v>VASO SUFLE 3.25 OZ ASB325 1/2500</v>
          </cell>
          <cell r="C112" t="str">
            <v>19/02/2020</v>
          </cell>
          <cell r="D112">
            <v>0.58520000000000005</v>
          </cell>
          <cell r="E112" t="str">
            <v>1 UND</v>
          </cell>
          <cell r="F112" t="str">
            <v>UND</v>
          </cell>
          <cell r="G112">
            <v>0.58520000000000005</v>
          </cell>
        </row>
        <row r="113">
          <cell r="A113" t="str">
            <v>51500027</v>
          </cell>
          <cell r="B113" t="str">
            <v>VASO A-9 OZ PET APC 9 1/1000 LOCALES</v>
          </cell>
          <cell r="C113" t="str">
            <v>04/03/2020</v>
          </cell>
          <cell r="D113">
            <v>37.631</v>
          </cell>
          <cell r="E113" t="str">
            <v>1 Uds.</v>
          </cell>
        </row>
        <row r="114">
          <cell r="A114" t="str">
            <v>51500028</v>
          </cell>
          <cell r="B114" t="str">
            <v>TAPA DOMO A-9/12/20 SOUFFLE</v>
          </cell>
          <cell r="C114" t="str">
            <v>07/01/2020</v>
          </cell>
          <cell r="D114">
            <v>27</v>
          </cell>
          <cell r="E114" t="str">
            <v>1 Uds.</v>
          </cell>
        </row>
        <row r="115">
          <cell r="A115" t="str">
            <v>51600025</v>
          </cell>
          <cell r="B115" t="str">
            <v>ROLLOS PUNTO DE VENTA 3X3X2 (ROLLO)</v>
          </cell>
          <cell r="C115" t="str">
            <v>05/03/2020</v>
          </cell>
          <cell r="D115">
            <v>594</v>
          </cell>
          <cell r="E115" t="str">
            <v>1 ROLLO</v>
          </cell>
        </row>
        <row r="116">
          <cell r="A116" t="str">
            <v>60100027</v>
          </cell>
          <cell r="B116" t="str">
            <v xml:space="preserve">LOGO OVALADO SPOON PEQUEÑO (ROLLO= 1000 </v>
          </cell>
          <cell r="C116" t="str">
            <v>04/03/2020</v>
          </cell>
          <cell r="D116">
            <v>1.1499999999999999</v>
          </cell>
          <cell r="E116" t="str">
            <v>1 ROLLO</v>
          </cell>
        </row>
        <row r="117">
          <cell r="A117" t="str">
            <v>100100038</v>
          </cell>
          <cell r="B117" t="str">
            <v>BLOCK DE CIERRE DE CAJA</v>
          </cell>
          <cell r="C117" t="str">
            <v>04/03/2020</v>
          </cell>
          <cell r="D117">
            <v>825</v>
          </cell>
          <cell r="E117" t="str">
            <v>1 Uds.</v>
          </cell>
        </row>
        <row r="118">
          <cell r="A118" t="str">
            <v>120000015</v>
          </cell>
          <cell r="B118" t="str">
            <v>PINCEL (PAQ:20 UND)</v>
          </cell>
          <cell r="C118" t="str">
            <v>04/03/2020</v>
          </cell>
          <cell r="D118">
            <v>75.712500000000006</v>
          </cell>
          <cell r="E118" t="str">
            <v>1 PAQUETE</v>
          </cell>
        </row>
        <row r="119">
          <cell r="A119" t="str">
            <v>PT50033</v>
          </cell>
          <cell r="B119" t="str">
            <v>CONO INFUSION</v>
          </cell>
          <cell r="C119" t="str">
            <v>03/01/2020</v>
          </cell>
          <cell r="D119">
            <v>8380</v>
          </cell>
          <cell r="E119" t="str">
            <v>1 Uds.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NACHE 96223 "/>
      <sheetName val="COSTEO GANACHE"/>
    </sheetNames>
    <sheetDataSet>
      <sheetData sheetId="0"/>
      <sheetData sheetId="1">
        <row r="69">
          <cell r="E69">
            <v>2.8988425925925929</v>
          </cell>
        </row>
        <row r="74">
          <cell r="E74">
            <v>0.11458333333333333</v>
          </cell>
        </row>
        <row r="76">
          <cell r="E76">
            <v>3.2348958333333335E-3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/>
      <sheetData sheetId="1" refreshError="1"/>
      <sheetData sheetId="2" refreshError="1"/>
      <sheetData sheetId="3" refreshError="1">
        <row r="1">
          <cell r="A1" t="str">
            <v>Referencia</v>
          </cell>
          <cell r="B1" t="str">
            <v>Descripción</v>
          </cell>
          <cell r="C1" t="str">
            <v>Precio UC</v>
          </cell>
          <cell r="D1" t="str">
            <v>Medida</v>
          </cell>
          <cell r="E1" t="str">
            <v>Medida receta</v>
          </cell>
          <cell r="F1" t="str">
            <v>Costo U. Receta</v>
          </cell>
        </row>
        <row r="2">
          <cell r="A2" t="str">
            <v>42</v>
          </cell>
          <cell r="B2" t="str">
            <v>CAFÉ EXPRESSO  GRANO (KILO)</v>
          </cell>
          <cell r="C2">
            <v>6700</v>
          </cell>
          <cell r="D2" t="str">
            <v>1000 GRAMO</v>
          </cell>
          <cell r="E2" t="str">
            <v>Gramo</v>
          </cell>
          <cell r="F2">
            <v>6.7</v>
          </cell>
        </row>
        <row r="3">
          <cell r="A3" t="str">
            <v>47</v>
          </cell>
          <cell r="B3" t="str">
            <v>CAFÉ TUESTE OSC MOLIDO ( KILO)</v>
          </cell>
          <cell r="C3">
            <v>6700</v>
          </cell>
          <cell r="D3" t="str">
            <v>1000 GRAMO</v>
          </cell>
          <cell r="E3" t="str">
            <v>Gramo</v>
          </cell>
          <cell r="F3">
            <v>6.7</v>
          </cell>
        </row>
        <row r="4">
          <cell r="A4" t="str">
            <v>53</v>
          </cell>
          <cell r="B4" t="str">
            <v>CAFE  DESCAFEINADO (KILO)</v>
          </cell>
          <cell r="C4">
            <v>16638</v>
          </cell>
          <cell r="D4" t="str">
            <v>1000 GRAMO</v>
          </cell>
          <cell r="E4" t="str">
            <v>Gramo</v>
          </cell>
          <cell r="F4">
            <v>16.638000000000002</v>
          </cell>
        </row>
        <row r="5">
          <cell r="A5" t="str">
            <v>54</v>
          </cell>
          <cell r="B5" t="str">
            <v>DETERGENTE LIQUIDO (1 L)</v>
          </cell>
          <cell r="C5">
            <v>9986.67</v>
          </cell>
          <cell r="D5" t="str">
            <v>1000 mililitros</v>
          </cell>
        </row>
        <row r="6">
          <cell r="A6" t="str">
            <v>76</v>
          </cell>
          <cell r="B6" t="str">
            <v>CAFE SPOON SUMAVA 250 GRM</v>
          </cell>
          <cell r="C6">
            <v>2500</v>
          </cell>
          <cell r="D6" t="str">
            <v>1 UND</v>
          </cell>
        </row>
        <row r="7">
          <cell r="A7" t="str">
            <v>77</v>
          </cell>
          <cell r="B7" t="str">
            <v>CAFE SPOON LOS CRESTONES 250 GRM</v>
          </cell>
          <cell r="C7">
            <v>2500</v>
          </cell>
          <cell r="D7" t="str">
            <v>1 UND</v>
          </cell>
        </row>
        <row r="8">
          <cell r="A8" t="str">
            <v>91</v>
          </cell>
          <cell r="B8" t="str">
            <v>CAFE MOLIDO ANGELES DE DOTA KILO</v>
          </cell>
          <cell r="C8">
            <v>6700</v>
          </cell>
          <cell r="D8" t="str">
            <v>1000 gramos</v>
          </cell>
        </row>
        <row r="9">
          <cell r="A9" t="str">
            <v>4207</v>
          </cell>
          <cell r="B9" t="str">
            <v>BURBUJA PLAST DOBLE CIERRE PACTIV 6" 4/1</v>
          </cell>
          <cell r="C9">
            <v>58.462000000000003</v>
          </cell>
          <cell r="D9" t="str">
            <v>1 Uds.</v>
          </cell>
        </row>
        <row r="10">
          <cell r="A10" t="str">
            <v>4940</v>
          </cell>
          <cell r="B10" t="str">
            <v>GIN 600ML (PAQ = 12 UND)</v>
          </cell>
          <cell r="C10">
            <v>699.69833333333304</v>
          </cell>
          <cell r="D10" t="str">
            <v>1 UND</v>
          </cell>
        </row>
        <row r="11">
          <cell r="A11" t="str">
            <v>10010</v>
          </cell>
          <cell r="B11" t="str">
            <v>GALLO PINTO (KILO)</v>
          </cell>
          <cell r="C11">
            <v>2251.5</v>
          </cell>
          <cell r="D11" t="str">
            <v>1000 GRAMOS</v>
          </cell>
          <cell r="E11" t="str">
            <v>Gramo</v>
          </cell>
          <cell r="F11">
            <v>2.2515000000000001</v>
          </cell>
        </row>
        <row r="12">
          <cell r="A12" t="str">
            <v>10753</v>
          </cell>
          <cell r="B12" t="str">
            <v>GRASA SPRAY ANTIADHERENTE 14 ONZ</v>
          </cell>
          <cell r="C12">
            <v>2132</v>
          </cell>
          <cell r="D12" t="str">
            <v>1 LATA</v>
          </cell>
        </row>
        <row r="13">
          <cell r="A13" t="str">
            <v>14049</v>
          </cell>
          <cell r="B13" t="str">
            <v>ARROZ BLANCO CASADITO (KILO)</v>
          </cell>
          <cell r="C13">
            <v>991.66666666666697</v>
          </cell>
          <cell r="D13" t="str">
            <v>1000 GRAMOS</v>
          </cell>
        </row>
        <row r="14">
          <cell r="A14" t="str">
            <v>16089</v>
          </cell>
          <cell r="B14" t="str">
            <v>LASAGÑA CARNE REINGENIERIA (PIREX=6 PORC</v>
          </cell>
          <cell r="C14">
            <v>1422.5</v>
          </cell>
          <cell r="D14" t="str">
            <v>1 UND</v>
          </cell>
        </row>
        <row r="15">
          <cell r="A15" t="str">
            <v>20034</v>
          </cell>
          <cell r="B15" t="str">
            <v>PASTEL PALMITO PERSONAL (UND)</v>
          </cell>
          <cell r="C15">
            <v>535</v>
          </cell>
          <cell r="D15" t="str">
            <v>1 UND</v>
          </cell>
        </row>
        <row r="16">
          <cell r="A16" t="str">
            <v>20044</v>
          </cell>
          <cell r="B16" t="str">
            <v>PASTEL POLLO (PIREX=4 PORC)</v>
          </cell>
          <cell r="C16">
            <v>896.25</v>
          </cell>
          <cell r="D16" t="str">
            <v>1 UND</v>
          </cell>
        </row>
        <row r="17">
          <cell r="A17" t="str">
            <v>20050</v>
          </cell>
          <cell r="B17" t="str">
            <v>PASTEL PALMITO (PIREX=4 PORC)</v>
          </cell>
          <cell r="C17">
            <v>847.5</v>
          </cell>
          <cell r="D17" t="str">
            <v>1 UND</v>
          </cell>
        </row>
        <row r="18">
          <cell r="A18" t="str">
            <v>20092</v>
          </cell>
          <cell r="B18" t="str">
            <v>SIROPE VAINILLA ( BOT 750ML )</v>
          </cell>
          <cell r="C18">
            <v>5964</v>
          </cell>
          <cell r="D18" t="str">
            <v>1000 gramos</v>
          </cell>
        </row>
        <row r="19">
          <cell r="A19" t="str">
            <v>20408</v>
          </cell>
          <cell r="B19" t="str">
            <v>ENVOLTURA PAPEL NORPAK 12X10</v>
          </cell>
          <cell r="C19">
            <v>3643</v>
          </cell>
          <cell r="D19" t="str">
            <v>1 Uds.</v>
          </cell>
          <cell r="E19" t="str">
            <v>cm</v>
          </cell>
          <cell r="F19">
            <v>0.36430000000000001</v>
          </cell>
        </row>
        <row r="20">
          <cell r="A20" t="str">
            <v>28002</v>
          </cell>
          <cell r="B20" t="str">
            <v>SOPA AZTECA TOPPER (UND)</v>
          </cell>
          <cell r="C20">
            <v>745</v>
          </cell>
          <cell r="D20" t="str">
            <v>1 UND</v>
          </cell>
        </row>
        <row r="21">
          <cell r="A21" t="str">
            <v>28517</v>
          </cell>
          <cell r="B21" t="str">
            <v xml:space="preserve">PAPEL ALUMINIO 14,5 MICRAS </v>
          </cell>
          <cell r="C21">
            <v>15268</v>
          </cell>
          <cell r="D21" t="str">
            <v>1 UND</v>
          </cell>
        </row>
        <row r="22">
          <cell r="A22" t="str">
            <v>32040</v>
          </cell>
          <cell r="B22" t="str">
            <v>PIE DE LIMON (UND=6 PORC)</v>
          </cell>
          <cell r="C22">
            <v>4545</v>
          </cell>
          <cell r="D22" t="str">
            <v>1 UND</v>
          </cell>
        </row>
        <row r="23">
          <cell r="A23" t="str">
            <v>32096</v>
          </cell>
          <cell r="B23" t="str">
            <v>FLAN TRES LECHES MINI (UND=5 PORC)</v>
          </cell>
          <cell r="C23">
            <v>3255</v>
          </cell>
          <cell r="D23" t="str">
            <v>1 UND</v>
          </cell>
        </row>
        <row r="24">
          <cell r="A24" t="str">
            <v>32101</v>
          </cell>
          <cell r="B24" t="str">
            <v>CHESSE CAKE MARACUYA LIGHT RED (6 PORC)</v>
          </cell>
          <cell r="C24">
            <v>6331.39</v>
          </cell>
          <cell r="D24" t="str">
            <v>1 UND</v>
          </cell>
        </row>
        <row r="25">
          <cell r="A25" t="str">
            <v>34010</v>
          </cell>
          <cell r="B25" t="str">
            <v>TORTA CHOCOLATE RED. (UND=8 PORC)</v>
          </cell>
          <cell r="C25">
            <v>7395</v>
          </cell>
          <cell r="D25" t="str">
            <v>1 UND</v>
          </cell>
        </row>
        <row r="26">
          <cell r="A26" t="str">
            <v>34021</v>
          </cell>
          <cell r="B26" t="str">
            <v>PORCION QQ SECO C/PASAS</v>
          </cell>
          <cell r="C26">
            <v>743.25</v>
          </cell>
          <cell r="D26" t="str">
            <v>1 UND</v>
          </cell>
        </row>
        <row r="27">
          <cell r="A27" t="str">
            <v>34064</v>
          </cell>
          <cell r="B27" t="str">
            <v>GALLETAS P/TORTA CHILENA GDE (7 GALLETAS</v>
          </cell>
          <cell r="C27">
            <v>2410</v>
          </cell>
          <cell r="D27" t="str">
            <v>1 UND</v>
          </cell>
        </row>
        <row r="28">
          <cell r="A28" t="str">
            <v>36013</v>
          </cell>
          <cell r="B28" t="str">
            <v>TORTA CARAMELO PERSONAL</v>
          </cell>
          <cell r="C28">
            <v>3240</v>
          </cell>
          <cell r="D28" t="str">
            <v>1 UND</v>
          </cell>
        </row>
        <row r="29">
          <cell r="A29" t="str">
            <v>36026</v>
          </cell>
          <cell r="B29" t="str">
            <v>TORTA CARAMELO MEDIANA</v>
          </cell>
          <cell r="C29">
            <v>5311</v>
          </cell>
          <cell r="D29" t="str">
            <v>1 UND</v>
          </cell>
        </row>
        <row r="30">
          <cell r="A30" t="str">
            <v>36043</v>
          </cell>
          <cell r="B30" t="str">
            <v>TORTA CHOCOFRESA RED. (UND=8 PORC)</v>
          </cell>
          <cell r="C30">
            <v>6845</v>
          </cell>
          <cell r="D30" t="str">
            <v>1 UND</v>
          </cell>
        </row>
        <row r="31">
          <cell r="A31" t="str">
            <v>36085</v>
          </cell>
          <cell r="B31" t="str">
            <v>TORTA MELOCOTON RED (UND=8 PORC)</v>
          </cell>
          <cell r="C31">
            <v>6995</v>
          </cell>
          <cell r="D31" t="str">
            <v>1 UND</v>
          </cell>
        </row>
        <row r="32">
          <cell r="A32" t="str">
            <v>36169</v>
          </cell>
          <cell r="B32" t="str">
            <v>TORTA CHOCOFRESA PERSONAL</v>
          </cell>
          <cell r="C32">
            <v>2620</v>
          </cell>
          <cell r="D32" t="str">
            <v>1 UND</v>
          </cell>
        </row>
        <row r="33">
          <cell r="A33" t="str">
            <v>36180</v>
          </cell>
          <cell r="B33" t="str">
            <v>TORTA CHOCOLATE PEQUEÑA</v>
          </cell>
          <cell r="C33">
            <v>3575</v>
          </cell>
          <cell r="D33" t="str">
            <v>1 UND</v>
          </cell>
        </row>
        <row r="34">
          <cell r="A34" t="str">
            <v>36181</v>
          </cell>
          <cell r="B34" t="str">
            <v>MINI TORTA MELOCOTON REDONDA</v>
          </cell>
          <cell r="C34">
            <v>3290</v>
          </cell>
          <cell r="D34" t="str">
            <v>1 UND</v>
          </cell>
        </row>
        <row r="35">
          <cell r="A35" t="str">
            <v>36183</v>
          </cell>
          <cell r="B35" t="str">
            <v>TORTA ZANAHORIA GDE</v>
          </cell>
          <cell r="C35">
            <v>8410</v>
          </cell>
          <cell r="D35" t="str">
            <v>1 UND</v>
          </cell>
        </row>
        <row r="36">
          <cell r="A36" t="str">
            <v>40049</v>
          </cell>
          <cell r="B36" t="str">
            <v>COCADITAS (UND)</v>
          </cell>
          <cell r="C36">
            <v>260</v>
          </cell>
          <cell r="D36" t="str">
            <v>1 UND</v>
          </cell>
        </row>
        <row r="37">
          <cell r="A37" t="str">
            <v>40054</v>
          </cell>
          <cell r="B37" t="str">
            <v>COSTILLAS SIN RELLENO (UND)</v>
          </cell>
          <cell r="C37">
            <v>80</v>
          </cell>
          <cell r="D37" t="str">
            <v>1 UND</v>
          </cell>
        </row>
        <row r="38">
          <cell r="A38" t="str">
            <v>42014</v>
          </cell>
          <cell r="B38" t="str">
            <v>LAMINAS DE HOJALDRE MIL HOJAS</v>
          </cell>
          <cell r="C38">
            <v>755</v>
          </cell>
          <cell r="D38" t="str">
            <v>1 Uds.</v>
          </cell>
        </row>
        <row r="39">
          <cell r="A39" t="str">
            <v>42016</v>
          </cell>
          <cell r="B39" t="str">
            <v>ARREGLADO (UND)</v>
          </cell>
          <cell r="C39">
            <v>255</v>
          </cell>
          <cell r="D39" t="str">
            <v>1 UND</v>
          </cell>
        </row>
        <row r="40">
          <cell r="A40" t="str">
            <v>42025</v>
          </cell>
          <cell r="B40" t="str">
            <v>EMPANADA POLLO PEQUEÑA (UND)</v>
          </cell>
          <cell r="C40">
            <v>125</v>
          </cell>
          <cell r="D40" t="str">
            <v>1 UND</v>
          </cell>
        </row>
        <row r="41">
          <cell r="A41" t="str">
            <v>42028</v>
          </cell>
          <cell r="B41" t="str">
            <v>EMPANADA POLLO GRANDE (UND)</v>
          </cell>
          <cell r="C41">
            <v>330</v>
          </cell>
          <cell r="D41" t="str">
            <v>1 UND</v>
          </cell>
        </row>
        <row r="42">
          <cell r="A42" t="str">
            <v>42086</v>
          </cell>
          <cell r="B42" t="str">
            <v>CANASTITA S/ RELLENO</v>
          </cell>
          <cell r="C42">
            <v>113</v>
          </cell>
          <cell r="D42" t="str">
            <v>1 UND</v>
          </cell>
        </row>
        <row r="43">
          <cell r="A43" t="str">
            <v>42092</v>
          </cell>
          <cell r="B43" t="str">
            <v>GALLETA P/CAFE (CONT=40 UND)</v>
          </cell>
          <cell r="C43">
            <v>54</v>
          </cell>
          <cell r="D43" t="str">
            <v>1 UND</v>
          </cell>
        </row>
        <row r="44">
          <cell r="A44" t="str">
            <v>42128</v>
          </cell>
          <cell r="B44" t="str">
            <v>EMPANADITA TRES QUESOS (UND)</v>
          </cell>
          <cell r="C44">
            <v>194.166666666667</v>
          </cell>
          <cell r="D44" t="str">
            <v>1 UND</v>
          </cell>
        </row>
        <row r="45">
          <cell r="A45" t="str">
            <v>56009</v>
          </cell>
          <cell r="B45" t="str">
            <v>CANDELA MAGICA</v>
          </cell>
          <cell r="C45">
            <v>470.25</v>
          </cell>
          <cell r="D45" t="str">
            <v>1 UND</v>
          </cell>
        </row>
        <row r="46">
          <cell r="A46" t="str">
            <v>78002</v>
          </cell>
          <cell r="B46" t="str">
            <v>LASAGNA DE POLLO (PORCION)</v>
          </cell>
          <cell r="C46">
            <v>1144.1666666666699</v>
          </cell>
          <cell r="D46" t="str">
            <v>1 UND</v>
          </cell>
        </row>
        <row r="47">
          <cell r="A47" t="str">
            <v>95607</v>
          </cell>
          <cell r="B47" t="str">
            <v>ALMENDRAS TAJADAS (KILO)</v>
          </cell>
          <cell r="C47">
            <v>9654</v>
          </cell>
          <cell r="D47" t="str">
            <v>1000 GRAMOS</v>
          </cell>
          <cell r="E47" t="str">
            <v>Gramo</v>
          </cell>
          <cell r="F47">
            <v>9.6539999999999999</v>
          </cell>
        </row>
        <row r="48">
          <cell r="A48" t="str">
            <v>96000</v>
          </cell>
          <cell r="B48" t="str">
            <v>BRILLO MIRROIR(KILO)</v>
          </cell>
          <cell r="C48">
            <v>3650</v>
          </cell>
          <cell r="D48" t="str">
            <v>1000 GRAMOS</v>
          </cell>
        </row>
        <row r="49">
          <cell r="A49" t="str">
            <v>101040</v>
          </cell>
          <cell r="B49" t="str">
            <v>CEBOLLA EN TRENZA (KILO)</v>
          </cell>
          <cell r="C49">
            <v>1359.1</v>
          </cell>
          <cell r="D49" t="str">
            <v>1000 GRAMO</v>
          </cell>
          <cell r="E49" t="str">
            <v>Gramo</v>
          </cell>
          <cell r="F49">
            <v>1.3591</v>
          </cell>
        </row>
        <row r="50">
          <cell r="A50" t="str">
            <v>0101055</v>
          </cell>
          <cell r="B50" t="str">
            <v>CHILE DULCE (PESO)</v>
          </cell>
          <cell r="C50">
            <v>1204.5</v>
          </cell>
          <cell r="D50" t="str">
            <v>1000 GRAMO</v>
          </cell>
          <cell r="E50" t="str">
            <v>Gramo</v>
          </cell>
          <cell r="F50">
            <v>1.2044999999999999</v>
          </cell>
        </row>
        <row r="51">
          <cell r="A51" t="str">
            <v>101072</v>
          </cell>
          <cell r="B51" t="str">
            <v>CULANTRO DESINFECTADO (PAQ=100g)</v>
          </cell>
          <cell r="C51">
            <v>3949</v>
          </cell>
          <cell r="D51" t="str">
            <v>1000 GRAMO</v>
          </cell>
          <cell r="E51" t="str">
            <v>Gramo</v>
          </cell>
          <cell r="F51">
            <v>3.9489999999999998</v>
          </cell>
        </row>
        <row r="52">
          <cell r="A52" t="str">
            <v>101075</v>
          </cell>
          <cell r="B52" t="str">
            <v>ESPINACA EN HOJA (PAQ:500 G)</v>
          </cell>
          <cell r="C52">
            <v>3159.2</v>
          </cell>
          <cell r="D52" t="str">
            <v>1000 GRAMOS</v>
          </cell>
        </row>
        <row r="53">
          <cell r="A53" t="str">
            <v>0101130</v>
          </cell>
          <cell r="B53" t="str">
            <v>LIMONES MAYA (UND)</v>
          </cell>
          <cell r="C53">
            <v>242.55</v>
          </cell>
          <cell r="D53" t="str">
            <v>1 UND</v>
          </cell>
          <cell r="E53" t="str">
            <v>UND</v>
          </cell>
          <cell r="F53">
            <v>242.55</v>
          </cell>
        </row>
        <row r="54">
          <cell r="A54" t="str">
            <v>0101133</v>
          </cell>
          <cell r="B54" t="str">
            <v>LECHUGA MIX CUADRO #2 ( .500 K</v>
          </cell>
          <cell r="C54">
            <v>2257.1999999999998</v>
          </cell>
          <cell r="D54" t="str">
            <v>1000 GRAMO</v>
          </cell>
        </row>
        <row r="55">
          <cell r="A55" t="str">
            <v>0101170</v>
          </cell>
          <cell r="B55" t="str">
            <v>PAPAS FREIR (KILO)</v>
          </cell>
          <cell r="C55">
            <v>1086.9405453075599</v>
          </cell>
          <cell r="D55" t="str">
            <v>1000 gramos</v>
          </cell>
        </row>
        <row r="56">
          <cell r="A56" t="str">
            <v>0101210</v>
          </cell>
          <cell r="B56" t="str">
            <v>TOMATE (KILO)</v>
          </cell>
          <cell r="C56">
            <v>750</v>
          </cell>
          <cell r="D56" t="str">
            <v>1000 GRAMO</v>
          </cell>
          <cell r="E56" t="str">
            <v>Gramo</v>
          </cell>
          <cell r="F56">
            <v>0.75</v>
          </cell>
        </row>
        <row r="57">
          <cell r="A57" t="str">
            <v>0101236</v>
          </cell>
          <cell r="B57" t="str">
            <v>ZANAHORIA JULIANA (PAQ=1K)</v>
          </cell>
          <cell r="C57">
            <v>2025.1</v>
          </cell>
          <cell r="D57" t="str">
            <v>1000 GRAMO</v>
          </cell>
        </row>
        <row r="58">
          <cell r="A58" t="str">
            <v>105665</v>
          </cell>
          <cell r="B58" t="str">
            <v>CEREZAS CON TALLO (KILO)</v>
          </cell>
          <cell r="C58">
            <v>5978.0219780219804</v>
          </cell>
          <cell r="D58" t="str">
            <v>1000 gramos</v>
          </cell>
        </row>
        <row r="59">
          <cell r="A59" t="str">
            <v>105807</v>
          </cell>
          <cell r="B59" t="str">
            <v>FRESAS CONGELADAS KILO</v>
          </cell>
          <cell r="C59">
            <v>1890</v>
          </cell>
          <cell r="D59" t="str">
            <v>1000 GRAMO</v>
          </cell>
        </row>
        <row r="60">
          <cell r="A60" t="str">
            <v>105824</v>
          </cell>
          <cell r="B60" t="str">
            <v xml:space="preserve">PIÑA MARACUYA CONG (KILO) </v>
          </cell>
          <cell r="C60">
            <v>2834</v>
          </cell>
          <cell r="D60" t="str">
            <v>1000 gramos</v>
          </cell>
        </row>
        <row r="61">
          <cell r="A61" t="str">
            <v>109228</v>
          </cell>
          <cell r="B61" t="str">
            <v>BANDEJA PLAST NEGRA DELI 120N (252UND)</v>
          </cell>
          <cell r="C61">
            <v>64.507936507936506</v>
          </cell>
          <cell r="D61" t="str">
            <v>1 Uds.</v>
          </cell>
        </row>
        <row r="62">
          <cell r="A62" t="str">
            <v>109254</v>
          </cell>
          <cell r="B62" t="str">
            <v>VASO 3.25 ONZ (PAQ*200)</v>
          </cell>
          <cell r="C62">
            <v>12.797000000000001</v>
          </cell>
          <cell r="D62" t="str">
            <v>1 PAQUETE</v>
          </cell>
        </row>
        <row r="63">
          <cell r="A63" t="str">
            <v>0110071</v>
          </cell>
          <cell r="B63" t="str">
            <v>ARANDANOS CONGELADOS (KILO)</v>
          </cell>
          <cell r="C63">
            <v>6659.03</v>
          </cell>
          <cell r="D63" t="str">
            <v>1000 gramos</v>
          </cell>
        </row>
        <row r="64">
          <cell r="A64" t="str">
            <v>0110080</v>
          </cell>
          <cell r="B64" t="str">
            <v>CEBOLLA MORADA (KILO)</v>
          </cell>
          <cell r="C64">
            <v>1628.4859813084099</v>
          </cell>
          <cell r="D64" t="str">
            <v>1000 GRAMO</v>
          </cell>
          <cell r="E64" t="str">
            <v>Gramo</v>
          </cell>
          <cell r="F64">
            <v>1.6284859813084098</v>
          </cell>
        </row>
        <row r="65">
          <cell r="A65" t="str">
            <v>111229</v>
          </cell>
          <cell r="B65" t="str">
            <v>JUEGO CUBIERTOS NEGR C/SERVILLETA CJ:500</v>
          </cell>
          <cell r="C65">
            <v>28.332000000000001</v>
          </cell>
          <cell r="D65" t="str">
            <v>1 Uds.</v>
          </cell>
          <cell r="E65" t="str">
            <v>UND</v>
          </cell>
          <cell r="F65">
            <v>28.332000000000001</v>
          </cell>
        </row>
        <row r="66">
          <cell r="A66" t="str">
            <v>111300</v>
          </cell>
          <cell r="B66" t="str">
            <v>TENEDORES LINEA VERDE (10/100 UD)</v>
          </cell>
          <cell r="C66">
            <v>14.271000000000001</v>
          </cell>
          <cell r="D66" t="str">
            <v>1 UND</v>
          </cell>
          <cell r="E66" t="str">
            <v>UND</v>
          </cell>
          <cell r="F66">
            <v>14.271000000000001</v>
          </cell>
        </row>
        <row r="67">
          <cell r="A67" t="str">
            <v>111301</v>
          </cell>
          <cell r="B67" t="str">
            <v>CUCHILLOS LINEA VERDE (10/100 UD)</v>
          </cell>
          <cell r="C67">
            <v>13.805999999999999</v>
          </cell>
          <cell r="D67" t="str">
            <v>1 UND</v>
          </cell>
          <cell r="E67" t="str">
            <v>UND</v>
          </cell>
          <cell r="F67">
            <v>13.805999999999999</v>
          </cell>
        </row>
        <row r="68">
          <cell r="A68" t="str">
            <v>111302</v>
          </cell>
          <cell r="B68" t="str">
            <v>CUCHARA LINEA VERDE (10/100 UD)</v>
          </cell>
          <cell r="C68">
            <v>15.356</v>
          </cell>
          <cell r="D68" t="str">
            <v>1 UND</v>
          </cell>
          <cell r="E68" t="str">
            <v>UND</v>
          </cell>
          <cell r="F68">
            <v>15.356</v>
          </cell>
        </row>
        <row r="69">
          <cell r="A69" t="str">
            <v>120206</v>
          </cell>
          <cell r="B69" t="str">
            <v xml:space="preserve">BANDEJA PLAST NEGRA 3 DIV PACTIV </v>
          </cell>
          <cell r="C69">
            <v>120.624</v>
          </cell>
          <cell r="D69" t="str">
            <v>1 UND</v>
          </cell>
          <cell r="E69" t="str">
            <v>UND</v>
          </cell>
          <cell r="F69">
            <v>120.624</v>
          </cell>
        </row>
        <row r="70">
          <cell r="A70" t="str">
            <v>120604</v>
          </cell>
          <cell r="B70" t="str">
            <v>SIROPE CHOCO. LIQUIDO HERS (LITRO)</v>
          </cell>
          <cell r="C70">
            <v>2486.76470588235</v>
          </cell>
          <cell r="D70" t="str">
            <v>1000 MILIL</v>
          </cell>
        </row>
        <row r="71">
          <cell r="A71" t="str">
            <v>125605</v>
          </cell>
          <cell r="B71" t="str">
            <v>SALSA TOMATE INDIVIDUAL (UND)</v>
          </cell>
          <cell r="C71">
            <v>16.282</v>
          </cell>
          <cell r="D71" t="str">
            <v>1 UND</v>
          </cell>
        </row>
        <row r="72">
          <cell r="A72" t="str">
            <v>130627</v>
          </cell>
          <cell r="B72" t="str">
            <v>MAYONESA INDIVIDUAL (UND)</v>
          </cell>
          <cell r="C72">
            <v>14.465</v>
          </cell>
          <cell r="D72" t="str">
            <v>1 UND</v>
          </cell>
        </row>
        <row r="73">
          <cell r="A73" t="str">
            <v>135608</v>
          </cell>
          <cell r="B73" t="str">
            <v>SALSA INGLESA LIZANO (GALON)</v>
          </cell>
          <cell r="C73">
            <v>1929.45838837517</v>
          </cell>
          <cell r="D73" t="str">
            <v>1000 mililitros</v>
          </cell>
        </row>
        <row r="74">
          <cell r="A74" t="str">
            <v>135744</v>
          </cell>
          <cell r="B74" t="str">
            <v>SALSA MINOR TERIYAKI NESTLE (UNIDAD)</v>
          </cell>
          <cell r="C74">
            <v>14640</v>
          </cell>
          <cell r="D74" t="str">
            <v>1000 gramos</v>
          </cell>
        </row>
        <row r="75">
          <cell r="A75" t="str">
            <v>135745</v>
          </cell>
          <cell r="B75" t="str">
            <v>SALSA MINOR TSO NESTLE (UND:2.49 KILOS)</v>
          </cell>
          <cell r="C75">
            <v>7580</v>
          </cell>
          <cell r="D75" t="str">
            <v>1000 mililitros</v>
          </cell>
        </row>
        <row r="76">
          <cell r="A76" t="str">
            <v>160637</v>
          </cell>
          <cell r="B76" t="str">
            <v>ACEITE LIBRE TRANS INOLASA (15.88 L)</v>
          </cell>
          <cell r="C76">
            <v>802.77078085642302</v>
          </cell>
          <cell r="D76" t="str">
            <v>1000 gramos</v>
          </cell>
        </row>
        <row r="77">
          <cell r="A77" t="str">
            <v>163371</v>
          </cell>
          <cell r="B77" t="str">
            <v>FUZE TE LIMON 500 ML (UND)</v>
          </cell>
          <cell r="C77">
            <v>371.43</v>
          </cell>
          <cell r="D77" t="str">
            <v>1 UND</v>
          </cell>
        </row>
        <row r="78">
          <cell r="A78" t="str">
            <v>163372</v>
          </cell>
          <cell r="B78" t="str">
            <v>FUZE TE MELOCOTON 500 ML</v>
          </cell>
          <cell r="C78">
            <v>371.43</v>
          </cell>
          <cell r="D78" t="str">
            <v>1 UND</v>
          </cell>
        </row>
        <row r="79">
          <cell r="A79" t="str">
            <v>163378</v>
          </cell>
          <cell r="B79" t="str">
            <v>COCA COLA ZERO ( 600 ML ) ( 12 UND )</v>
          </cell>
          <cell r="C79">
            <v>699.699166666667</v>
          </cell>
          <cell r="D79" t="str">
            <v>1 UND</v>
          </cell>
        </row>
        <row r="80">
          <cell r="A80" t="str">
            <v>163410</v>
          </cell>
          <cell r="B80" t="str">
            <v>COCA COLA ZERO 355 ML</v>
          </cell>
          <cell r="C80">
            <v>435.11500000000001</v>
          </cell>
          <cell r="D80" t="str">
            <v>1 UND</v>
          </cell>
        </row>
        <row r="81">
          <cell r="A81" t="str">
            <v>163420</v>
          </cell>
          <cell r="B81" t="str">
            <v>COCA COLA ZERO BAGGIN BOX 2.5 GAL</v>
          </cell>
          <cell r="C81">
            <v>42786.99</v>
          </cell>
          <cell r="D81" t="str">
            <v>1 PAQ</v>
          </cell>
        </row>
        <row r="82">
          <cell r="A82" t="str">
            <v>163519</v>
          </cell>
          <cell r="B82" t="str">
            <v>COCA COLA ZERO 1.5 L</v>
          </cell>
          <cell r="C82">
            <v>882.5</v>
          </cell>
          <cell r="D82" t="str">
            <v>1 UND</v>
          </cell>
        </row>
        <row r="83">
          <cell r="A83" t="str">
            <v>164968</v>
          </cell>
          <cell r="B83" t="str">
            <v>COCA COLA 2 LITROS</v>
          </cell>
          <cell r="C83">
            <v>1750</v>
          </cell>
          <cell r="D83" t="str">
            <v>1 BOTEL</v>
          </cell>
        </row>
        <row r="84">
          <cell r="A84" t="str">
            <v>165037</v>
          </cell>
          <cell r="B84" t="str">
            <v>COCA COLA REGULAR 1.5 L</v>
          </cell>
          <cell r="C84">
            <v>833.33333333333303</v>
          </cell>
          <cell r="D84" t="str">
            <v>1 UND</v>
          </cell>
        </row>
        <row r="85">
          <cell r="A85" t="str">
            <v>165258</v>
          </cell>
          <cell r="B85" t="str">
            <v>GINGER ALE 2.5 GALONES (BAGGING BOX)</v>
          </cell>
          <cell r="C85">
            <v>42786.99</v>
          </cell>
          <cell r="D85" t="str">
            <v>1 UND</v>
          </cell>
        </row>
        <row r="86">
          <cell r="A86" t="str">
            <v>165275</v>
          </cell>
          <cell r="B86" t="str">
            <v>COCA COLA 5 GALONES(BAGGIN BOX)</v>
          </cell>
          <cell r="C86">
            <v>85573.36</v>
          </cell>
          <cell r="D86" t="str">
            <v>1 UND</v>
          </cell>
        </row>
        <row r="87">
          <cell r="A87" t="str">
            <v>165501</v>
          </cell>
          <cell r="B87" t="str">
            <v>COCA COLA LIGHT (600ML PT 12)</v>
          </cell>
          <cell r="C87">
            <v>699.69833333333304</v>
          </cell>
          <cell r="D87" t="str">
            <v>1 UND</v>
          </cell>
        </row>
        <row r="88">
          <cell r="A88" t="str">
            <v>165969</v>
          </cell>
          <cell r="B88" t="str">
            <v>COCA COLA (600ML PT12)</v>
          </cell>
          <cell r="C88">
            <v>699.69833333333304</v>
          </cell>
          <cell r="D88" t="str">
            <v>1 UND</v>
          </cell>
        </row>
        <row r="89">
          <cell r="A89" t="str">
            <v>166593</v>
          </cell>
          <cell r="B89" t="str">
            <v>FANTA NARANJA 2.5G (BAGGING BOX)</v>
          </cell>
          <cell r="C89">
            <v>42786.99</v>
          </cell>
          <cell r="D89" t="str">
            <v>1 UND</v>
          </cell>
        </row>
        <row r="90">
          <cell r="A90" t="str">
            <v>167334</v>
          </cell>
          <cell r="B90" t="str">
            <v>COCA COLA 355 ML</v>
          </cell>
          <cell r="C90">
            <v>413.39166666666699</v>
          </cell>
          <cell r="D90" t="str">
            <v>1 UND</v>
          </cell>
        </row>
        <row r="91">
          <cell r="A91" t="str">
            <v>176642</v>
          </cell>
          <cell r="B91" t="str">
            <v>EMPANIZADOR POLLO EQ ALSERRO 1/1 K</v>
          </cell>
          <cell r="C91">
            <v>1905</v>
          </cell>
          <cell r="D91" t="str">
            <v>1000 GRAMO</v>
          </cell>
          <cell r="E91" t="str">
            <v>Gramo</v>
          </cell>
          <cell r="F91">
            <v>1.905</v>
          </cell>
        </row>
        <row r="92">
          <cell r="A92" t="str">
            <v>176799</v>
          </cell>
          <cell r="B92" t="str">
            <v>ENELDO TONES ( KILO )</v>
          </cell>
          <cell r="C92">
            <v>54102.836879432602</v>
          </cell>
          <cell r="D92" t="str">
            <v>1000 GRAMO</v>
          </cell>
        </row>
        <row r="93">
          <cell r="A93" t="str">
            <v>176887</v>
          </cell>
          <cell r="B93" t="str">
            <v>SEMILLA DE AJONJOLI NEGRO BADIA</v>
          </cell>
          <cell r="C93">
            <v>6207.0484581497803</v>
          </cell>
          <cell r="D93" t="str">
            <v>1000 gramos</v>
          </cell>
        </row>
        <row r="94">
          <cell r="A94" t="str">
            <v>190619</v>
          </cell>
          <cell r="B94" t="str">
            <v>HARINA NACARINA KILO</v>
          </cell>
          <cell r="C94">
            <v>660.6</v>
          </cell>
          <cell r="D94" t="str">
            <v>1000 GRAMOS</v>
          </cell>
          <cell r="E94" t="str">
            <v>Gramo</v>
          </cell>
          <cell r="F94">
            <v>0.66060000000000008</v>
          </cell>
        </row>
        <row r="95">
          <cell r="A95" t="str">
            <v>200815</v>
          </cell>
          <cell r="B95" t="str">
            <v>TORTILLA TRIGO MISION CONG 10.5" 6/12 UD</v>
          </cell>
          <cell r="C95">
            <v>98.75</v>
          </cell>
          <cell r="D95" t="str">
            <v>1 Uds.</v>
          </cell>
        </row>
        <row r="96">
          <cell r="A96" t="str">
            <v>202631</v>
          </cell>
          <cell r="B96" t="str">
            <v>AZUCAR GLASS MOLIDA (KILO)</v>
          </cell>
          <cell r="C96">
            <v>1501</v>
          </cell>
          <cell r="D96" t="str">
            <v>1000 GRAMO</v>
          </cell>
        </row>
        <row r="97">
          <cell r="A97" t="str">
            <v>202633</v>
          </cell>
          <cell r="B97" t="str">
            <v>AZUCAR ZUCRA ( UND )</v>
          </cell>
          <cell r="C97">
            <v>8.14</v>
          </cell>
          <cell r="D97" t="str">
            <v>1 UND</v>
          </cell>
        </row>
        <row r="98">
          <cell r="A98" t="str">
            <v>0210047</v>
          </cell>
          <cell r="B98" t="str">
            <v>CHICHARRON (KILO)</v>
          </cell>
          <cell r="C98">
            <v>6490</v>
          </cell>
          <cell r="D98" t="str">
            <v>1000 GRAMO</v>
          </cell>
        </row>
        <row r="99">
          <cell r="A99" t="str">
            <v>215744</v>
          </cell>
          <cell r="B99" t="str">
            <v>TE NEGRO INGLES BIGELOW (UND)</v>
          </cell>
          <cell r="C99">
            <v>75</v>
          </cell>
          <cell r="D99" t="str">
            <v>1 UND</v>
          </cell>
        </row>
        <row r="100">
          <cell r="A100" t="str">
            <v>290603</v>
          </cell>
          <cell r="B100" t="str">
            <v xml:space="preserve">PLASTICO AUTOADHERIBLE REYNOLDS </v>
          </cell>
          <cell r="C100">
            <v>7265</v>
          </cell>
          <cell r="D100" t="str">
            <v>1 ROLLO</v>
          </cell>
        </row>
        <row r="101">
          <cell r="A101" t="str">
            <v>0310108</v>
          </cell>
          <cell r="B101" t="str">
            <v>LECHE AZUL TB DOS PINOS (LITRO)</v>
          </cell>
          <cell r="C101">
            <v>471.95</v>
          </cell>
          <cell r="D101" t="str">
            <v>1000 MILIL</v>
          </cell>
        </row>
        <row r="102">
          <cell r="A102" t="str">
            <v>0310109</v>
          </cell>
          <cell r="B102" t="str">
            <v>LECHE DESCREMADA (LITRO)</v>
          </cell>
          <cell r="C102">
            <v>776.71</v>
          </cell>
          <cell r="D102" t="str">
            <v>1000 mililitros</v>
          </cell>
        </row>
        <row r="103">
          <cell r="A103" t="str">
            <v>0310112</v>
          </cell>
          <cell r="B103" t="str">
            <v>QUESO PRADO RICO REBANADO (KILO)</v>
          </cell>
          <cell r="C103">
            <v>5794.13</v>
          </cell>
          <cell r="D103" t="str">
            <v>1000 GRAMO</v>
          </cell>
        </row>
        <row r="104">
          <cell r="A104" t="str">
            <v>0310122</v>
          </cell>
          <cell r="B104" t="str">
            <v>YOGURT  BATDO IN LINE NATURAL 1/ 500 GRS</v>
          </cell>
          <cell r="C104">
            <v>1684</v>
          </cell>
          <cell r="D104" t="str">
            <v>1000 MILIL</v>
          </cell>
        </row>
        <row r="105">
          <cell r="A105" t="str">
            <v>0310154</v>
          </cell>
          <cell r="B105" t="str">
            <v>QUESO RAYADO RICO (PAQ: 2 KILOS)</v>
          </cell>
          <cell r="C105">
            <v>3783</v>
          </cell>
          <cell r="D105" t="str">
            <v>1000 gramos</v>
          </cell>
          <cell r="E105" t="str">
            <v>Gramo</v>
          </cell>
          <cell r="F105">
            <v>3.7829999999999999</v>
          </cell>
        </row>
        <row r="106">
          <cell r="A106" t="str">
            <v>310956</v>
          </cell>
          <cell r="B106" t="str">
            <v>TILAPIA FIL 5-7OZ80%PN CJ10Kg(P/KG)AJC</v>
          </cell>
          <cell r="C106">
            <v>3175.5319148899998</v>
          </cell>
          <cell r="D106" t="str">
            <v>1000 gramos</v>
          </cell>
          <cell r="E106" t="str">
            <v>Gramo</v>
          </cell>
          <cell r="F106">
            <v>3.1755319148899996</v>
          </cell>
        </row>
        <row r="107">
          <cell r="A107" t="str">
            <v>0312277</v>
          </cell>
          <cell r="B107" t="str">
            <v>QUESO BOCCONCINI (PAQ= 500g)</v>
          </cell>
          <cell r="C107">
            <v>7700.62</v>
          </cell>
          <cell r="D107" t="str">
            <v>1000 GRAMO</v>
          </cell>
        </row>
        <row r="108">
          <cell r="A108" t="str">
            <v>330604</v>
          </cell>
          <cell r="B108" t="str">
            <v>REMOVEDOR MADERA 14CM 1/1000</v>
          </cell>
          <cell r="C108">
            <v>3.129</v>
          </cell>
          <cell r="D108" t="str">
            <v>1 Uds.</v>
          </cell>
        </row>
        <row r="109">
          <cell r="A109" t="str">
            <v>360212</v>
          </cell>
          <cell r="B109" t="str">
            <v>TAPA PLAST LISA P/BAND  8/12 OZ (UND)</v>
          </cell>
          <cell r="C109">
            <v>56.984126984127002</v>
          </cell>
          <cell r="D109" t="str">
            <v>1 UND</v>
          </cell>
        </row>
        <row r="110">
          <cell r="A110" t="str">
            <v>400823</v>
          </cell>
          <cell r="B110" t="str">
            <v>PAPA GAJO CASCARA HIERBA</v>
          </cell>
          <cell r="C110">
            <v>1436.0255750716501</v>
          </cell>
          <cell r="D110" t="str">
            <v>1000 GRAMO</v>
          </cell>
        </row>
        <row r="111">
          <cell r="A111" t="str">
            <v>499206</v>
          </cell>
          <cell r="B111" t="str">
            <v>DELANTAL PLAST. DESECHABBLE CAJ 1/100 UD</v>
          </cell>
          <cell r="C111">
            <v>36.130000000000003</v>
          </cell>
          <cell r="D111" t="str">
            <v>1 Uds.</v>
          </cell>
        </row>
        <row r="112">
          <cell r="A112" t="str">
            <v>500765</v>
          </cell>
          <cell r="B112" t="str">
            <v>QUESO TURRIALBA (KILO)</v>
          </cell>
          <cell r="C112">
            <v>3041.3766660000001</v>
          </cell>
          <cell r="D112" t="str">
            <v>1000 gramos</v>
          </cell>
          <cell r="E112" t="str">
            <v>Gramo</v>
          </cell>
          <cell r="F112">
            <v>3.0413766660000001</v>
          </cell>
        </row>
        <row r="113">
          <cell r="A113" t="str">
            <v>500812</v>
          </cell>
          <cell r="B113" t="str">
            <v>NATILLA GRANJA  (KILO)</v>
          </cell>
          <cell r="C113">
            <v>1162.8695652173899</v>
          </cell>
          <cell r="D113" t="str">
            <v>1000 MILIL</v>
          </cell>
          <cell r="E113" t="str">
            <v>Gramo</v>
          </cell>
          <cell r="F113">
            <v>1.1628695652173899</v>
          </cell>
        </row>
        <row r="114">
          <cell r="A114" t="str">
            <v>500924</v>
          </cell>
          <cell r="B114" t="str">
            <v>LECHE DE ALMENDRA (CAJA:24 UND 236 ml)</v>
          </cell>
          <cell r="C114">
            <v>3846.3983050847501</v>
          </cell>
          <cell r="D114" t="str">
            <v>1000 mililitros</v>
          </cell>
        </row>
        <row r="115">
          <cell r="A115" t="str">
            <v>506201</v>
          </cell>
          <cell r="B115" t="str">
            <v xml:space="preserve">BURBUJA # 5 (CAJA:3/125UND) </v>
          </cell>
          <cell r="C115">
            <v>51.072000000000003</v>
          </cell>
          <cell r="D115" t="str">
            <v>1 Uds.</v>
          </cell>
        </row>
        <row r="116">
          <cell r="A116" t="str">
            <v>0510152</v>
          </cell>
          <cell r="B116" t="str">
            <v>AZUCAR SOBRES PERSO. SPOON (UND)</v>
          </cell>
          <cell r="C116">
            <v>5.6680000000000001</v>
          </cell>
          <cell r="D116" t="str">
            <v>1 UND</v>
          </cell>
        </row>
        <row r="117">
          <cell r="A117" t="str">
            <v>510174</v>
          </cell>
          <cell r="B117" t="str">
            <v>COCO RALLADO (PAQ: 1 K)</v>
          </cell>
          <cell r="C117">
            <v>2390</v>
          </cell>
          <cell r="D117" t="str">
            <v>1000 gramos</v>
          </cell>
        </row>
        <row r="118">
          <cell r="A118" t="str">
            <v>0510179</v>
          </cell>
          <cell r="B118" t="str">
            <v>CONFITURA COLORES ( PAQ= 1 k)</v>
          </cell>
          <cell r="C118">
            <v>3670.92</v>
          </cell>
          <cell r="D118" t="str">
            <v>1000 GRAMO</v>
          </cell>
        </row>
        <row r="119">
          <cell r="A119" t="str">
            <v>510414</v>
          </cell>
          <cell r="B119" t="str">
            <v>SNACK YUCA-PLATANOS (PAQ=500g)</v>
          </cell>
          <cell r="C119">
            <v>2920.36</v>
          </cell>
          <cell r="D119" t="str">
            <v>1000 GRAMO</v>
          </cell>
        </row>
        <row r="120">
          <cell r="A120" t="str">
            <v>0512312</v>
          </cell>
          <cell r="B120" t="str">
            <v>OREGANO MAYCA (KILO)</v>
          </cell>
          <cell r="C120">
            <v>13450</v>
          </cell>
          <cell r="D120" t="str">
            <v>1000 GRAMO</v>
          </cell>
        </row>
        <row r="121">
          <cell r="A121" t="str">
            <v>520865</v>
          </cell>
          <cell r="B121" t="str">
            <v>HELADO DE VAINILLA 1/4 GALON</v>
          </cell>
          <cell r="C121">
            <v>1000</v>
          </cell>
          <cell r="D121" t="str">
            <v>1 UNIDAD</v>
          </cell>
        </row>
        <row r="122">
          <cell r="A122" t="str">
            <v>526612</v>
          </cell>
          <cell r="B122" t="str">
            <v>PAJILLA BIO FLEXIBLE C/FORRO ECOSUN</v>
          </cell>
          <cell r="C122">
            <v>5.8440000000000003</v>
          </cell>
          <cell r="D122" t="str">
            <v>1 UND</v>
          </cell>
        </row>
        <row r="123">
          <cell r="A123" t="str">
            <v>618224</v>
          </cell>
          <cell r="B123" t="str">
            <v>TAPA PARA VASO 16 OZ. COCA COLA</v>
          </cell>
          <cell r="C123">
            <v>3.4070999999999998</v>
          </cell>
          <cell r="D123" t="str">
            <v>1 Uds.</v>
          </cell>
        </row>
        <row r="124">
          <cell r="A124" t="str">
            <v>0702053</v>
          </cell>
          <cell r="B124" t="str">
            <v>STICKER REDONDO AMARILLO</v>
          </cell>
          <cell r="C124">
            <v>801</v>
          </cell>
          <cell r="D124" t="str">
            <v>1 ROLLO</v>
          </cell>
        </row>
        <row r="125">
          <cell r="A125" t="str">
            <v>0702054</v>
          </cell>
          <cell r="B125" t="str">
            <v>STICKER REDONDE BLANCO</v>
          </cell>
          <cell r="C125">
            <v>800.53</v>
          </cell>
          <cell r="D125" t="str">
            <v>1 ROLLO</v>
          </cell>
        </row>
        <row r="126">
          <cell r="A126" t="str">
            <v>0702056</v>
          </cell>
          <cell r="B126" t="str">
            <v>STICKER REDONDO CELESTE</v>
          </cell>
          <cell r="C126">
            <v>806</v>
          </cell>
          <cell r="D126" t="str">
            <v>1 UND</v>
          </cell>
        </row>
        <row r="127">
          <cell r="A127" t="str">
            <v>0702057</v>
          </cell>
          <cell r="B127" t="str">
            <v>STICKER REDONDO NARANJA</v>
          </cell>
          <cell r="C127">
            <v>801.95</v>
          </cell>
          <cell r="D127" t="str">
            <v>1 ROLLO</v>
          </cell>
        </row>
        <row r="128">
          <cell r="A128" t="str">
            <v>0702059</v>
          </cell>
          <cell r="B128" t="str">
            <v>STICKER REDONDO ROSADO</v>
          </cell>
          <cell r="C128">
            <v>807.12</v>
          </cell>
          <cell r="D128" t="str">
            <v>1 UND</v>
          </cell>
        </row>
        <row r="129">
          <cell r="A129" t="str">
            <v>0702060</v>
          </cell>
          <cell r="B129" t="str">
            <v>STICKER REDONDO VERDE</v>
          </cell>
          <cell r="C129">
            <v>802.59</v>
          </cell>
          <cell r="D129" t="str">
            <v>1 UND</v>
          </cell>
        </row>
        <row r="130">
          <cell r="A130" t="str">
            <v>0702119</v>
          </cell>
          <cell r="B130" t="str">
            <v>STICKER REDONDO CAFE</v>
          </cell>
          <cell r="C130">
            <v>798</v>
          </cell>
          <cell r="D130" t="str">
            <v>1 UND</v>
          </cell>
        </row>
        <row r="131">
          <cell r="A131" t="str">
            <v>0702155</v>
          </cell>
          <cell r="B131" t="str">
            <v>ETIQUETA BLANCA VENCE ROLLO 1000</v>
          </cell>
          <cell r="C131">
            <v>1240</v>
          </cell>
          <cell r="D131" t="str">
            <v>1 UND</v>
          </cell>
        </row>
        <row r="132">
          <cell r="A132" t="str">
            <v>702175</v>
          </cell>
          <cell r="B132" t="str">
            <v>ETIQUETA IMP.SPOON.GRD. V-272 DOMO</v>
          </cell>
          <cell r="C132">
            <v>30.25</v>
          </cell>
          <cell r="D132" t="str">
            <v>1 UND</v>
          </cell>
        </row>
        <row r="133">
          <cell r="A133" t="str">
            <v>0703204</v>
          </cell>
          <cell r="B133" t="str">
            <v>TARJETA SPOONER PVC</v>
          </cell>
          <cell r="C133">
            <v>102.2</v>
          </cell>
          <cell r="D133" t="str">
            <v>1 UND</v>
          </cell>
        </row>
        <row r="134">
          <cell r="A134" t="str">
            <v>703205</v>
          </cell>
          <cell r="B134" t="str">
            <v>BROCHURE P/TARJETAS SPOONERS</v>
          </cell>
          <cell r="C134">
            <v>57</v>
          </cell>
          <cell r="D134" t="str">
            <v>1 UND</v>
          </cell>
        </row>
        <row r="135">
          <cell r="A135" t="str">
            <v>0710260</v>
          </cell>
          <cell r="B135" t="str">
            <v>PAN CUADRADO INTEGRAL (PAQ=22 REBANADAS)</v>
          </cell>
          <cell r="C135">
            <v>55</v>
          </cell>
          <cell r="D135" t="str">
            <v>1 REBAN</v>
          </cell>
        </row>
        <row r="136">
          <cell r="A136" t="str">
            <v>0710261</v>
          </cell>
          <cell r="B136" t="str">
            <v>PAN CUADRADO BLANCO (PAQ=22 REBANADAS)</v>
          </cell>
          <cell r="C136">
            <v>50</v>
          </cell>
          <cell r="D136" t="str">
            <v>1 REBAN</v>
          </cell>
        </row>
        <row r="137">
          <cell r="A137" t="str">
            <v>0710290</v>
          </cell>
          <cell r="B137" t="str">
            <v>PAPEL  DE ARROZ (PAQ=36 UND)</v>
          </cell>
          <cell r="C137">
            <v>44.836944444444399</v>
          </cell>
          <cell r="D137" t="str">
            <v>1 UND</v>
          </cell>
        </row>
        <row r="138">
          <cell r="A138" t="str">
            <v>0812274</v>
          </cell>
          <cell r="B138" t="str">
            <v>SIROPE CARAMELO HERSHEY (LITRO)</v>
          </cell>
          <cell r="C138">
            <v>3227.9293739967902</v>
          </cell>
          <cell r="D138" t="str">
            <v>1000 MILIL</v>
          </cell>
        </row>
        <row r="139">
          <cell r="A139" t="str">
            <v>0812377</v>
          </cell>
          <cell r="B139" t="str">
            <v>SIROPE CREMA IRLANDESA (LITRO)</v>
          </cell>
          <cell r="C139">
            <v>4897.3333333333303</v>
          </cell>
          <cell r="D139" t="str">
            <v>1000 MILIL</v>
          </cell>
        </row>
        <row r="140">
          <cell r="A140" t="str">
            <v>0812378</v>
          </cell>
          <cell r="B140" t="str">
            <v>SIROPE AMARETTO MONI (LITRO)</v>
          </cell>
          <cell r="C140">
            <v>5268</v>
          </cell>
          <cell r="D140" t="str">
            <v>1000 MILIL</v>
          </cell>
        </row>
        <row r="141">
          <cell r="A141" t="str">
            <v>0812388</v>
          </cell>
          <cell r="B141" t="str">
            <v>SIROPE FRUTOS BOSQUE (LITRO)</v>
          </cell>
          <cell r="C141">
            <v>5381</v>
          </cell>
          <cell r="D141" t="str">
            <v>1000 MILIL</v>
          </cell>
        </row>
        <row r="142">
          <cell r="A142" t="str">
            <v>900711</v>
          </cell>
          <cell r="B142" t="str">
            <v>FILTRO P/GRASA 10" CONICO</v>
          </cell>
          <cell r="C142">
            <v>76.66</v>
          </cell>
          <cell r="D142" t="str">
            <v>1 UND</v>
          </cell>
        </row>
        <row r="143">
          <cell r="A143" t="str">
            <v>900736</v>
          </cell>
          <cell r="B143" t="str">
            <v xml:space="preserve">TORTILLA TRIGO BLANCA 12" </v>
          </cell>
          <cell r="C143">
            <v>100.833333333333</v>
          </cell>
          <cell r="D143" t="str">
            <v>1 UND</v>
          </cell>
        </row>
        <row r="144">
          <cell r="A144" t="str">
            <v>0906226</v>
          </cell>
          <cell r="B144" t="str">
            <v xml:space="preserve">TERMOMETRO COOPER MANUAL </v>
          </cell>
          <cell r="C144">
            <v>10874</v>
          </cell>
          <cell r="D144" t="str">
            <v>1 UND</v>
          </cell>
        </row>
        <row r="145">
          <cell r="A145" t="str">
            <v>906288</v>
          </cell>
          <cell r="B145" t="str">
            <v xml:space="preserve">CILINDRO CHANTILLY CAJA 10 (UND) </v>
          </cell>
          <cell r="C145">
            <v>312</v>
          </cell>
          <cell r="D145" t="str">
            <v>1 UND</v>
          </cell>
        </row>
        <row r="146">
          <cell r="A146" t="str">
            <v>915001</v>
          </cell>
          <cell r="B146" t="str">
            <v>BOTELLA DE AGUA 600 ML</v>
          </cell>
          <cell r="C146">
            <v>234</v>
          </cell>
          <cell r="D146" t="str">
            <v>1 UND</v>
          </cell>
        </row>
        <row r="147">
          <cell r="A147" t="str">
            <v>915201</v>
          </cell>
          <cell r="B147" t="str">
            <v>TAPA PLASTICA  C/D 3 DIV.PACTI (250 UND)</v>
          </cell>
          <cell r="C147">
            <v>92.372</v>
          </cell>
          <cell r="D147" t="str">
            <v>1 UND</v>
          </cell>
        </row>
        <row r="148">
          <cell r="A148" t="str">
            <v>915621</v>
          </cell>
          <cell r="B148" t="str">
            <v>BOLSA PAPEL EMPAREDADO</v>
          </cell>
          <cell r="C148">
            <v>52.335999999999999</v>
          </cell>
          <cell r="D148" t="str">
            <v>1 UND</v>
          </cell>
        </row>
        <row r="149">
          <cell r="A149" t="str">
            <v>915640</v>
          </cell>
          <cell r="B149" t="str">
            <v>SERVILLETA NATURAL P/CAFÉ TORK 12/500 UN</v>
          </cell>
          <cell r="C149">
            <v>818.91666666666697</v>
          </cell>
          <cell r="D149" t="str">
            <v>1 UND</v>
          </cell>
          <cell r="E149" t="str">
            <v>Und</v>
          </cell>
          <cell r="F149">
            <v>1.6378333333333339</v>
          </cell>
        </row>
        <row r="150">
          <cell r="A150" t="str">
            <v>915660</v>
          </cell>
          <cell r="B150" t="str">
            <v>BOLSA KRAFT SPOON 4 LB 1/1000</v>
          </cell>
          <cell r="C150">
            <v>10.552</v>
          </cell>
          <cell r="D150" t="str">
            <v>1 Uds.</v>
          </cell>
        </row>
        <row r="151">
          <cell r="A151" t="str">
            <v>915665</v>
          </cell>
          <cell r="B151" t="str">
            <v>BOLSA KRAFT PEQUEÑA 12 LB ( PAQ:500 UND)</v>
          </cell>
          <cell r="C151">
            <v>18.626000000000001</v>
          </cell>
          <cell r="D151" t="str">
            <v>1 Uds.</v>
          </cell>
          <cell r="E151" t="str">
            <v>Und</v>
          </cell>
          <cell r="F151">
            <v>18.626000000000001</v>
          </cell>
        </row>
        <row r="152">
          <cell r="A152" t="str">
            <v>915666</v>
          </cell>
          <cell r="B152" t="str">
            <v>BOLSA KRAFT MEDIANA ( PAQ: 250 UND)</v>
          </cell>
          <cell r="C152">
            <v>41.804000000000002</v>
          </cell>
          <cell r="D152" t="str">
            <v>1 Uds.</v>
          </cell>
          <cell r="E152" t="str">
            <v>Und</v>
          </cell>
          <cell r="F152">
            <v>41.804000000000002</v>
          </cell>
        </row>
        <row r="153">
          <cell r="A153" t="str">
            <v>915673</v>
          </cell>
          <cell r="B153" t="str">
            <v>BOLSA KRAFT SPOON 2L (1000 UN)</v>
          </cell>
          <cell r="C153">
            <v>7.0510000000000002</v>
          </cell>
          <cell r="D153" t="str">
            <v>1 Uds.</v>
          </cell>
        </row>
        <row r="154">
          <cell r="A154" t="str">
            <v>915701</v>
          </cell>
          <cell r="B154" t="str">
            <v>PULPA MARACUYA LIGHT UND=1LITRO</v>
          </cell>
          <cell r="C154">
            <v>2725</v>
          </cell>
          <cell r="D154" t="str">
            <v>1000 gramos</v>
          </cell>
        </row>
        <row r="155">
          <cell r="A155" t="str">
            <v>915709</v>
          </cell>
          <cell r="B155" t="str">
            <v>QUESO CREMA DOS PINOS SP 1/210 GRS</v>
          </cell>
          <cell r="C155">
            <v>4719.0476190476202</v>
          </cell>
          <cell r="D155" t="str">
            <v>1000 gramos</v>
          </cell>
        </row>
        <row r="156">
          <cell r="A156" t="str">
            <v>991866</v>
          </cell>
          <cell r="B156" t="str">
            <v>VASO 12on COCA COLA 50 UND X TIRA</v>
          </cell>
          <cell r="C156">
            <v>7.7964000000000002</v>
          </cell>
          <cell r="D156" t="str">
            <v>1 UND</v>
          </cell>
        </row>
        <row r="157">
          <cell r="A157" t="str">
            <v>991867</v>
          </cell>
          <cell r="B157" t="str">
            <v>VASO 16 on COCA COLA 50 UND X TIRA</v>
          </cell>
          <cell r="C157">
            <v>10.1858</v>
          </cell>
          <cell r="D157" t="str">
            <v>1 UND</v>
          </cell>
        </row>
        <row r="158">
          <cell r="A158" t="str">
            <v>991926</v>
          </cell>
          <cell r="B158" t="str">
            <v>TAPAS 12 on COCA COLA</v>
          </cell>
          <cell r="C158">
            <v>4.3787000000000003</v>
          </cell>
          <cell r="D158" t="str">
            <v>1 Uds.</v>
          </cell>
        </row>
        <row r="159">
          <cell r="A159" t="str">
            <v>1210402</v>
          </cell>
          <cell r="B159" t="str">
            <v>MARGARINA BLOQUE (KILO)</v>
          </cell>
          <cell r="C159">
            <v>1066.96</v>
          </cell>
          <cell r="D159" t="str">
            <v>1000 GRAMO</v>
          </cell>
          <cell r="E159" t="str">
            <v>Gramo</v>
          </cell>
          <cell r="F159">
            <v>1.0669600000000001</v>
          </cell>
        </row>
        <row r="160">
          <cell r="A160" t="str">
            <v>1210411</v>
          </cell>
          <cell r="B160" t="str">
            <v>CREMA P/ CAFE INDIVIDUAL (UND)</v>
          </cell>
          <cell r="C160">
            <v>9.702</v>
          </cell>
          <cell r="D160" t="str">
            <v>1 UND</v>
          </cell>
        </row>
        <row r="161">
          <cell r="A161" t="str">
            <v>1210494</v>
          </cell>
          <cell r="B161" t="str">
            <v>CUCHARA CHOCOLATE (CAJA= 25 UND)</v>
          </cell>
          <cell r="C161">
            <v>658.9</v>
          </cell>
          <cell r="D161" t="str">
            <v>1 UND</v>
          </cell>
        </row>
        <row r="162">
          <cell r="A162" t="str">
            <v>1500008</v>
          </cell>
          <cell r="B162" t="str">
            <v>TE VERDE TROPICAL (PAQ=50 UND)</v>
          </cell>
          <cell r="C162">
            <v>350.471</v>
          </cell>
          <cell r="D162" t="str">
            <v>1 UND</v>
          </cell>
        </row>
        <row r="163">
          <cell r="A163" t="str">
            <v>1520456</v>
          </cell>
          <cell r="B163" t="str">
            <v>FRIJOLES TIERNOS CHIFRIJO C/CALDO (KILO)</v>
          </cell>
          <cell r="C163">
            <v>1388.23529411765</v>
          </cell>
          <cell r="D163" t="str">
            <v>1000 GRAMO</v>
          </cell>
        </row>
        <row r="164">
          <cell r="A164" t="str">
            <v>1522341</v>
          </cell>
          <cell r="B164" t="str">
            <v>SALSA ROJA (LITRO)</v>
          </cell>
          <cell r="C164">
            <v>1670</v>
          </cell>
          <cell r="D164" t="str">
            <v>1000 MILILITROS</v>
          </cell>
        </row>
        <row r="165">
          <cell r="A165" t="str">
            <v>1522344</v>
          </cell>
          <cell r="B165" t="str">
            <v>PURE PAPA TRUE (BOLSA=450g=3 PORC)</v>
          </cell>
          <cell r="C165">
            <v>2257.7777777777801</v>
          </cell>
          <cell r="D165" t="str">
            <v>1000 GRAMOS</v>
          </cell>
        </row>
        <row r="166">
          <cell r="A166" t="str">
            <v>1522347</v>
          </cell>
          <cell r="B166" t="str">
            <v>RELLENO LIMON (KILO)</v>
          </cell>
          <cell r="C166">
            <v>2982</v>
          </cell>
          <cell r="D166" t="str">
            <v>1000 GRAMOS</v>
          </cell>
        </row>
        <row r="167">
          <cell r="A167" t="str">
            <v>1522361</v>
          </cell>
          <cell r="B167" t="str">
            <v>SALSA ARREGLADO (LITRO)</v>
          </cell>
          <cell r="C167">
            <v>1631.25</v>
          </cell>
          <cell r="D167" t="str">
            <v>1000 MILILITROS</v>
          </cell>
        </row>
        <row r="168">
          <cell r="A168" t="str">
            <v>1522386</v>
          </cell>
          <cell r="B168" t="str">
            <v>RELLENO POLLO LAPIZ (KILO)</v>
          </cell>
          <cell r="C168">
            <v>3233.3333333333298</v>
          </cell>
          <cell r="D168" t="str">
            <v>1000 GRAMOS</v>
          </cell>
        </row>
        <row r="169">
          <cell r="A169" t="str">
            <v>1522524</v>
          </cell>
          <cell r="B169" t="str">
            <v>HUMUS DE GARBANZOS (KILO)</v>
          </cell>
          <cell r="C169">
            <v>4800</v>
          </cell>
          <cell r="D169" t="str">
            <v>1000 GRAMOS</v>
          </cell>
        </row>
        <row r="170">
          <cell r="A170" t="str">
            <v>1620470</v>
          </cell>
          <cell r="B170" t="str">
            <v>PALMITO COCINADO (KILO)</v>
          </cell>
          <cell r="C170">
            <v>4040</v>
          </cell>
          <cell r="D170" t="str">
            <v>1000 GRAMOS</v>
          </cell>
        </row>
        <row r="171">
          <cell r="A171" t="str">
            <v>1620477</v>
          </cell>
          <cell r="B171" t="str">
            <v>TIQUEÑOS CON QUESO (UND)</v>
          </cell>
          <cell r="C171">
            <v>119.75</v>
          </cell>
          <cell r="D171" t="str">
            <v>1 UND</v>
          </cell>
        </row>
        <row r="172">
          <cell r="A172" t="str">
            <v>1620479</v>
          </cell>
          <cell r="B172" t="str">
            <v>ACEITE DE AJO Y PEREJIL (LITRO)</v>
          </cell>
          <cell r="C172">
            <v>3950</v>
          </cell>
          <cell r="D172" t="str">
            <v>1000 MILILITROS</v>
          </cell>
        </row>
        <row r="173">
          <cell r="A173" t="str">
            <v>1622333</v>
          </cell>
          <cell r="B173" t="str">
            <v>MAYONESA CHIPOTLE (LITRO)</v>
          </cell>
          <cell r="C173">
            <v>2740</v>
          </cell>
          <cell r="D173" t="str">
            <v>1000 MILILITROS</v>
          </cell>
        </row>
        <row r="174">
          <cell r="A174" t="str">
            <v>1622343</v>
          </cell>
          <cell r="B174" t="str">
            <v>FRIJOLES MOLIDOS (KILO)</v>
          </cell>
          <cell r="C174">
            <v>2142.5</v>
          </cell>
          <cell r="D174" t="str">
            <v>1000 GRAMOS</v>
          </cell>
        </row>
        <row r="175">
          <cell r="A175" t="str">
            <v>1622344</v>
          </cell>
          <cell r="B175" t="str">
            <v>ADEREZO VINAGRETA ALBAHACA (LITRO)</v>
          </cell>
          <cell r="C175">
            <v>4428.5714285714303</v>
          </cell>
          <cell r="D175" t="str">
            <v>1000 MILILITROS</v>
          </cell>
          <cell r="E175" t="str">
            <v>Mililitro</v>
          </cell>
          <cell r="F175">
            <v>4.4285714285714306</v>
          </cell>
        </row>
        <row r="176">
          <cell r="A176" t="str">
            <v>1622394</v>
          </cell>
          <cell r="B176" t="str">
            <v>SALSA TAMARINDO (LITRO)</v>
          </cell>
          <cell r="C176">
            <v>2319.0476190476202</v>
          </cell>
          <cell r="D176" t="str">
            <v>1000 MILILITROS</v>
          </cell>
        </row>
        <row r="177">
          <cell r="A177" t="str">
            <v>1622400</v>
          </cell>
          <cell r="B177" t="str">
            <v>ADEREZO ALBAHACA CAPRESSE (LITRO)</v>
          </cell>
          <cell r="C177">
            <v>4031.4285714285702</v>
          </cell>
          <cell r="D177" t="str">
            <v>1000 MILILITROS</v>
          </cell>
        </row>
        <row r="178">
          <cell r="A178" t="str">
            <v>1622409</v>
          </cell>
          <cell r="B178" t="str">
            <v>ADEREZO GRILL (BOLSA=500g)</v>
          </cell>
          <cell r="C178">
            <v>2190</v>
          </cell>
          <cell r="D178" t="str">
            <v>1000 GRAMOS</v>
          </cell>
        </row>
        <row r="179">
          <cell r="A179" t="str">
            <v>1622429</v>
          </cell>
          <cell r="B179" t="str">
            <v>RIZOS FLOREADOS DE CHOCOLATE</v>
          </cell>
          <cell r="C179">
            <v>9975</v>
          </cell>
          <cell r="D179" t="str">
            <v>1000 GRAMO</v>
          </cell>
        </row>
        <row r="180">
          <cell r="A180" t="str">
            <v>1622436</v>
          </cell>
          <cell r="B180" t="str">
            <v>ADEREZO PESTO ALBAHACA (KILO)</v>
          </cell>
          <cell r="C180">
            <v>3433.3333333333298</v>
          </cell>
          <cell r="D180" t="str">
            <v>1000 GRAMOS</v>
          </cell>
        </row>
        <row r="181">
          <cell r="A181" t="str">
            <v>1730613</v>
          </cell>
          <cell r="B181" t="str">
            <v>LECHE DELACTOMY (LITRO)</v>
          </cell>
          <cell r="C181">
            <v>869.41666666666697</v>
          </cell>
          <cell r="D181" t="str">
            <v>1000 MILIL</v>
          </cell>
        </row>
        <row r="182">
          <cell r="A182" t="str">
            <v>1730645</v>
          </cell>
          <cell r="B182" t="str">
            <v>QUESO RALLADO MOZARELLA (PAQ= 1 K)</v>
          </cell>
          <cell r="C182">
            <v>3412.7049999999999</v>
          </cell>
          <cell r="D182" t="str">
            <v>1000 GRAMOS</v>
          </cell>
        </row>
        <row r="183">
          <cell r="A183" t="str">
            <v>1730663</v>
          </cell>
          <cell r="B183" t="str">
            <v>SALSA AJI AMARILLO DOY PACK (PAQ=460 g)</v>
          </cell>
          <cell r="C183">
            <v>7353.7826086956502</v>
          </cell>
          <cell r="D183" t="str">
            <v>1000 GRAMO</v>
          </cell>
        </row>
        <row r="184">
          <cell r="A184" t="str">
            <v>1730670</v>
          </cell>
          <cell r="B184" t="str">
            <v>BOLITA FALAFEL CRUDA (CAJA=100 UND)</v>
          </cell>
          <cell r="C184">
            <v>77</v>
          </cell>
          <cell r="D184" t="str">
            <v>1 UND</v>
          </cell>
        </row>
        <row r="185">
          <cell r="A185" t="str">
            <v>1840640</v>
          </cell>
          <cell r="B185" t="str">
            <v>BOLSAS TRANSP EXTRAGRANDE 37x55 (KILO)</v>
          </cell>
          <cell r="C185">
            <v>1129.7087628866</v>
          </cell>
          <cell r="D185" t="str">
            <v>1000 gramos</v>
          </cell>
        </row>
        <row r="186">
          <cell r="A186" t="str">
            <v>1840675</v>
          </cell>
          <cell r="B186" t="str">
            <v>BOLSA DE BASURA NEGRA ( KILO )</v>
          </cell>
          <cell r="C186">
            <v>1130</v>
          </cell>
          <cell r="D186" t="str">
            <v>1000 gramos</v>
          </cell>
        </row>
        <row r="187">
          <cell r="A187" t="str">
            <v>1950701</v>
          </cell>
          <cell r="B187" t="str">
            <v xml:space="preserve">BOLSA KRAFF # 2 20x10 </v>
          </cell>
          <cell r="C187">
            <v>8.4320000000000004</v>
          </cell>
          <cell r="D187" t="str">
            <v>1 UND</v>
          </cell>
        </row>
        <row r="188">
          <cell r="A188" t="str">
            <v>1950702</v>
          </cell>
          <cell r="B188" t="str">
            <v>BOLSA 12x18 TRANSP (KILO)</v>
          </cell>
          <cell r="C188">
            <v>1624</v>
          </cell>
          <cell r="D188" t="str">
            <v>1000 gramos</v>
          </cell>
        </row>
        <row r="189">
          <cell r="A189" t="str">
            <v>1950704</v>
          </cell>
          <cell r="B189" t="str">
            <v>BOLSA 5x8 TRANSP (KILO)</v>
          </cell>
          <cell r="C189">
            <v>1631</v>
          </cell>
          <cell r="D189" t="str">
            <v>1000 gramos</v>
          </cell>
        </row>
        <row r="190">
          <cell r="A190" t="str">
            <v>1950705</v>
          </cell>
          <cell r="B190" t="str">
            <v>BOLSA 8x12 TRANSP (KILO)</v>
          </cell>
          <cell r="C190">
            <v>1613.3854961832101</v>
          </cell>
          <cell r="D190" t="str">
            <v>1000 gramos</v>
          </cell>
        </row>
        <row r="191">
          <cell r="A191" t="str">
            <v>1950708</v>
          </cell>
          <cell r="B191" t="str">
            <v>BOLSA 17x25 TRANSP (KILO)</v>
          </cell>
          <cell r="C191">
            <v>1615</v>
          </cell>
          <cell r="D191" t="str">
            <v>1000 gramos</v>
          </cell>
        </row>
        <row r="192">
          <cell r="A192" t="str">
            <v>1950731</v>
          </cell>
          <cell r="B192" t="str">
            <v>CAPSULA  # 3 CON LOGO UND</v>
          </cell>
          <cell r="C192">
            <v>7.5199999999999998E-3</v>
          </cell>
          <cell r="D192" t="str">
            <v>1 Uds.</v>
          </cell>
        </row>
        <row r="193">
          <cell r="A193" t="str">
            <v>1950735</v>
          </cell>
          <cell r="B193" t="str">
            <v>CAPSULA #5 CON LOGO</v>
          </cell>
          <cell r="C193">
            <v>9.0200000000000002E-3</v>
          </cell>
          <cell r="D193" t="str">
            <v>1 UND</v>
          </cell>
        </row>
        <row r="194">
          <cell r="A194" t="str">
            <v>1950747</v>
          </cell>
          <cell r="B194" t="str">
            <v>FILTROS DE PAPEL PARA CAFE (500 UND)</v>
          </cell>
          <cell r="C194">
            <v>12.696</v>
          </cell>
          <cell r="D194" t="str">
            <v>1 UND</v>
          </cell>
        </row>
        <row r="195">
          <cell r="A195" t="str">
            <v>1950756</v>
          </cell>
          <cell r="B195" t="str">
            <v>BANDEJA ALUM DESE 6 PORC #4040</v>
          </cell>
          <cell r="C195">
            <v>246</v>
          </cell>
          <cell r="D195" t="str">
            <v>1 UND</v>
          </cell>
        </row>
        <row r="196">
          <cell r="A196" t="str">
            <v>1950786</v>
          </cell>
          <cell r="B196" t="str">
            <v xml:space="preserve">BOLSA IMP. SPOON CAMI 12 * 25 </v>
          </cell>
          <cell r="C196">
            <v>2204</v>
          </cell>
          <cell r="D196" t="str">
            <v>1000 gramos</v>
          </cell>
        </row>
        <row r="197">
          <cell r="A197" t="str">
            <v>1950797</v>
          </cell>
          <cell r="B197" t="str">
            <v>VASO PLAST. TRASL 16 OZ (PAQ=50 UND)</v>
          </cell>
          <cell r="C197">
            <v>40.700000000000003</v>
          </cell>
          <cell r="D197" t="str">
            <v>1 UND</v>
          </cell>
        </row>
        <row r="198">
          <cell r="A198" t="str">
            <v>1950914</v>
          </cell>
          <cell r="B198" t="str">
            <v>PORTA VASO 4 CAVIDADES (PAQ: 25 UND)</v>
          </cell>
          <cell r="C198">
            <v>60</v>
          </cell>
          <cell r="D198" t="str">
            <v>1 PAQ</v>
          </cell>
        </row>
        <row r="199">
          <cell r="A199" t="str">
            <v>1950921</v>
          </cell>
          <cell r="B199" t="str">
            <v>TAPA SUFLE PLAST .5/.75/1 OZ (PAQ=100 UN</v>
          </cell>
          <cell r="C199">
            <v>6.0979000000000001</v>
          </cell>
          <cell r="D199" t="str">
            <v>1 UND</v>
          </cell>
        </row>
        <row r="200">
          <cell r="A200" t="str">
            <v>1950928</v>
          </cell>
          <cell r="B200" t="str">
            <v>BOLSA TRANSPARENTE 56X96X1.80 (KILO)</v>
          </cell>
          <cell r="C200">
            <v>1666</v>
          </cell>
          <cell r="D200" t="str">
            <v>1000 gramos</v>
          </cell>
        </row>
        <row r="201">
          <cell r="A201" t="str">
            <v>1950959</v>
          </cell>
          <cell r="B201" t="str">
            <v>TAPA PLAST. SUFLE 3.25 onz (PAQ=120 UND)</v>
          </cell>
          <cell r="C201">
            <v>12.4029166666667</v>
          </cell>
          <cell r="D201" t="str">
            <v>1 UND</v>
          </cell>
        </row>
        <row r="202">
          <cell r="A202" t="str">
            <v>1952409</v>
          </cell>
          <cell r="B202" t="str">
            <v>BANDEJA  ALUMINIO A-42 ( 4 PORC )</v>
          </cell>
          <cell r="C202">
            <v>99</v>
          </cell>
          <cell r="D202" t="str">
            <v>1 UND</v>
          </cell>
          <cell r="E202" t="str">
            <v>Und</v>
          </cell>
          <cell r="F202">
            <v>99</v>
          </cell>
        </row>
        <row r="203">
          <cell r="A203" t="str">
            <v>1952410</v>
          </cell>
          <cell r="B203" t="str">
            <v>TAPA CONTEN. ALUMINIO A-42 ( 4 PORC )</v>
          </cell>
          <cell r="C203">
            <v>70.84</v>
          </cell>
          <cell r="D203" t="str">
            <v>1 UND</v>
          </cell>
          <cell r="E203" t="str">
            <v>Und</v>
          </cell>
          <cell r="F203">
            <v>70.84</v>
          </cell>
        </row>
        <row r="204">
          <cell r="A204" t="str">
            <v>1952432</v>
          </cell>
          <cell r="B204" t="str">
            <v>TAPA BAND ALUM. DESE 4040 (6 PORC)</v>
          </cell>
          <cell r="C204">
            <v>95</v>
          </cell>
          <cell r="D204" t="str">
            <v>1 UND</v>
          </cell>
        </row>
        <row r="205">
          <cell r="A205" t="str">
            <v>1952826</v>
          </cell>
          <cell r="B205" t="str">
            <v>TAPA DOMO P/VASO TRASL 16onz ( PAQ*100)</v>
          </cell>
          <cell r="C205">
            <v>21.159600000000001</v>
          </cell>
          <cell r="D205" t="str">
            <v>1 UND</v>
          </cell>
        </row>
        <row r="206">
          <cell r="A206" t="str">
            <v>2000001</v>
          </cell>
          <cell r="B206" t="str">
            <v>SALMON AHUMADO  (PAQ=900g)</v>
          </cell>
          <cell r="C206">
            <v>21413.333333333299</v>
          </cell>
          <cell r="D206" t="str">
            <v>1000 GRAMO</v>
          </cell>
        </row>
        <row r="207">
          <cell r="A207" t="str">
            <v>2001001</v>
          </cell>
          <cell r="B207" t="str">
            <v>PEPINO ENTERO (KILO)</v>
          </cell>
          <cell r="C207">
            <v>660</v>
          </cell>
          <cell r="D207" t="str">
            <v>1000 GRAMO</v>
          </cell>
        </row>
        <row r="208">
          <cell r="A208" t="str">
            <v>10100068</v>
          </cell>
          <cell r="B208" t="str">
            <v>PAPITA RALLADA ( PAQ= 1.5 k)</v>
          </cell>
          <cell r="C208">
            <v>11440</v>
          </cell>
          <cell r="D208" t="str">
            <v>1000 GRAMO</v>
          </cell>
        </row>
        <row r="209">
          <cell r="A209" t="str">
            <v>10100088</v>
          </cell>
          <cell r="B209" t="str">
            <v>VINAGRE BALSAMICO TINTO (250 ML)</v>
          </cell>
          <cell r="C209">
            <v>9936</v>
          </cell>
          <cell r="D209" t="str">
            <v>1000 gramos</v>
          </cell>
        </row>
        <row r="210">
          <cell r="A210" t="str">
            <v>10100089</v>
          </cell>
          <cell r="B210" t="str">
            <v>CHILE MORRON LATA (UND=390g)**</v>
          </cell>
          <cell r="C210">
            <v>5280</v>
          </cell>
          <cell r="D210" t="str">
            <v>1000 GRAMO</v>
          </cell>
        </row>
        <row r="211">
          <cell r="A211" t="str">
            <v>10100098</v>
          </cell>
          <cell r="B211" t="str">
            <v>SAL REFINADA ( PAQ=500g)</v>
          </cell>
          <cell r="C211">
            <v>850</v>
          </cell>
          <cell r="D211" t="str">
            <v>1000 GRAMO</v>
          </cell>
          <cell r="E211" t="str">
            <v>Gramo</v>
          </cell>
          <cell r="F211">
            <v>0.85</v>
          </cell>
        </row>
        <row r="212">
          <cell r="A212" t="str">
            <v>10100103</v>
          </cell>
          <cell r="B212" t="str">
            <v>ACEITE EXTRA VIRGEN FILIPPO(UND=250 ml</v>
          </cell>
          <cell r="C212">
            <v>6836</v>
          </cell>
          <cell r="D212" t="str">
            <v>1000 MILIL</v>
          </cell>
        </row>
        <row r="213">
          <cell r="A213" t="str">
            <v>10100107</v>
          </cell>
          <cell r="B213" t="str">
            <v>TORTILLA (PAQ= 50 UND)</v>
          </cell>
          <cell r="C213">
            <v>23.1</v>
          </cell>
          <cell r="D213" t="str">
            <v>1 Uds.</v>
          </cell>
        </row>
        <row r="214">
          <cell r="A214" t="str">
            <v>10100108</v>
          </cell>
          <cell r="B214" t="str">
            <v>EQUAL SUCRALOSA (CAJA=2000/UND)</v>
          </cell>
          <cell r="C214">
            <v>6.5702199999999999</v>
          </cell>
          <cell r="D214" t="str">
            <v>1 UND</v>
          </cell>
        </row>
        <row r="215">
          <cell r="A215" t="str">
            <v>10100116</v>
          </cell>
          <cell r="B215" t="str">
            <v>ACEITUNA VERDE C/PIMIENTO (UND=180g)</v>
          </cell>
          <cell r="C215">
            <v>5454.2</v>
          </cell>
          <cell r="D215" t="str">
            <v>1000 GRAMO</v>
          </cell>
        </row>
        <row r="216">
          <cell r="A216" t="str">
            <v>10100130</v>
          </cell>
          <cell r="B216" t="str">
            <v>CREMA AVELLANAS NUTELLA 750g</v>
          </cell>
          <cell r="C216">
            <v>7725.3333333333303</v>
          </cell>
          <cell r="D216" t="str">
            <v>1000 gramos</v>
          </cell>
        </row>
        <row r="217">
          <cell r="A217" t="str">
            <v>10100131</v>
          </cell>
          <cell r="B217" t="str">
            <v xml:space="preserve">PAN TOAST ARTESANAL BRUCHETAS </v>
          </cell>
          <cell r="C217">
            <v>126.91249999999999</v>
          </cell>
          <cell r="D217" t="str">
            <v>1 Uds.</v>
          </cell>
        </row>
        <row r="218">
          <cell r="A218" t="str">
            <v>10100145</v>
          </cell>
          <cell r="B218" t="str">
            <v>JALEA DE GUAYABA (PAQ =200 g)</v>
          </cell>
          <cell r="C218">
            <v>3025</v>
          </cell>
          <cell r="D218" t="str">
            <v>1000 gramos</v>
          </cell>
        </row>
        <row r="219">
          <cell r="A219" t="str">
            <v>10100254</v>
          </cell>
          <cell r="B219" t="str">
            <v>GRANOLA SIN PASAS (PAQ:500 G)</v>
          </cell>
          <cell r="C219">
            <v>3993</v>
          </cell>
          <cell r="D219" t="str">
            <v>1000 gramos</v>
          </cell>
        </row>
        <row r="220">
          <cell r="A220" t="str">
            <v>10200012</v>
          </cell>
          <cell r="B220" t="str">
            <v>TE CHAI ESPECIES (PAQ=800 g)</v>
          </cell>
          <cell r="C220">
            <v>6756.75</v>
          </cell>
          <cell r="D220" t="str">
            <v>1000 GRAMO</v>
          </cell>
        </row>
        <row r="221">
          <cell r="A221" t="str">
            <v>10200022</v>
          </cell>
          <cell r="B221" t="str">
            <v>TE PALACIO ROYAL"ARANDANO" (PAQ =12 UND)</v>
          </cell>
          <cell r="C221">
            <v>196.35</v>
          </cell>
          <cell r="D221" t="str">
            <v>1 Uds.</v>
          </cell>
        </row>
        <row r="222">
          <cell r="A222" t="str">
            <v>10200023</v>
          </cell>
          <cell r="B222" t="str">
            <v>TE ON THE BEACH "VERDE" (PAQ=12 UND)</v>
          </cell>
          <cell r="C222">
            <v>187</v>
          </cell>
          <cell r="D222" t="str">
            <v>1 Uds.</v>
          </cell>
        </row>
        <row r="223">
          <cell r="A223" t="str">
            <v>10200024</v>
          </cell>
          <cell r="B223" t="str">
            <v>TE MENTA DEGESTIVA (PAQ=12 UND)</v>
          </cell>
          <cell r="C223">
            <v>196.35</v>
          </cell>
          <cell r="D223" t="str">
            <v>1 Uds.</v>
          </cell>
        </row>
        <row r="224">
          <cell r="A224" t="str">
            <v>10200025</v>
          </cell>
          <cell r="B224" t="str">
            <v>TE SPICY CHAI (PAQ=12 UND)</v>
          </cell>
          <cell r="C224">
            <v>196.35</v>
          </cell>
          <cell r="D224" t="str">
            <v>1 Uds.</v>
          </cell>
        </row>
        <row r="225">
          <cell r="A225" t="str">
            <v>10200026</v>
          </cell>
          <cell r="B225" t="str">
            <v>TE BED TIME "MANZANILLA" (PAQ=12 UND)</v>
          </cell>
          <cell r="C225">
            <v>196.35</v>
          </cell>
          <cell r="D225" t="str">
            <v>1 Uds.</v>
          </cell>
        </row>
        <row r="226">
          <cell r="A226" t="str">
            <v>10200027</v>
          </cell>
          <cell r="B226" t="str">
            <v>TE GINGER FRESH (PAQ=12 UND)</v>
          </cell>
          <cell r="C226">
            <v>196.35</v>
          </cell>
          <cell r="D226" t="str">
            <v>1 Uds.</v>
          </cell>
        </row>
        <row r="227">
          <cell r="A227" t="str">
            <v>10200028</v>
          </cell>
          <cell r="B227" t="str">
            <v>TE MAGIC TEA "AZUL" (PAQ=12 UND)</v>
          </cell>
          <cell r="C227">
            <v>196.35</v>
          </cell>
          <cell r="D227" t="str">
            <v>1 Uds.</v>
          </cell>
        </row>
        <row r="228">
          <cell r="A228" t="str">
            <v>10200029</v>
          </cell>
          <cell r="B228" t="str">
            <v>LECHE SABORIZADA FRAPPE MIX (paq= 1 kilo</v>
          </cell>
          <cell r="C228">
            <v>6050</v>
          </cell>
          <cell r="D228" t="str">
            <v>1000 gramos</v>
          </cell>
        </row>
        <row r="229">
          <cell r="A229" t="str">
            <v>10300008</v>
          </cell>
          <cell r="B229" t="str">
            <v>JAMON PAVO LIGHT (PAQ=500 G)</v>
          </cell>
          <cell r="C229">
            <v>5775</v>
          </cell>
          <cell r="D229" t="str">
            <v>1000 GRAMO</v>
          </cell>
        </row>
        <row r="230">
          <cell r="A230" t="str">
            <v>10300019</v>
          </cell>
          <cell r="B230" t="str">
            <v>TOCINETA (PAQ= 2 KILOS)</v>
          </cell>
          <cell r="C230">
            <v>5557.45</v>
          </cell>
          <cell r="D230" t="str">
            <v>1000 GRAMO</v>
          </cell>
        </row>
        <row r="231">
          <cell r="A231" t="str">
            <v>10300035</v>
          </cell>
          <cell r="B231" t="str">
            <v>JAMON COCIDO DELIKA GI (PAQ:250 G)</v>
          </cell>
          <cell r="C231">
            <v>4019.04</v>
          </cell>
          <cell r="D231" t="str">
            <v>1000 gramos</v>
          </cell>
        </row>
        <row r="232">
          <cell r="A232" t="str">
            <v>10300038</v>
          </cell>
          <cell r="B232" t="str">
            <v>ROAF BEEF REBANADO (PAQ:1 K)</v>
          </cell>
          <cell r="C232">
            <v>5775</v>
          </cell>
          <cell r="D232" t="str">
            <v>1000 gramos</v>
          </cell>
        </row>
        <row r="233">
          <cell r="A233" t="str">
            <v>10300039</v>
          </cell>
          <cell r="B233" t="str">
            <v>FILET TRUCHA PORCIONES (KILO)</v>
          </cell>
          <cell r="C233">
            <v>6809</v>
          </cell>
          <cell r="D233" t="str">
            <v>1000 gramos</v>
          </cell>
        </row>
        <row r="234">
          <cell r="A234" t="str">
            <v>10300041</v>
          </cell>
          <cell r="B234" t="str">
            <v>JAMON DE PAVO LIGHT (PAQ:250 G)</v>
          </cell>
          <cell r="C234">
            <v>2968</v>
          </cell>
          <cell r="D234" t="str">
            <v>1000 GRAMOS</v>
          </cell>
        </row>
        <row r="235">
          <cell r="A235" t="str">
            <v>10700003</v>
          </cell>
          <cell r="B235" t="str">
            <v>SALSA CHOCOLATE LYONS (KILO)</v>
          </cell>
          <cell r="C235">
            <v>4262.1145374449297</v>
          </cell>
          <cell r="D235" t="str">
            <v>1000 GRAMO</v>
          </cell>
        </row>
        <row r="236">
          <cell r="A236" t="str">
            <v>10700013</v>
          </cell>
          <cell r="B236" t="str">
            <v>STICK DORADO (CAJA= 100 UND)</v>
          </cell>
          <cell r="C236">
            <v>64.218000000000004</v>
          </cell>
          <cell r="D236" t="str">
            <v>1 UND</v>
          </cell>
        </row>
        <row r="237">
          <cell r="A237" t="str">
            <v>10700026</v>
          </cell>
          <cell r="B237" t="str">
            <v>PLACA DE FONDANT (PAQ = 10 UND)</v>
          </cell>
          <cell r="C237">
            <v>77</v>
          </cell>
          <cell r="D237" t="str">
            <v>1 Uds.</v>
          </cell>
        </row>
        <row r="238">
          <cell r="A238" t="str">
            <v>10700033</v>
          </cell>
          <cell r="B238" t="str">
            <v>CHOCOLATE KIT KAT (CAJA:24 UND)</v>
          </cell>
          <cell r="C238">
            <v>437.61666666666702</v>
          </cell>
          <cell r="D238" t="str">
            <v>1 UND</v>
          </cell>
        </row>
        <row r="239">
          <cell r="A239" t="str">
            <v>10700035</v>
          </cell>
          <cell r="B239" t="str">
            <v>DOYPACK FUDGE (PAQ:650 G)</v>
          </cell>
          <cell r="C239">
            <v>4398.3076923076896</v>
          </cell>
          <cell r="D239" t="str">
            <v>1000 gramos</v>
          </cell>
        </row>
        <row r="240">
          <cell r="A240" t="str">
            <v>10900005</v>
          </cell>
          <cell r="B240" t="str">
            <v>MENTA EN RAMAS ( PAQ=100g)</v>
          </cell>
          <cell r="C240">
            <v>5781.3</v>
          </cell>
          <cell r="D240" t="str">
            <v>1000 GRAMOS</v>
          </cell>
        </row>
        <row r="241">
          <cell r="A241" t="str">
            <v>10900006</v>
          </cell>
          <cell r="B241" t="str">
            <v>SANDIA CONG INPAK (KILO)</v>
          </cell>
          <cell r="C241">
            <v>1762.666665</v>
          </cell>
          <cell r="D241" t="str">
            <v>1000 GRAMO</v>
          </cell>
        </row>
        <row r="242">
          <cell r="A242" t="str">
            <v>10900007</v>
          </cell>
          <cell r="B242" t="str">
            <v>MORA CONG INPAK (KILO)</v>
          </cell>
          <cell r="C242">
            <v>3315.3846153846198</v>
          </cell>
          <cell r="D242" t="str">
            <v>1000 GRAMO</v>
          </cell>
        </row>
        <row r="243">
          <cell r="A243" t="str">
            <v>10900009</v>
          </cell>
          <cell r="B243" t="str">
            <v>GUANABANA CONG INPANK (KILO)</v>
          </cell>
          <cell r="C243">
            <v>2991.7460266666699</v>
          </cell>
          <cell r="D243" t="str">
            <v>1000 GRAMO</v>
          </cell>
        </row>
        <row r="244">
          <cell r="A244" t="str">
            <v>10900010</v>
          </cell>
          <cell r="B244" t="str">
            <v>PIÑA CONGELADA INPAK (KILO)</v>
          </cell>
          <cell r="C244">
            <v>1522.6973687499999</v>
          </cell>
          <cell r="D244" t="str">
            <v>1000 GRAMO</v>
          </cell>
        </row>
        <row r="245">
          <cell r="A245" t="str">
            <v>10900011</v>
          </cell>
          <cell r="B245" t="str">
            <v>PAPAYA CONG INPAK (KILO)</v>
          </cell>
          <cell r="C245">
            <v>1403.9473625000001</v>
          </cell>
          <cell r="D245" t="str">
            <v>1000 GRAMO</v>
          </cell>
        </row>
        <row r="246">
          <cell r="A246" t="str">
            <v>10900012</v>
          </cell>
          <cell r="B246" t="str">
            <v>MANGO CONG INPAK (KILO)</v>
          </cell>
          <cell r="C246">
            <v>3061.6666660000001</v>
          </cell>
          <cell r="D246" t="str">
            <v>1000 GRAMO</v>
          </cell>
        </row>
        <row r="247">
          <cell r="A247" t="str">
            <v>10900029</v>
          </cell>
          <cell r="B247" t="str">
            <v>ZANAHORIA TIRAS (PAQ=500g)</v>
          </cell>
          <cell r="C247">
            <v>941.6</v>
          </cell>
          <cell r="D247" t="str">
            <v>1000 GRAMO</v>
          </cell>
          <cell r="E247" t="str">
            <v>Gramo</v>
          </cell>
          <cell r="F247">
            <v>0.94159999999999999</v>
          </cell>
        </row>
        <row r="248">
          <cell r="A248" t="str">
            <v>10900032</v>
          </cell>
          <cell r="B248" t="str">
            <v>FRESAS ENTERA BURBUJA(UND=300g)</v>
          </cell>
          <cell r="C248">
            <v>3208.3333333333298</v>
          </cell>
          <cell r="D248" t="str">
            <v>1000 GRAMO</v>
          </cell>
        </row>
        <row r="249">
          <cell r="A249" t="str">
            <v>10900034</v>
          </cell>
          <cell r="B249" t="str">
            <v>ALBAHACA  (PAQ=100g)</v>
          </cell>
          <cell r="C249">
            <v>5621</v>
          </cell>
          <cell r="D249" t="str">
            <v>1000 GRAMO</v>
          </cell>
        </row>
        <row r="250">
          <cell r="A250" t="str">
            <v>10900036</v>
          </cell>
          <cell r="B250" t="str">
            <v>LECHUGA AMERICANA ENTERA (PAQ=500g)</v>
          </cell>
          <cell r="C250">
            <v>2257.1999999999998</v>
          </cell>
          <cell r="D250" t="str">
            <v>1000 gramos</v>
          </cell>
          <cell r="E250" t="str">
            <v>Gramo</v>
          </cell>
          <cell r="F250">
            <v>2.2571999999999997</v>
          </cell>
        </row>
        <row r="251">
          <cell r="A251" t="str">
            <v>10900040</v>
          </cell>
          <cell r="B251" t="str">
            <v>PEREJIL (PAQ=32g)</v>
          </cell>
          <cell r="C251">
            <v>10587.5</v>
          </cell>
          <cell r="D251" t="str">
            <v>1000 GRAMO</v>
          </cell>
          <cell r="E251" t="str">
            <v>Gramo</v>
          </cell>
          <cell r="F251">
            <v>10.5875</v>
          </cell>
        </row>
        <row r="252">
          <cell r="A252" t="str">
            <v>10900041</v>
          </cell>
          <cell r="B252" t="str">
            <v>REPOLLO MORADO RALLADO (PAQ=250g)</v>
          </cell>
          <cell r="C252">
            <v>1917.68</v>
          </cell>
          <cell r="D252" t="str">
            <v>1000 GRAMO</v>
          </cell>
          <cell r="E252" t="str">
            <v>Gramo</v>
          </cell>
          <cell r="F252">
            <v>1.9176800000000001</v>
          </cell>
        </row>
        <row r="253">
          <cell r="A253" t="str">
            <v>10900042</v>
          </cell>
          <cell r="B253" t="str">
            <v>HIERBA BUENA (PAQ=100g)</v>
          </cell>
          <cell r="C253">
            <v>9791.5</v>
          </cell>
          <cell r="D253" t="str">
            <v>1000 GRAMO</v>
          </cell>
        </row>
        <row r="254">
          <cell r="A254" t="str">
            <v>10900043</v>
          </cell>
          <cell r="B254" t="str">
            <v>TOMATE CHERRY (PAQ=200g)</v>
          </cell>
          <cell r="C254">
            <v>2475</v>
          </cell>
          <cell r="D254" t="str">
            <v>1000 gramos</v>
          </cell>
        </row>
        <row r="255">
          <cell r="A255" t="str">
            <v>10900047</v>
          </cell>
          <cell r="B255" t="str">
            <v>ALFALFA  BOLSA (BURBUJA 150g)</v>
          </cell>
          <cell r="C255">
            <v>5500</v>
          </cell>
          <cell r="D255" t="str">
            <v>1000 GRAMO</v>
          </cell>
        </row>
        <row r="256">
          <cell r="A256" t="str">
            <v>10900051</v>
          </cell>
          <cell r="B256" t="str">
            <v>AGUACATE KILO</v>
          </cell>
          <cell r="C256">
            <v>2420</v>
          </cell>
          <cell r="D256" t="str">
            <v>1000 GRAMOS</v>
          </cell>
        </row>
        <row r="257">
          <cell r="A257" t="str">
            <v>10900057</v>
          </cell>
          <cell r="B257" t="str">
            <v>ZUQUINI MINI (PAQ=200g)L</v>
          </cell>
          <cell r="C257">
            <v>2200</v>
          </cell>
          <cell r="D257" t="str">
            <v>1000 gramos</v>
          </cell>
        </row>
        <row r="258">
          <cell r="A258" t="str">
            <v>10900059</v>
          </cell>
          <cell r="B258" t="str">
            <v>RABANO (KILO)</v>
          </cell>
          <cell r="C258">
            <v>1263.9000000000001</v>
          </cell>
          <cell r="D258" t="str">
            <v>1000 GRAMOS</v>
          </cell>
          <cell r="E258" t="str">
            <v>Gramo</v>
          </cell>
          <cell r="F258">
            <v>1.2639</v>
          </cell>
        </row>
        <row r="259">
          <cell r="A259" t="str">
            <v>10900061</v>
          </cell>
          <cell r="B259" t="str">
            <v xml:space="preserve">MARACUYA CONGELADA INK PACK </v>
          </cell>
          <cell r="C259">
            <v>3393.3333280000002</v>
          </cell>
          <cell r="D259" t="str">
            <v>1000 gramos</v>
          </cell>
        </row>
        <row r="260">
          <cell r="A260" t="str">
            <v>11100006</v>
          </cell>
          <cell r="B260" t="str">
            <v>MANTEQUILLA BLISTER 7g (CAJA=120 UND)</v>
          </cell>
          <cell r="C260">
            <v>73.002333333333297</v>
          </cell>
          <cell r="D260" t="str">
            <v>1 UND</v>
          </cell>
        </row>
        <row r="261">
          <cell r="A261" t="str">
            <v>11200005</v>
          </cell>
          <cell r="B261" t="str">
            <v>PAN BAGUETTINO (PAQ=20 UND)</v>
          </cell>
          <cell r="C261">
            <v>132</v>
          </cell>
          <cell r="D261" t="str">
            <v>1 UND</v>
          </cell>
        </row>
        <row r="262">
          <cell r="A262" t="str">
            <v>11200019</v>
          </cell>
          <cell r="B262" t="str">
            <v>PAN MINI BAGUET ( PAQ=5 UND)</v>
          </cell>
          <cell r="C262">
            <v>209</v>
          </cell>
          <cell r="D262" t="str">
            <v>1 UND</v>
          </cell>
        </row>
        <row r="263">
          <cell r="A263" t="str">
            <v>11200041</v>
          </cell>
          <cell r="B263" t="str">
            <v>CONCHA PIZZA (PAQ =5UND)</v>
          </cell>
          <cell r="C263">
            <v>185.9</v>
          </cell>
          <cell r="D263" t="str">
            <v>1 UND</v>
          </cell>
        </row>
        <row r="264">
          <cell r="A264" t="str">
            <v>11200058</v>
          </cell>
          <cell r="B264" t="str">
            <v>PAN ARABE BLANCO 15 cm ( PAQ= 5 UND)</v>
          </cell>
          <cell r="C264">
            <v>200.2</v>
          </cell>
          <cell r="D264" t="str">
            <v>1 Uds.</v>
          </cell>
          <cell r="E264" t="str">
            <v>Und</v>
          </cell>
          <cell r="F264">
            <v>200.2</v>
          </cell>
        </row>
        <row r="265">
          <cell r="A265" t="str">
            <v>11200063</v>
          </cell>
          <cell r="B265" t="str">
            <v>PAN CIABATTA 16 CM (PAQ:10 UND)</v>
          </cell>
          <cell r="C265">
            <v>242</v>
          </cell>
          <cell r="D265" t="str">
            <v>1 Uds.</v>
          </cell>
        </row>
        <row r="266">
          <cell r="A266" t="str">
            <v>11300005</v>
          </cell>
          <cell r="B266" t="str">
            <v>HUEVOS EN CARTON (CARTON=30 UND)</v>
          </cell>
          <cell r="C266">
            <v>84.3333333333333</v>
          </cell>
          <cell r="D266" t="str">
            <v>1 UND</v>
          </cell>
          <cell r="E266" t="str">
            <v>Und</v>
          </cell>
          <cell r="F266">
            <v>84.3333333333333</v>
          </cell>
        </row>
        <row r="267">
          <cell r="A267" t="str">
            <v>11300009</v>
          </cell>
          <cell r="B267" t="str">
            <v>CLARA DE HUEVO (CAJA:5000 g)</v>
          </cell>
          <cell r="C267">
            <v>2035</v>
          </cell>
          <cell r="D267" t="str">
            <v>1000 gramos</v>
          </cell>
        </row>
        <row r="268">
          <cell r="A268" t="str">
            <v>11300010</v>
          </cell>
          <cell r="B268" t="str">
            <v>HUEVO DURO (PAQ:4 UND)</v>
          </cell>
          <cell r="C268">
            <v>187</v>
          </cell>
          <cell r="D268" t="str">
            <v>1 UND</v>
          </cell>
        </row>
        <row r="269">
          <cell r="A269" t="str">
            <v>11400015</v>
          </cell>
          <cell r="B269" t="str">
            <v>QUESO GOUDA (PAQ=160g)</v>
          </cell>
          <cell r="C269">
            <v>11332.5</v>
          </cell>
          <cell r="D269" t="str">
            <v>1000 GRAMO</v>
          </cell>
        </row>
        <row r="270">
          <cell r="A270" t="str">
            <v>11400031</v>
          </cell>
          <cell r="B270" t="str">
            <v>CREMA PRESTIGE GRAND (UND=4 K)</v>
          </cell>
          <cell r="C270">
            <v>1756.25</v>
          </cell>
          <cell r="D270" t="str">
            <v>1000 mililitros</v>
          </cell>
        </row>
        <row r="271">
          <cell r="A271" t="str">
            <v>11400036</v>
          </cell>
          <cell r="B271" t="str">
            <v>QUESO FETA (PAQ=200g)</v>
          </cell>
          <cell r="C271">
            <v>16175</v>
          </cell>
          <cell r="D271" t="str">
            <v>1000 gramos</v>
          </cell>
        </row>
        <row r="272">
          <cell r="A272" t="str">
            <v>11400038</v>
          </cell>
          <cell r="B272" t="str">
            <v>LECHE COND COCINADA (CAJA=18.9 k)</v>
          </cell>
          <cell r="C272">
            <v>2525.4603174603199</v>
          </cell>
          <cell r="D272" t="str">
            <v>1000 GRAMO</v>
          </cell>
        </row>
        <row r="273">
          <cell r="A273" t="str">
            <v>11400051</v>
          </cell>
          <cell r="B273" t="str">
            <v>CREMA PRESTIGE GRAND (1000 GRAMOS)</v>
          </cell>
          <cell r="C273">
            <v>2186.71</v>
          </cell>
          <cell r="D273" t="str">
            <v>1000 gramos</v>
          </cell>
        </row>
        <row r="274">
          <cell r="A274" t="str">
            <v>11900027</v>
          </cell>
          <cell r="B274" t="str">
            <v>SEMILLA DE MARAÑON (PAQ:1 kilo)</v>
          </cell>
          <cell r="C274">
            <v>10500</v>
          </cell>
          <cell r="D274" t="str">
            <v>1000 gramos</v>
          </cell>
        </row>
        <row r="275">
          <cell r="A275" t="str">
            <v>12300005</v>
          </cell>
          <cell r="B275" t="str">
            <v>SALSA AJI AMARILLO 160 GR (CAJA =12 UND)</v>
          </cell>
          <cell r="C275">
            <v>1153.57</v>
          </cell>
          <cell r="D275" t="str">
            <v>1 UND</v>
          </cell>
        </row>
        <row r="276">
          <cell r="A276" t="str">
            <v>20100003</v>
          </cell>
          <cell r="B276" t="str">
            <v>ADEREZO CULANTRO (KILO)</v>
          </cell>
          <cell r="C276">
            <v>2979.1666666666702</v>
          </cell>
          <cell r="D276" t="str">
            <v>1000 GRAMOS</v>
          </cell>
        </row>
        <row r="277">
          <cell r="A277" t="str">
            <v>20100018</v>
          </cell>
          <cell r="B277" t="str">
            <v>PICADILLO DE PLATANO CON CHORIZO ( KILO)</v>
          </cell>
          <cell r="C277">
            <v>3218.75</v>
          </cell>
          <cell r="D277" t="str">
            <v>1000 GRAMOS</v>
          </cell>
        </row>
        <row r="278">
          <cell r="A278" t="str">
            <v>20100053</v>
          </cell>
          <cell r="B278" t="str">
            <v>CREMA DE AYOTE ( BOLSA = 200g)</v>
          </cell>
          <cell r="C278">
            <v>1765</v>
          </cell>
          <cell r="D278" t="str">
            <v>1000 GRAMOS</v>
          </cell>
        </row>
        <row r="279">
          <cell r="A279" t="str">
            <v>20100056</v>
          </cell>
          <cell r="B279" t="str">
            <v xml:space="preserve">PECHUGA RELLENA JAMON Y QUESO C/SALSA </v>
          </cell>
          <cell r="C279">
            <v>6163.3333333333303</v>
          </cell>
          <cell r="D279" t="str">
            <v>1000 GRAMOS</v>
          </cell>
        </row>
        <row r="280">
          <cell r="A280" t="str">
            <v>20100058</v>
          </cell>
          <cell r="B280" t="str">
            <v>ADEREZO ALCAPARRAS Y ANCHOAS (BOLSA=240g</v>
          </cell>
          <cell r="C280">
            <v>4716.6666666666697</v>
          </cell>
          <cell r="D280" t="str">
            <v>1000 gramos</v>
          </cell>
        </row>
        <row r="281">
          <cell r="A281" t="str">
            <v>20100059</v>
          </cell>
          <cell r="B281" t="str">
            <v>POLLO DESMENUZADO (PAQ=160g)</v>
          </cell>
          <cell r="C281">
            <v>5468.75</v>
          </cell>
          <cell r="D281" t="str">
            <v>1000 gramos</v>
          </cell>
        </row>
        <row r="282">
          <cell r="A282" t="str">
            <v>20100060</v>
          </cell>
          <cell r="B282" t="str">
            <v>QUESO PARMESANO ( BOLSA= 150g)</v>
          </cell>
          <cell r="C282">
            <v>12966.666666666701</v>
          </cell>
          <cell r="D282" t="str">
            <v>1000 GRAMOS</v>
          </cell>
        </row>
        <row r="283">
          <cell r="A283" t="str">
            <v>20100061</v>
          </cell>
          <cell r="B283" t="str">
            <v>SALSA LIMON Y ALCAPARRAS (BOLSA = 120g)</v>
          </cell>
          <cell r="C283">
            <v>3133.3333333333298</v>
          </cell>
          <cell r="D283" t="str">
            <v>1000 GRAMOS</v>
          </cell>
        </row>
        <row r="284">
          <cell r="A284" t="str">
            <v>20100062</v>
          </cell>
          <cell r="B284" t="str">
            <v>CHAOMING ( BOLSA= 30g)</v>
          </cell>
          <cell r="C284">
            <v>7366.6666666666697</v>
          </cell>
          <cell r="D284" t="str">
            <v>1000 GRAMOS</v>
          </cell>
        </row>
        <row r="285">
          <cell r="A285" t="str">
            <v>20100063</v>
          </cell>
          <cell r="B285" t="str">
            <v>QUINOA BLANCA (BOLSA=100g)</v>
          </cell>
          <cell r="C285">
            <v>3660</v>
          </cell>
          <cell r="D285" t="str">
            <v>1000 GRAMOS</v>
          </cell>
        </row>
        <row r="286">
          <cell r="A286" t="str">
            <v>20100064</v>
          </cell>
          <cell r="B286" t="str">
            <v>FRIJOLES NEGROS CASADITO (BOLSA=520g)</v>
          </cell>
          <cell r="C286">
            <v>819.23076923076906</v>
          </cell>
          <cell r="D286" t="str">
            <v>1000 GRAMOS</v>
          </cell>
        </row>
        <row r="287">
          <cell r="A287" t="str">
            <v>20100065</v>
          </cell>
          <cell r="B287" t="str">
            <v>MADUROS EN MIEL (BOLSA=400g)</v>
          </cell>
          <cell r="C287">
            <v>1230</v>
          </cell>
          <cell r="D287" t="str">
            <v>1000 GRAMOS</v>
          </cell>
        </row>
        <row r="288">
          <cell r="A288" t="str">
            <v>20100066</v>
          </cell>
          <cell r="B288" t="str">
            <v>ARROZ C/POLLO (Bolsa: 550 g)</v>
          </cell>
          <cell r="C288">
            <v>2368.2909090909102</v>
          </cell>
          <cell r="D288" t="str">
            <v>1000 gramos</v>
          </cell>
        </row>
        <row r="289">
          <cell r="A289" t="str">
            <v>20100077</v>
          </cell>
          <cell r="B289" t="str">
            <v>TARTA DE ALMENDRA (CAJA 4 UND)</v>
          </cell>
          <cell r="C289">
            <v>428.5</v>
          </cell>
          <cell r="D289" t="str">
            <v>1 Uds.</v>
          </cell>
        </row>
        <row r="290">
          <cell r="A290" t="str">
            <v>20100079</v>
          </cell>
          <cell r="B290" t="str">
            <v xml:space="preserve">PECHUGA PARRILLA CRUDA (1 UNIDAD) </v>
          </cell>
          <cell r="C290">
            <v>644</v>
          </cell>
          <cell r="D290" t="str">
            <v>1 Uds.</v>
          </cell>
          <cell r="E290" t="str">
            <v>Und</v>
          </cell>
          <cell r="F290">
            <v>644</v>
          </cell>
        </row>
        <row r="291">
          <cell r="A291" t="str">
            <v>20100094</v>
          </cell>
          <cell r="B291" t="str">
            <v>EMPAQUE FIDEO ORIENTAL 100g</v>
          </cell>
          <cell r="C291">
            <v>2730</v>
          </cell>
          <cell r="D291" t="str">
            <v>1000 gramos</v>
          </cell>
        </row>
        <row r="292">
          <cell r="A292" t="str">
            <v>20100095</v>
          </cell>
          <cell r="B292" t="str">
            <v>EMPAQUE SOPA ORIENTAL 300g</v>
          </cell>
          <cell r="C292">
            <v>1126.6666666666699</v>
          </cell>
          <cell r="D292" t="str">
            <v>1000 gramos</v>
          </cell>
        </row>
        <row r="293">
          <cell r="A293" t="str">
            <v>20100098</v>
          </cell>
          <cell r="B293" t="str">
            <v>SALSA DE  NARANJA (BOLSA= 100g )</v>
          </cell>
          <cell r="C293">
            <v>3370</v>
          </cell>
          <cell r="D293" t="str">
            <v>1000 GRAMOS</v>
          </cell>
        </row>
        <row r="294">
          <cell r="A294" t="str">
            <v>20100100</v>
          </cell>
          <cell r="B294" t="str">
            <v xml:space="preserve">CANELONES RELLENOS DE POLLO Y ESPINACA </v>
          </cell>
          <cell r="C294">
            <v>1099.1666666666699</v>
          </cell>
          <cell r="D294" t="str">
            <v>1 PORCION</v>
          </cell>
        </row>
        <row r="295">
          <cell r="A295" t="str">
            <v>20100105</v>
          </cell>
          <cell r="B295" t="str">
            <v>ADEREZO ROSADO (BOLSA=1000g)</v>
          </cell>
          <cell r="C295">
            <v>1270</v>
          </cell>
          <cell r="D295" t="str">
            <v>1000 gramos</v>
          </cell>
        </row>
        <row r="296">
          <cell r="A296" t="str">
            <v>20100106</v>
          </cell>
          <cell r="B296" t="str">
            <v>MAYONESA SPOON (BOLSA=1000g)</v>
          </cell>
          <cell r="C296">
            <v>1457</v>
          </cell>
          <cell r="D296" t="str">
            <v>1000 gramos</v>
          </cell>
          <cell r="E296" t="str">
            <v>Gramo</v>
          </cell>
          <cell r="F296">
            <v>1.4570000000000001</v>
          </cell>
        </row>
        <row r="297">
          <cell r="A297" t="str">
            <v>20100111</v>
          </cell>
          <cell r="B297" t="str">
            <v>EMPAQUE SALSA DE CULANTRO ( BOLSA 200 g)</v>
          </cell>
          <cell r="C297">
            <v>2680</v>
          </cell>
          <cell r="D297" t="str">
            <v>1000 GRAMOS</v>
          </cell>
        </row>
        <row r="298">
          <cell r="A298" t="str">
            <v xml:space="preserve">20100113 </v>
          </cell>
          <cell r="B298" t="str">
            <v xml:space="preserve">EMPAQUE CREMA GARBANZOS ( BOLSA 200 g) </v>
          </cell>
          <cell r="C298">
            <v>2360</v>
          </cell>
          <cell r="D298" t="str">
            <v>1000 GRAMOS</v>
          </cell>
        </row>
        <row r="299">
          <cell r="A299" t="str">
            <v>20100135</v>
          </cell>
          <cell r="B299" t="str">
            <v>SALSA MANGO HABANERO (BOLSA=100 G)</v>
          </cell>
          <cell r="C299">
            <v>4460.7</v>
          </cell>
          <cell r="D299" t="str">
            <v>1000 gramos</v>
          </cell>
        </row>
        <row r="300">
          <cell r="A300" t="str">
            <v>20100136</v>
          </cell>
          <cell r="B300" t="str">
            <v>ARROZ PARA SUSHI (BOLSA=450 G)</v>
          </cell>
          <cell r="C300">
            <v>1486.2888888888899</v>
          </cell>
          <cell r="D300" t="str">
            <v>1000 gramos</v>
          </cell>
        </row>
        <row r="301">
          <cell r="A301" t="str">
            <v>20100137</v>
          </cell>
          <cell r="B301" t="str">
            <v>ADEREZO ORIENTAL (BOLSA=240 G)</v>
          </cell>
          <cell r="C301">
            <v>5014.3333333333303</v>
          </cell>
          <cell r="D301" t="str">
            <v>1000 gramos</v>
          </cell>
        </row>
        <row r="302">
          <cell r="A302" t="str">
            <v>20100138</v>
          </cell>
          <cell r="B302" t="str">
            <v>RELLENO POLLO ENCHILAD MEX. (Bls=180g)</v>
          </cell>
          <cell r="C302">
            <v>4755.5555555555602</v>
          </cell>
          <cell r="D302" t="str">
            <v>1000 gramos</v>
          </cell>
        </row>
        <row r="303">
          <cell r="A303" t="str">
            <v>20100139</v>
          </cell>
          <cell r="B303" t="str">
            <v>SALSA ROJA MEXICA (BOLSA =240 g)</v>
          </cell>
          <cell r="C303">
            <v>1959.7083333333301</v>
          </cell>
          <cell r="D303" t="str">
            <v>1000 gramos</v>
          </cell>
        </row>
        <row r="304">
          <cell r="A304" t="str">
            <v>20200036</v>
          </cell>
          <cell r="B304" t="str">
            <v>GALLETA PARA DECORAR MENU INFANTIL</v>
          </cell>
          <cell r="C304">
            <v>687.5</v>
          </cell>
          <cell r="D304" t="str">
            <v>1 UND</v>
          </cell>
        </row>
        <row r="305">
          <cell r="A305" t="str">
            <v>20200056</v>
          </cell>
          <cell r="B305" t="str">
            <v>TORTA MITAD Y MITAD</v>
          </cell>
          <cell r="C305">
            <v>6293</v>
          </cell>
          <cell r="D305" t="str">
            <v>1 Uds.</v>
          </cell>
        </row>
        <row r="306">
          <cell r="A306" t="str">
            <v>20200059</v>
          </cell>
          <cell r="B306" t="str">
            <v xml:space="preserve">BROWNIE DE CHOCOMENTA  </v>
          </cell>
          <cell r="C306">
            <v>392.66666666666703</v>
          </cell>
          <cell r="D306" t="str">
            <v>1 UND</v>
          </cell>
        </row>
        <row r="307">
          <cell r="A307" t="str">
            <v>20200060</v>
          </cell>
          <cell r="B307" t="str">
            <v>BROWNIE BLONDIE</v>
          </cell>
          <cell r="C307">
            <v>359</v>
          </cell>
          <cell r="D307" t="str">
            <v>1 UND</v>
          </cell>
        </row>
        <row r="308">
          <cell r="A308" t="str">
            <v>20200063</v>
          </cell>
          <cell r="B308" t="str">
            <v>TORTA KALUA DIA DEL PADRE</v>
          </cell>
          <cell r="C308">
            <v>6790</v>
          </cell>
          <cell r="D308" t="str">
            <v>1 Uds.</v>
          </cell>
        </row>
        <row r="309">
          <cell r="A309" t="str">
            <v>20300006</v>
          </cell>
          <cell r="B309" t="str">
            <v>FROSTING DE QUESO</v>
          </cell>
          <cell r="C309">
            <v>4280</v>
          </cell>
          <cell r="D309" t="str">
            <v>1000 GRAMOS</v>
          </cell>
        </row>
        <row r="310">
          <cell r="A310" t="str">
            <v>20300007</v>
          </cell>
          <cell r="B310" t="str">
            <v>CUCHARA DE CHOCOLATE BELGA (CAJ=20 und</v>
          </cell>
          <cell r="C310">
            <v>715</v>
          </cell>
          <cell r="D310" t="str">
            <v>1 Uds.</v>
          </cell>
        </row>
        <row r="311">
          <cell r="A311" t="str">
            <v>20400007</v>
          </cell>
          <cell r="B311" t="str">
            <v>SOMBRERO DE PALMITO ( UND )</v>
          </cell>
          <cell r="C311">
            <v>201</v>
          </cell>
          <cell r="D311" t="str">
            <v>1 UND</v>
          </cell>
        </row>
        <row r="312">
          <cell r="A312" t="str">
            <v>20400009</v>
          </cell>
          <cell r="B312" t="str">
            <v>CANASTA P/TARTALETA UND</v>
          </cell>
          <cell r="C312">
            <v>136.75</v>
          </cell>
          <cell r="D312" t="str">
            <v>1 UND</v>
          </cell>
        </row>
        <row r="313">
          <cell r="A313" t="str">
            <v>20400018</v>
          </cell>
          <cell r="B313" t="str">
            <v>QUEQUE SECO ZANAHORIA PORCIONADO UND.</v>
          </cell>
          <cell r="C313">
            <v>669.5</v>
          </cell>
          <cell r="D313" t="str">
            <v>1 UND</v>
          </cell>
        </row>
        <row r="314">
          <cell r="A314" t="str">
            <v>20400020</v>
          </cell>
          <cell r="B314" t="str">
            <v>GALLETA TORTA CHILENA PEQUEÑA 14 CM</v>
          </cell>
          <cell r="C314">
            <v>1240</v>
          </cell>
          <cell r="D314" t="str">
            <v>1 UND</v>
          </cell>
        </row>
        <row r="315">
          <cell r="A315" t="str">
            <v>20400022</v>
          </cell>
          <cell r="B315" t="str">
            <v>CAJETA GRANDE (CAJA=6 UND)</v>
          </cell>
          <cell r="C315">
            <v>335.5</v>
          </cell>
          <cell r="D315" t="str">
            <v>1 UND</v>
          </cell>
        </row>
        <row r="316">
          <cell r="A316" t="str">
            <v>20400025</v>
          </cell>
          <cell r="B316" t="str">
            <v>ENCHILADA PAPA Y CARNE (CAJA= 4 UND)</v>
          </cell>
          <cell r="C316">
            <v>248.75</v>
          </cell>
          <cell r="D316" t="str">
            <v>1 UND</v>
          </cell>
        </row>
        <row r="317">
          <cell r="A317" t="str">
            <v>20400041</v>
          </cell>
          <cell r="B317" t="str">
            <v xml:space="preserve">EMPANADA POLLO Y HONGOS REINGEN EMPAQ </v>
          </cell>
          <cell r="C317">
            <v>354.5</v>
          </cell>
          <cell r="D317" t="str">
            <v>1 Uds.</v>
          </cell>
        </row>
        <row r="318">
          <cell r="A318" t="str">
            <v>20400051</v>
          </cell>
          <cell r="B318" t="str">
            <v>CROCANTE DE NUEZ (CAJA:6 UND)L</v>
          </cell>
          <cell r="C318">
            <v>643.5</v>
          </cell>
          <cell r="D318" t="str">
            <v>1 Uds.</v>
          </cell>
        </row>
        <row r="319">
          <cell r="A319" t="str">
            <v>20400052</v>
          </cell>
          <cell r="B319" t="str">
            <v>GALLETAS MEDIA LUNA (UNIDAD)</v>
          </cell>
          <cell r="C319">
            <v>1230</v>
          </cell>
          <cell r="D319" t="str">
            <v>1 UND</v>
          </cell>
        </row>
        <row r="320">
          <cell r="A320" t="str">
            <v>20400053</v>
          </cell>
          <cell r="B320" t="str">
            <v>OREJITAS DULCES (UNIDAD)</v>
          </cell>
          <cell r="C320">
            <v>592</v>
          </cell>
          <cell r="D320" t="str">
            <v>1 UND</v>
          </cell>
        </row>
        <row r="321">
          <cell r="A321" t="str">
            <v>20400054</v>
          </cell>
          <cell r="B321" t="str">
            <v>PALITOS DE QUESO (UNIDAD)</v>
          </cell>
          <cell r="C321">
            <v>1084</v>
          </cell>
          <cell r="D321" t="str">
            <v>1 UND</v>
          </cell>
        </row>
        <row r="322">
          <cell r="A322" t="str">
            <v>20400105</v>
          </cell>
          <cell r="B322" t="str">
            <v>GALLETA ALFAJOR FLOR CHOCOLATE (CJ:42 U)</v>
          </cell>
          <cell r="C322">
            <v>27.952380952380999</v>
          </cell>
          <cell r="D322" t="str">
            <v>1 UND</v>
          </cell>
        </row>
        <row r="323">
          <cell r="A323" t="str">
            <v>20400106</v>
          </cell>
          <cell r="B323" t="str">
            <v>GALLETA ALFAJOR FLOR (CAJA:42 UND)</v>
          </cell>
          <cell r="C323">
            <v>26.119047619047599</v>
          </cell>
          <cell r="D323" t="str">
            <v>1 UND</v>
          </cell>
        </row>
        <row r="324">
          <cell r="A324" t="str">
            <v>20400140</v>
          </cell>
          <cell r="B324" t="str">
            <v>PAÑUELO JAMON Y QUESO PAST FROL (CJ=6 U)</v>
          </cell>
          <cell r="C324">
            <v>285.5</v>
          </cell>
          <cell r="D324" t="str">
            <v>1 Uds.</v>
          </cell>
        </row>
        <row r="325">
          <cell r="A325" t="str">
            <v>20400143</v>
          </cell>
          <cell r="B325" t="str">
            <v>CIRCULOS CHILENA CHOCO (Paq=8 und)</v>
          </cell>
          <cell r="C325">
            <v>607.38</v>
          </cell>
          <cell r="D325" t="str">
            <v>1 Paq</v>
          </cell>
        </row>
        <row r="326">
          <cell r="A326" t="str">
            <v>20500006</v>
          </cell>
          <cell r="B326" t="str">
            <v>ARROLLADO LECHE COND PEQ (UND)</v>
          </cell>
          <cell r="C326">
            <v>155</v>
          </cell>
          <cell r="D326" t="str">
            <v>1 UND</v>
          </cell>
        </row>
        <row r="327">
          <cell r="A327" t="str">
            <v>20500009</v>
          </cell>
          <cell r="B327" t="str">
            <v>BROWNIE DE CHOCOLATE  RECT. (CAJA:6 UND)</v>
          </cell>
          <cell r="C327">
            <v>430</v>
          </cell>
          <cell r="D327" t="str">
            <v>1 UND</v>
          </cell>
        </row>
        <row r="328">
          <cell r="A328" t="str">
            <v>20500012</v>
          </cell>
          <cell r="B328" t="str">
            <v>MEZCLA PARA TRES LECHES 1200 ML</v>
          </cell>
          <cell r="C328">
            <v>1763.75</v>
          </cell>
          <cell r="D328" t="str">
            <v>1000 MILILITROS</v>
          </cell>
        </row>
        <row r="329">
          <cell r="A329" t="str">
            <v>20500014</v>
          </cell>
          <cell r="B329" t="str">
            <v>ROSQUETE TRES LECHES 6 PORC.</v>
          </cell>
          <cell r="C329">
            <v>206.5</v>
          </cell>
          <cell r="D329" t="str">
            <v>1 PORCION</v>
          </cell>
        </row>
        <row r="330">
          <cell r="A330" t="str">
            <v>20500015</v>
          </cell>
          <cell r="B330" t="str">
            <v>FLAN DE COCO RECTANGULAR ( 1500 GRS )</v>
          </cell>
          <cell r="C330">
            <v>3925</v>
          </cell>
          <cell r="D330" t="str">
            <v>1 UND</v>
          </cell>
        </row>
        <row r="331">
          <cell r="A331" t="str">
            <v>20500036</v>
          </cell>
          <cell r="B331" t="str">
            <v>PIONONO DE GUANABANA 821 g</v>
          </cell>
          <cell r="C331">
            <v>4065</v>
          </cell>
          <cell r="D331" t="str">
            <v>1 UND</v>
          </cell>
        </row>
        <row r="332">
          <cell r="A332" t="str">
            <v>20500037</v>
          </cell>
          <cell r="B332" t="str">
            <v>CHEESE CAKE BASE BLANCA 6 PORC</v>
          </cell>
          <cell r="C332">
            <v>3445</v>
          </cell>
          <cell r="D332" t="str">
            <v>1 UND</v>
          </cell>
        </row>
        <row r="333">
          <cell r="A333" t="str">
            <v>20500038</v>
          </cell>
          <cell r="B333" t="str">
            <v>RELLENO DE FRESA (Bolsa:360 g)</v>
          </cell>
          <cell r="C333">
            <v>3408.3333333333298</v>
          </cell>
          <cell r="D333" t="str">
            <v>1000 gramos</v>
          </cell>
        </row>
        <row r="334">
          <cell r="A334" t="str">
            <v>50100037</v>
          </cell>
          <cell r="B334" t="str">
            <v>MOLDE ALUMINIO RED 2058 (CAJA:500 UND)</v>
          </cell>
          <cell r="C334">
            <v>0.15179999999999999</v>
          </cell>
          <cell r="D334" t="str">
            <v>1 CAJA</v>
          </cell>
        </row>
        <row r="335">
          <cell r="A335" t="str">
            <v>50400014</v>
          </cell>
          <cell r="B335" t="str">
            <v>CAJA PEQUEÑA OFFICE BREAK (CAJA:625 UND)</v>
          </cell>
          <cell r="C335">
            <v>71.063701923076906</v>
          </cell>
          <cell r="D335" t="str">
            <v>1 CAJA</v>
          </cell>
          <cell r="E335" t="str">
            <v>Und</v>
          </cell>
          <cell r="F335">
            <v>71.06</v>
          </cell>
        </row>
        <row r="336">
          <cell r="A336" t="str">
            <v>50400015</v>
          </cell>
          <cell r="B336" t="str">
            <v>CAJA MEDIANA OFFICE BREAK (CAJA:400 UND)</v>
          </cell>
          <cell r="C336">
            <v>86.9</v>
          </cell>
          <cell r="D336" t="str">
            <v>1 CAJA</v>
          </cell>
          <cell r="E336" t="str">
            <v>Und</v>
          </cell>
          <cell r="F336">
            <v>86.9</v>
          </cell>
        </row>
        <row r="337">
          <cell r="A337" t="str">
            <v>50400016</v>
          </cell>
          <cell r="B337" t="str">
            <v>CAJA GRANDE OFFICE BREAK (CAJA:280 UND)</v>
          </cell>
          <cell r="C337">
            <v>113.3</v>
          </cell>
          <cell r="D337" t="str">
            <v>1 CAJA</v>
          </cell>
        </row>
        <row r="338">
          <cell r="A338" t="str">
            <v>50400017</v>
          </cell>
          <cell r="B338" t="str">
            <v>CAJA PORCION OFFICE BREAK (CAJA:950 UND)</v>
          </cell>
          <cell r="C338">
            <v>60.06</v>
          </cell>
          <cell r="D338" t="str">
            <v>1 CAJA</v>
          </cell>
        </row>
        <row r="339">
          <cell r="A339" t="str">
            <v>50500002</v>
          </cell>
          <cell r="B339" t="str">
            <v>CANDELA DIBUJOS ANIMADOS SURTIDA ESPIRAL</v>
          </cell>
          <cell r="C339">
            <v>455.4</v>
          </cell>
          <cell r="D339" t="str">
            <v>1 UND</v>
          </cell>
        </row>
        <row r="340">
          <cell r="A340" t="str">
            <v>50500003</v>
          </cell>
          <cell r="B340" t="str">
            <v>CANDELA CARITAS COLORES</v>
          </cell>
          <cell r="C340">
            <v>465.9</v>
          </cell>
          <cell r="D340" t="str">
            <v>1 UND</v>
          </cell>
        </row>
        <row r="341">
          <cell r="A341" t="str">
            <v>50500004</v>
          </cell>
          <cell r="B341" t="str">
            <v>CANDELA GLOBOS SURTIDO COLORES</v>
          </cell>
          <cell r="C341">
            <v>470.25</v>
          </cell>
          <cell r="D341" t="str">
            <v>1 UND</v>
          </cell>
        </row>
        <row r="342">
          <cell r="A342" t="str">
            <v>50500005</v>
          </cell>
          <cell r="B342" t="str">
            <v>CANDELA FELIZ CUMPLE ESCARCHA SURTIDA</v>
          </cell>
          <cell r="C342">
            <v>470.25</v>
          </cell>
          <cell r="D342" t="str">
            <v>1 UND</v>
          </cell>
        </row>
        <row r="343">
          <cell r="A343" t="str">
            <v>50700028</v>
          </cell>
          <cell r="B343" t="str">
            <v>CONTENEDOR PLAS SUFLE 1 OZ (PAQ:200 UND)</v>
          </cell>
          <cell r="C343">
            <v>6.8079000000000001</v>
          </cell>
          <cell r="D343" t="str">
            <v>1 Uds.</v>
          </cell>
        </row>
        <row r="344">
          <cell r="A344" t="str">
            <v>50700029</v>
          </cell>
          <cell r="B344" t="str">
            <v>CONTENEDOR SUFLE 2 ONZ (PAQ:200 UND)</v>
          </cell>
          <cell r="C344">
            <v>8.5861999999999998</v>
          </cell>
          <cell r="D344" t="str">
            <v>1 PAQUETE</v>
          </cell>
          <cell r="E344" t="str">
            <v>Und</v>
          </cell>
          <cell r="F344">
            <v>8.5861999999999998</v>
          </cell>
        </row>
        <row r="345">
          <cell r="A345" t="str">
            <v>51100018</v>
          </cell>
          <cell r="B345" t="str">
            <v>PAPEL ENCERADO 12X12 (PAQ:1000 UND)</v>
          </cell>
          <cell r="C345">
            <v>20570</v>
          </cell>
          <cell r="D345" t="str">
            <v>1 PAQUETE</v>
          </cell>
          <cell r="E345" t="str">
            <v>Und</v>
          </cell>
          <cell r="F345">
            <v>20.57</v>
          </cell>
        </row>
        <row r="346">
          <cell r="A346" t="str">
            <v>51400022</v>
          </cell>
          <cell r="B346" t="str">
            <v>BOWL FIBRA 24 ONZ COMPOST (PAQ:125 UND)</v>
          </cell>
          <cell r="C346">
            <v>127.8</v>
          </cell>
          <cell r="D346" t="str">
            <v>1 PAQUETE</v>
          </cell>
        </row>
        <row r="347">
          <cell r="A347" t="str">
            <v>51400023</v>
          </cell>
          <cell r="B347" t="str">
            <v>BOWL FIBRA 32 ONZ COMPOST (PAQ:125 UND)</v>
          </cell>
          <cell r="C347">
            <v>178.88</v>
          </cell>
          <cell r="D347" t="str">
            <v>1 PAQUETE</v>
          </cell>
        </row>
        <row r="348">
          <cell r="A348" t="str">
            <v>51400024</v>
          </cell>
          <cell r="B348" t="str">
            <v>TAPA  BOWL 16/24/32 ONZ (PAQ:125 UND)</v>
          </cell>
          <cell r="C348">
            <v>11181</v>
          </cell>
          <cell r="D348" t="str">
            <v>1 PAQUETE</v>
          </cell>
        </row>
        <row r="349">
          <cell r="A349" t="str">
            <v>51400026</v>
          </cell>
          <cell r="B349" t="str">
            <v>BANDEJA FIBRA 3 DIVISIONES (PAQ:50 UND)</v>
          </cell>
          <cell r="C349">
            <v>146.94</v>
          </cell>
          <cell r="D349" t="str">
            <v>1 PAQUETE</v>
          </cell>
        </row>
        <row r="350">
          <cell r="A350" t="str">
            <v>51400027</v>
          </cell>
          <cell r="B350" t="str">
            <v>TAPA BOWL SOPA 8 ONZ (PAQ:50 UND)</v>
          </cell>
          <cell r="C350">
            <v>57.5</v>
          </cell>
          <cell r="D350" t="str">
            <v>1 PAQUETE</v>
          </cell>
        </row>
        <row r="351">
          <cell r="A351" t="str">
            <v>51400028</v>
          </cell>
          <cell r="B351" t="str">
            <v>BOWL FIBRA SOPA 16 ONZ (PAQ:50 UND)</v>
          </cell>
          <cell r="C351">
            <v>95.82</v>
          </cell>
          <cell r="D351" t="str">
            <v>1 PAQUETE</v>
          </cell>
        </row>
        <row r="352">
          <cell r="A352" t="str">
            <v>51400029</v>
          </cell>
          <cell r="B352" t="str">
            <v>BOWL FIBRA 16 ONZ COMPOST (PAQ:125 UND)</v>
          </cell>
          <cell r="C352">
            <v>207.64</v>
          </cell>
          <cell r="D352" t="str">
            <v>1 PAQUETE</v>
          </cell>
        </row>
        <row r="353">
          <cell r="A353" t="str">
            <v>51400031</v>
          </cell>
          <cell r="B353" t="str">
            <v>TAPA FIBRA BANDEJA 3 DIV  (PAQ:50 UND)</v>
          </cell>
          <cell r="C353">
            <v>6389</v>
          </cell>
          <cell r="D353" t="str">
            <v>1 PAQUETE</v>
          </cell>
        </row>
        <row r="354">
          <cell r="A354" t="str">
            <v>51400032</v>
          </cell>
          <cell r="B354" t="str">
            <v>BOWL FIBRA SOPA 12 ONZ (PAQ:50 UND)</v>
          </cell>
          <cell r="C354">
            <v>44.72</v>
          </cell>
          <cell r="D354" t="str">
            <v>1 PAQUETE</v>
          </cell>
        </row>
        <row r="355">
          <cell r="A355" t="str">
            <v>51400033</v>
          </cell>
          <cell r="B355" t="str">
            <v>TAPA BOWL SOPA 12/16/32 ONZ (PAQ:50 UND)</v>
          </cell>
          <cell r="C355">
            <v>89.44</v>
          </cell>
          <cell r="D355" t="str">
            <v>1 PAQUETE</v>
          </cell>
        </row>
        <row r="356">
          <cell r="A356" t="str">
            <v>51400034</v>
          </cell>
          <cell r="B356" t="str">
            <v>BOWL FIBRA SOPA 8 ONZ (PAQ:50 UND)</v>
          </cell>
          <cell r="C356">
            <v>57.5</v>
          </cell>
          <cell r="D356" t="str">
            <v>1 PAQUETE</v>
          </cell>
        </row>
        <row r="357">
          <cell r="A357" t="str">
            <v>51500012</v>
          </cell>
          <cell r="B357" t="str">
            <v>VASO BIODEGRADABLE 12 ONZ (PAQ 25 UND)</v>
          </cell>
          <cell r="C357">
            <v>58.3</v>
          </cell>
          <cell r="D357" t="str">
            <v>1 UND</v>
          </cell>
        </row>
        <row r="358">
          <cell r="A358" t="str">
            <v>51500013</v>
          </cell>
          <cell r="B358" t="str">
            <v>TAPA VASO BIO 12,16 ON (PAQ 50 UND)</v>
          </cell>
          <cell r="C358">
            <v>24.65</v>
          </cell>
          <cell r="D358" t="str">
            <v>1 UND</v>
          </cell>
        </row>
        <row r="359">
          <cell r="A359" t="str">
            <v>51500014</v>
          </cell>
          <cell r="B359" t="str">
            <v>VASO BIODEGRADABLE 8 ONZ (PAQ 25UND)</v>
          </cell>
          <cell r="C359">
            <v>44</v>
          </cell>
          <cell r="D359" t="str">
            <v>1 UND</v>
          </cell>
        </row>
        <row r="360">
          <cell r="A360" t="str">
            <v>51500015</v>
          </cell>
          <cell r="B360" t="str">
            <v>TAPA VASO BIO 8 ONZ (PAQ 50 UND)</v>
          </cell>
          <cell r="C360">
            <v>24.2</v>
          </cell>
          <cell r="D360" t="str">
            <v>1 UND</v>
          </cell>
        </row>
        <row r="361">
          <cell r="A361" t="str">
            <v>51500032</v>
          </cell>
          <cell r="B361" t="str">
            <v>TAPA SUFLE 1,5-2-2,5 (PAQ:100 UND)</v>
          </cell>
          <cell r="C361">
            <v>8.3210999999999995</v>
          </cell>
          <cell r="D361" t="str">
            <v>1 UND</v>
          </cell>
          <cell r="E361" t="str">
            <v>Und</v>
          </cell>
          <cell r="F361">
            <v>8.3210999999999995</v>
          </cell>
        </row>
        <row r="362">
          <cell r="A362" t="str">
            <v>51600026</v>
          </cell>
          <cell r="B362" t="str">
            <v>BANDEJA FIBRA 10X7.5X1.5 (PAQ=50 UND)</v>
          </cell>
          <cell r="C362">
            <v>134.34</v>
          </cell>
          <cell r="D362" t="str">
            <v>1 PAQUETE</v>
          </cell>
        </row>
        <row r="363">
          <cell r="A363" t="str">
            <v>51600027</v>
          </cell>
          <cell r="B363" t="str">
            <v>TAPA TRANS 10X7.5X1.5 (PAQ=50 UND)</v>
          </cell>
          <cell r="C363">
            <v>201.8</v>
          </cell>
          <cell r="D363" t="str">
            <v>1 PAQUETE</v>
          </cell>
        </row>
        <row r="364">
          <cell r="A364" t="str">
            <v>101000015</v>
          </cell>
          <cell r="B364" t="str">
            <v>AZUCAR REFINADA VICTORIA ( PAQ= 1 k)</v>
          </cell>
          <cell r="C364">
            <v>760.28</v>
          </cell>
          <cell r="D364" t="str">
            <v>1000 GRAMO</v>
          </cell>
        </row>
        <row r="365">
          <cell r="A365" t="str">
            <v>102000028</v>
          </cell>
          <cell r="B365" t="str">
            <v>JUGO DE NARANJA NATU*FRUIT (GALON)</v>
          </cell>
          <cell r="C365">
            <v>803.41</v>
          </cell>
          <cell r="D365" t="str">
            <v>1000 MILILITROS</v>
          </cell>
        </row>
        <row r="366">
          <cell r="A366" t="str">
            <v>102000035</v>
          </cell>
          <cell r="B366" t="str">
            <v>JUGO LIMON (UND=930 ml).</v>
          </cell>
          <cell r="C366">
            <v>1685.4838709677399</v>
          </cell>
          <cell r="D366" t="str">
            <v>1000 mililitros</v>
          </cell>
        </row>
        <row r="367">
          <cell r="A367" t="str">
            <v>102000041</v>
          </cell>
          <cell r="B367" t="str">
            <v>TE FRIO LIMON (PAQ: 500 G)</v>
          </cell>
          <cell r="C367">
            <v>3630</v>
          </cell>
          <cell r="D367" t="str">
            <v>1000 gramos</v>
          </cell>
        </row>
        <row r="368">
          <cell r="A368" t="str">
            <v>102000052</v>
          </cell>
          <cell r="B368" t="str">
            <v>JUGO DE NARANJA 100% NATURAL (UND)</v>
          </cell>
          <cell r="C368">
            <v>803.40750000000003</v>
          </cell>
          <cell r="D368" t="str">
            <v>1000 mililitros</v>
          </cell>
        </row>
        <row r="369">
          <cell r="A369" t="str">
            <v>103000001</v>
          </cell>
          <cell r="B369" t="str">
            <v>SALMON EN MEDALLON ( PESO=230 g)</v>
          </cell>
          <cell r="C369">
            <v>9885.65</v>
          </cell>
          <cell r="D369" t="str">
            <v>1000 GRAMOS</v>
          </cell>
        </row>
        <row r="370">
          <cell r="A370" t="str">
            <v>105000007</v>
          </cell>
          <cell r="B370" t="str">
            <v>PIMIENTA NEGRA MOLIDA (UND= 510g)</v>
          </cell>
          <cell r="C370">
            <v>15001.9607843137</v>
          </cell>
          <cell r="D370" t="str">
            <v>1000 GRAMO</v>
          </cell>
        </row>
        <row r="371">
          <cell r="A371" t="str">
            <v>105000049</v>
          </cell>
          <cell r="B371" t="str">
            <v>PIMIENTA EN SOBRES (PAQ:1000 UND)</v>
          </cell>
          <cell r="C371">
            <v>5.258</v>
          </cell>
          <cell r="D371" t="str">
            <v>1 Uds.</v>
          </cell>
        </row>
        <row r="372">
          <cell r="A372" t="str">
            <v>105000050</v>
          </cell>
          <cell r="B372" t="str">
            <v>SAL EN SOBRES (PAQ:1000 UND)</v>
          </cell>
          <cell r="C372">
            <v>5.5528000000000004</v>
          </cell>
          <cell r="D372" t="str">
            <v>1 Uds.</v>
          </cell>
        </row>
        <row r="373">
          <cell r="A373" t="str">
            <v>109000129</v>
          </cell>
          <cell r="B373" t="str">
            <v>EDAMAME (PAQ:453 G)</v>
          </cell>
          <cell r="C373">
            <v>4565.1214128035299</v>
          </cell>
          <cell r="D373" t="str">
            <v>1000 Gramos</v>
          </cell>
        </row>
        <row r="374">
          <cell r="A374" t="str">
            <v>109000130</v>
          </cell>
          <cell r="B374" t="str">
            <v>PIÑA PICADA (PAQ:500 G)</v>
          </cell>
          <cell r="C374">
            <v>1870</v>
          </cell>
          <cell r="D374" t="str">
            <v>1000 Gramos</v>
          </cell>
        </row>
        <row r="375">
          <cell r="A375" t="str">
            <v>111000028</v>
          </cell>
          <cell r="B375" t="str">
            <v>CROCANTE CHOCO Y ALMENDRA (BOLSA:3 UND)</v>
          </cell>
          <cell r="C375">
            <v>3217</v>
          </cell>
          <cell r="D375" t="str">
            <v>1 BOLSA</v>
          </cell>
        </row>
        <row r="376">
          <cell r="A376" t="str">
            <v>112000047</v>
          </cell>
          <cell r="B376" t="str">
            <v>EMPANIZADOR PANKO (PAQ: 3 K)</v>
          </cell>
          <cell r="C376">
            <v>4443.3333333333303</v>
          </cell>
          <cell r="D376" t="str">
            <v>1000 gramos</v>
          </cell>
        </row>
        <row r="377">
          <cell r="A377" t="str">
            <v>112000061</v>
          </cell>
          <cell r="B377" t="str">
            <v>PAN MUFFIN 70 g (PAQ = 6 UND)</v>
          </cell>
          <cell r="C377">
            <v>209</v>
          </cell>
          <cell r="D377" t="str">
            <v>1 Uds.</v>
          </cell>
        </row>
        <row r="378">
          <cell r="A378" t="str">
            <v>120000015</v>
          </cell>
          <cell r="B378" t="str">
            <v>PINCEL (PAQ:20 UND)</v>
          </cell>
          <cell r="C378">
            <v>75.712500000000006</v>
          </cell>
          <cell r="D378" t="str">
            <v>1 PAQUETE</v>
          </cell>
        </row>
        <row r="379">
          <cell r="A379" t="str">
            <v>120000021</v>
          </cell>
          <cell r="B379" t="str">
            <v>LATA DE GAS BUTANO BOZ ( UND)</v>
          </cell>
          <cell r="C379">
            <v>1511</v>
          </cell>
          <cell r="D379" t="str">
            <v>1 Uds.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79213-EC02-4DF9-82C2-D3B469B02515}">
  <dimension ref="A1:I60"/>
  <sheetViews>
    <sheetView tabSelected="1" view="pageBreakPreview" zoomScale="60" zoomScaleNormal="70" workbookViewId="0">
      <selection activeCell="Q8" sqref="Q8"/>
    </sheetView>
  </sheetViews>
  <sheetFormatPr baseColWidth="10" defaultRowHeight="12.75" x14ac:dyDescent="0.2"/>
  <cols>
    <col min="1" max="1" width="15.42578125" bestFit="1" customWidth="1"/>
    <col min="2" max="2" width="13.5703125" bestFit="1" customWidth="1"/>
    <col min="3" max="3" width="49" customWidth="1"/>
    <col min="4" max="4" width="34.42578125" bestFit="1" customWidth="1"/>
    <col min="5" max="5" width="11.5703125" bestFit="1" customWidth="1"/>
    <col min="8" max="8" width="47.5703125" bestFit="1" customWidth="1"/>
    <col min="9" max="9" width="22" bestFit="1" customWidth="1"/>
  </cols>
  <sheetData>
    <row r="1" spans="1:9" ht="18" x14ac:dyDescent="0.25">
      <c r="A1" s="628"/>
      <c r="B1" s="629"/>
      <c r="C1" s="630" t="s">
        <v>22</v>
      </c>
      <c r="D1" s="630"/>
      <c r="E1" s="630"/>
      <c r="F1" s="630"/>
      <c r="G1" s="630"/>
      <c r="H1" s="631" t="s">
        <v>21</v>
      </c>
      <c r="I1" s="632" t="s">
        <v>285</v>
      </c>
    </row>
    <row r="2" spans="1:9" ht="18" customHeight="1" thickBot="1" x14ac:dyDescent="0.3">
      <c r="A2" s="633"/>
      <c r="B2" s="634"/>
      <c r="C2" s="635" t="s">
        <v>0</v>
      </c>
      <c r="D2" s="636"/>
      <c r="E2" s="636"/>
      <c r="F2" s="636"/>
      <c r="G2" s="637"/>
      <c r="H2" s="638" t="s">
        <v>20</v>
      </c>
      <c r="I2" s="639" t="s">
        <v>288</v>
      </c>
    </row>
    <row r="3" spans="1:9" ht="31.5" customHeight="1" thickBot="1" x14ac:dyDescent="0.25">
      <c r="A3" s="633"/>
      <c r="B3" s="634"/>
      <c r="C3" s="640" t="s">
        <v>289</v>
      </c>
      <c r="D3" s="641"/>
      <c r="E3" s="641"/>
      <c r="F3" s="641"/>
      <c r="G3" s="642"/>
      <c r="H3" s="643" t="s">
        <v>19</v>
      </c>
      <c r="I3" s="644">
        <v>45615</v>
      </c>
    </row>
    <row r="4" spans="1:9" ht="18" customHeight="1" x14ac:dyDescent="0.25">
      <c r="A4" s="633"/>
      <c r="B4" s="634"/>
      <c r="C4" s="645" t="s">
        <v>18</v>
      </c>
      <c r="D4" s="646" t="s">
        <v>41</v>
      </c>
      <c r="E4" s="647"/>
      <c r="F4" s="647"/>
      <c r="G4" s="648"/>
      <c r="H4" s="649"/>
      <c r="I4" s="650"/>
    </row>
    <row r="5" spans="1:9" ht="18.75" thickBot="1" x14ac:dyDescent="0.3">
      <c r="A5" s="651"/>
      <c r="B5" s="652"/>
      <c r="C5" s="653" t="s">
        <v>17</v>
      </c>
      <c r="D5" s="654" t="s">
        <v>40</v>
      </c>
      <c r="E5" s="655"/>
      <c r="F5" s="655"/>
      <c r="G5" s="656"/>
      <c r="H5" s="657"/>
      <c r="I5" s="658"/>
    </row>
    <row r="6" spans="1:9" ht="18.75" thickBot="1" x14ac:dyDescent="0.3">
      <c r="A6" s="443" t="s">
        <v>23</v>
      </c>
      <c r="B6" s="443"/>
      <c r="C6" s="443"/>
      <c r="D6" s="659" t="s">
        <v>256</v>
      </c>
      <c r="E6" s="659"/>
      <c r="F6" s="659"/>
      <c r="G6" s="445" t="s">
        <v>24</v>
      </c>
      <c r="H6" s="445"/>
      <c r="I6" s="660" t="s">
        <v>256</v>
      </c>
    </row>
    <row r="7" spans="1:9" ht="36" x14ac:dyDescent="0.2">
      <c r="A7" s="661" t="s">
        <v>1</v>
      </c>
      <c r="B7" s="662" t="s">
        <v>275</v>
      </c>
      <c r="C7" s="663" t="s">
        <v>2</v>
      </c>
      <c r="D7" s="663" t="s">
        <v>3</v>
      </c>
      <c r="E7" s="663" t="s">
        <v>4</v>
      </c>
      <c r="F7" s="663"/>
      <c r="G7" s="663" t="s">
        <v>16</v>
      </c>
      <c r="H7" s="663"/>
      <c r="I7" s="664" t="s">
        <v>5</v>
      </c>
    </row>
    <row r="8" spans="1:9" ht="54.75" thickBot="1" x14ac:dyDescent="0.3">
      <c r="A8" s="665"/>
      <c r="B8" s="666"/>
      <c r="C8" s="667"/>
      <c r="D8" s="667"/>
      <c r="E8" s="668" t="s">
        <v>6</v>
      </c>
      <c r="F8" s="669" t="s">
        <v>7</v>
      </c>
      <c r="G8" s="668" t="s">
        <v>6</v>
      </c>
      <c r="H8" s="669" t="s">
        <v>7</v>
      </c>
      <c r="I8" s="670" t="s">
        <v>8</v>
      </c>
    </row>
    <row r="9" spans="1:9" ht="18.399999999999999" customHeight="1" x14ac:dyDescent="0.3">
      <c r="A9" s="671"/>
      <c r="B9" s="672"/>
      <c r="C9" s="673" t="s">
        <v>276</v>
      </c>
      <c r="D9" s="674"/>
      <c r="E9" s="675"/>
      <c r="F9" s="676"/>
      <c r="G9" s="675"/>
      <c r="H9" s="676"/>
      <c r="I9" s="677"/>
    </row>
    <row r="10" spans="1:9" ht="18" customHeight="1" x14ac:dyDescent="0.3">
      <c r="A10" s="678">
        <v>90100131</v>
      </c>
      <c r="B10" s="679" t="s">
        <v>260</v>
      </c>
      <c r="C10" s="680" t="s">
        <v>27</v>
      </c>
      <c r="D10" s="681" t="s">
        <v>31</v>
      </c>
      <c r="E10" s="681">
        <v>1080</v>
      </c>
      <c r="F10" s="681" t="s">
        <v>36</v>
      </c>
      <c r="G10" s="682"/>
      <c r="H10" s="683"/>
      <c r="I10" s="677"/>
    </row>
    <row r="11" spans="1:9" ht="18.75" x14ac:dyDescent="0.3">
      <c r="A11" s="684">
        <v>10100048</v>
      </c>
      <c r="B11" s="684" t="s">
        <v>261</v>
      </c>
      <c r="C11" s="685" t="s">
        <v>268</v>
      </c>
      <c r="D11" s="681" t="s">
        <v>32</v>
      </c>
      <c r="E11" s="681">
        <v>450</v>
      </c>
      <c r="F11" s="681" t="s">
        <v>36</v>
      </c>
      <c r="G11" s="682"/>
      <c r="H11" s="683"/>
      <c r="I11" s="677"/>
    </row>
    <row r="12" spans="1:9" ht="18.75" x14ac:dyDescent="0.3">
      <c r="A12" s="686" t="s">
        <v>138</v>
      </c>
      <c r="B12" s="686" t="s">
        <v>269</v>
      </c>
      <c r="C12" s="687" t="s">
        <v>267</v>
      </c>
      <c r="D12" s="681" t="s">
        <v>33</v>
      </c>
      <c r="E12" s="681">
        <v>145</v>
      </c>
      <c r="F12" s="681" t="s">
        <v>36</v>
      </c>
      <c r="G12" s="688"/>
      <c r="H12" s="683"/>
      <c r="I12" s="677"/>
    </row>
    <row r="13" spans="1:9" ht="18.75" x14ac:dyDescent="0.3">
      <c r="A13" s="684">
        <v>503000036</v>
      </c>
      <c r="B13" s="684" t="s">
        <v>262</v>
      </c>
      <c r="C13" s="685" t="s">
        <v>266</v>
      </c>
      <c r="D13" s="681" t="s">
        <v>34</v>
      </c>
      <c r="E13" s="681">
        <v>7</v>
      </c>
      <c r="F13" s="681" t="s">
        <v>36</v>
      </c>
      <c r="G13" s="688"/>
      <c r="H13" s="683"/>
      <c r="I13" s="677"/>
    </row>
    <row r="14" spans="1:9" ht="18.75" x14ac:dyDescent="0.3">
      <c r="A14" s="686">
        <v>90100142</v>
      </c>
      <c r="B14" s="686" t="s">
        <v>263</v>
      </c>
      <c r="C14" s="687" t="s">
        <v>30</v>
      </c>
      <c r="D14" s="681" t="s">
        <v>31</v>
      </c>
      <c r="E14" s="681">
        <v>3</v>
      </c>
      <c r="F14" s="681" t="s">
        <v>36</v>
      </c>
      <c r="G14" s="688"/>
      <c r="H14" s="683"/>
      <c r="I14" s="677"/>
    </row>
    <row r="15" spans="1:9" ht="18.75" x14ac:dyDescent="0.3">
      <c r="A15" s="684">
        <v>11900029</v>
      </c>
      <c r="B15" s="684" t="s">
        <v>264</v>
      </c>
      <c r="C15" s="685" t="s">
        <v>265</v>
      </c>
      <c r="D15" s="681" t="s">
        <v>35</v>
      </c>
      <c r="E15" s="681">
        <v>630</v>
      </c>
      <c r="F15" s="681" t="s">
        <v>36</v>
      </c>
      <c r="G15" s="688"/>
      <c r="H15" s="683"/>
      <c r="I15" s="677"/>
    </row>
    <row r="16" spans="1:9" ht="18.75" x14ac:dyDescent="0.3">
      <c r="A16" s="684"/>
      <c r="B16" s="684"/>
      <c r="C16" s="689" t="s">
        <v>286</v>
      </c>
      <c r="D16" s="690" t="s">
        <v>31</v>
      </c>
      <c r="E16" s="691">
        <v>180</v>
      </c>
      <c r="F16" s="692" t="s">
        <v>36</v>
      </c>
      <c r="G16" s="688"/>
      <c r="H16" s="683"/>
      <c r="I16" s="677"/>
    </row>
    <row r="17" spans="1:9" ht="18.75" x14ac:dyDescent="0.3">
      <c r="A17" s="684"/>
      <c r="B17" s="684"/>
      <c r="C17" s="689"/>
      <c r="D17" s="690"/>
      <c r="E17" s="691"/>
      <c r="F17" s="692"/>
      <c r="G17" s="688"/>
      <c r="H17" s="683"/>
      <c r="I17" s="677"/>
    </row>
    <row r="18" spans="1:9" ht="18.75" x14ac:dyDescent="0.3">
      <c r="A18" s="684"/>
      <c r="B18" s="684"/>
      <c r="C18" s="689"/>
      <c r="D18" s="690"/>
      <c r="E18" s="691"/>
      <c r="F18" s="692"/>
      <c r="G18" s="688"/>
      <c r="H18" s="683"/>
      <c r="I18" s="677"/>
    </row>
    <row r="19" spans="1:9" ht="18.75" x14ac:dyDescent="0.3">
      <c r="A19" s="684"/>
      <c r="B19" s="684"/>
      <c r="C19" s="689"/>
      <c r="D19" s="690"/>
      <c r="E19" s="691"/>
      <c r="F19" s="692"/>
      <c r="G19" s="688"/>
      <c r="H19" s="683"/>
      <c r="I19" s="677"/>
    </row>
    <row r="20" spans="1:9" ht="18.75" x14ac:dyDescent="0.3">
      <c r="A20" s="693"/>
      <c r="B20" s="684"/>
      <c r="C20" s="685"/>
      <c r="D20" s="694"/>
      <c r="E20" s="694"/>
      <c r="F20" s="694"/>
      <c r="G20" s="675"/>
      <c r="H20" s="683"/>
      <c r="I20" s="677"/>
    </row>
    <row r="21" spans="1:9" ht="18.75" x14ac:dyDescent="0.3">
      <c r="A21" s="695"/>
      <c r="B21" s="696"/>
      <c r="C21" s="697" t="s">
        <v>277</v>
      </c>
      <c r="D21" s="691"/>
      <c r="E21" s="698"/>
      <c r="F21" s="692"/>
      <c r="G21" s="675"/>
      <c r="H21" s="676"/>
      <c r="I21" s="677"/>
    </row>
    <row r="22" spans="1:9" ht="18.75" x14ac:dyDescent="0.3">
      <c r="A22" s="699"/>
      <c r="B22" s="700"/>
      <c r="C22" s="701"/>
      <c r="D22" s="702"/>
      <c r="E22" s="703"/>
      <c r="F22" s="704"/>
      <c r="G22" s="675"/>
      <c r="H22" s="676"/>
      <c r="I22" s="677"/>
    </row>
    <row r="23" spans="1:9" ht="18.75" x14ac:dyDescent="0.3">
      <c r="A23" s="699"/>
      <c r="B23" s="700"/>
      <c r="C23" s="701"/>
      <c r="D23" s="702"/>
      <c r="E23" s="705"/>
      <c r="F23" s="704"/>
      <c r="G23" s="675"/>
      <c r="H23" s="676"/>
      <c r="I23" s="677"/>
    </row>
    <row r="24" spans="1:9" ht="18.75" x14ac:dyDescent="0.3">
      <c r="A24" s="699"/>
      <c r="B24" s="700"/>
      <c r="C24" s="701"/>
      <c r="D24" s="702"/>
      <c r="E24" s="703"/>
      <c r="F24" s="704"/>
      <c r="G24" s="675"/>
      <c r="H24" s="676"/>
      <c r="I24" s="677"/>
    </row>
    <row r="25" spans="1:9" ht="18.75" x14ac:dyDescent="0.3">
      <c r="A25" s="699"/>
      <c r="B25" s="700"/>
      <c r="C25" s="701"/>
      <c r="D25" s="702"/>
      <c r="E25" s="706"/>
      <c r="F25" s="707"/>
      <c r="G25" s="675"/>
      <c r="H25" s="676"/>
      <c r="I25" s="677"/>
    </row>
    <row r="26" spans="1:9" ht="18.75" x14ac:dyDescent="0.3">
      <c r="A26" s="699"/>
      <c r="B26" s="700"/>
      <c r="C26" s="701"/>
      <c r="D26" s="702"/>
      <c r="E26" s="708"/>
      <c r="F26" s="707"/>
      <c r="G26" s="675"/>
      <c r="H26" s="676"/>
      <c r="I26" s="677"/>
    </row>
    <row r="27" spans="1:9" ht="18.75" x14ac:dyDescent="0.3">
      <c r="A27" s="679"/>
      <c r="B27" s="679"/>
      <c r="C27" s="680"/>
      <c r="D27" s="709"/>
      <c r="E27" s="710"/>
      <c r="F27" s="711"/>
      <c r="G27" s="675"/>
      <c r="H27" s="676"/>
      <c r="I27" s="677"/>
    </row>
    <row r="28" spans="1:9" ht="18.75" x14ac:dyDescent="0.3">
      <c r="A28" s="684"/>
      <c r="B28" s="684"/>
      <c r="C28" s="685"/>
      <c r="D28" s="712"/>
      <c r="E28" s="713"/>
      <c r="F28" s="711"/>
      <c r="G28" s="675"/>
      <c r="H28" s="676"/>
      <c r="I28" s="677"/>
    </row>
    <row r="29" spans="1:9" ht="18.75" x14ac:dyDescent="0.3">
      <c r="A29" s="684"/>
      <c r="B29" s="684"/>
      <c r="C29" s="685"/>
      <c r="D29" s="712"/>
      <c r="E29" s="714"/>
      <c r="F29" s="715"/>
      <c r="G29" s="675"/>
      <c r="H29" s="676"/>
      <c r="I29" s="677"/>
    </row>
    <row r="30" spans="1:9" ht="18.75" x14ac:dyDescent="0.3">
      <c r="A30" s="716"/>
      <c r="B30" s="717"/>
      <c r="C30" s="718" t="s">
        <v>270</v>
      </c>
      <c r="D30" s="719"/>
      <c r="E30" s="720"/>
      <c r="F30" s="676"/>
      <c r="G30" s="675"/>
      <c r="H30" s="680"/>
      <c r="I30" s="677"/>
    </row>
    <row r="31" spans="1:9" ht="18.75" x14ac:dyDescent="0.3">
      <c r="A31" s="721">
        <v>512000002</v>
      </c>
      <c r="B31" s="721" t="s">
        <v>271</v>
      </c>
      <c r="C31" s="722" t="s">
        <v>278</v>
      </c>
      <c r="D31" s="681"/>
      <c r="E31" s="723">
        <v>1</v>
      </c>
      <c r="F31" s="724" t="s">
        <v>272</v>
      </c>
      <c r="G31" s="725"/>
      <c r="H31" s="676"/>
      <c r="I31" s="677"/>
    </row>
    <row r="32" spans="1:9" ht="18.75" x14ac:dyDescent="0.3">
      <c r="A32" s="726">
        <v>702067</v>
      </c>
      <c r="B32" s="726" t="s">
        <v>273</v>
      </c>
      <c r="C32" s="727" t="s">
        <v>279</v>
      </c>
      <c r="D32" s="681" t="s">
        <v>76</v>
      </c>
      <c r="E32" s="723">
        <v>1</v>
      </c>
      <c r="F32" s="724" t="s">
        <v>37</v>
      </c>
      <c r="G32" s="725"/>
      <c r="H32" s="676"/>
      <c r="I32" s="677"/>
    </row>
    <row r="33" spans="1:9" ht="18.75" x14ac:dyDescent="0.3">
      <c r="A33" s="684"/>
      <c r="B33" s="684"/>
      <c r="C33" s="685"/>
      <c r="D33" s="728"/>
      <c r="E33" s="714"/>
      <c r="F33" s="688"/>
      <c r="G33" s="725"/>
      <c r="H33" s="676"/>
      <c r="I33" s="677"/>
    </row>
    <row r="34" spans="1:9" ht="18.75" x14ac:dyDescent="0.3">
      <c r="A34" s="729"/>
      <c r="B34" s="729"/>
      <c r="C34" s="730"/>
      <c r="D34" s="681"/>
      <c r="E34" s="723"/>
      <c r="F34" s="724"/>
      <c r="G34" s="675"/>
      <c r="H34" s="676"/>
      <c r="I34" s="677"/>
    </row>
    <row r="35" spans="1:9" ht="18.75" x14ac:dyDescent="0.3">
      <c r="A35" s="729"/>
      <c r="B35" s="729"/>
      <c r="C35" s="730"/>
      <c r="D35" s="681"/>
      <c r="E35" s="723"/>
      <c r="F35" s="724"/>
      <c r="G35" s="675"/>
      <c r="H35" s="676"/>
      <c r="I35" s="677"/>
    </row>
    <row r="36" spans="1:9" ht="18.75" x14ac:dyDescent="0.3">
      <c r="A36" s="729"/>
      <c r="B36" s="729"/>
      <c r="C36" s="730"/>
      <c r="D36" s="681"/>
      <c r="E36" s="723"/>
      <c r="F36" s="724"/>
      <c r="G36" s="731"/>
      <c r="H36" s="676"/>
      <c r="I36" s="677"/>
    </row>
    <row r="37" spans="1:9" ht="18.75" x14ac:dyDescent="0.3">
      <c r="A37" s="729"/>
      <c r="B37" s="729"/>
      <c r="C37" s="730"/>
      <c r="D37" s="681"/>
      <c r="E37" s="723"/>
      <c r="F37" s="724"/>
      <c r="G37" s="690"/>
      <c r="H37" s="676"/>
      <c r="I37" s="677"/>
    </row>
    <row r="38" spans="1:9" ht="18.75" x14ac:dyDescent="0.3">
      <c r="A38" s="732"/>
      <c r="B38" s="732"/>
      <c r="C38" s="733"/>
      <c r="D38" s="681"/>
      <c r="E38" s="715"/>
      <c r="F38" s="715"/>
      <c r="G38" s="690"/>
      <c r="H38" s="676"/>
      <c r="I38" s="677"/>
    </row>
    <row r="39" spans="1:9" ht="18.75" x14ac:dyDescent="0.3">
      <c r="A39" s="721"/>
      <c r="B39" s="684"/>
      <c r="C39" s="722"/>
      <c r="D39" s="728"/>
      <c r="E39" s="714"/>
      <c r="F39" s="688"/>
      <c r="G39" s="690"/>
      <c r="H39" s="676"/>
      <c r="I39" s="677"/>
    </row>
    <row r="40" spans="1:9" ht="18.75" x14ac:dyDescent="0.3">
      <c r="A40" s="729"/>
      <c r="B40" s="729"/>
      <c r="C40" s="730"/>
      <c r="D40" s="681"/>
      <c r="E40" s="714"/>
      <c r="F40" s="688"/>
      <c r="G40" s="690"/>
      <c r="H40" s="676"/>
      <c r="I40" s="677"/>
    </row>
    <row r="41" spans="1:9" ht="18.75" x14ac:dyDescent="0.3">
      <c r="A41" s="695"/>
      <c r="B41" s="696"/>
      <c r="C41" s="734"/>
      <c r="D41" s="691"/>
      <c r="E41" s="691"/>
      <c r="F41" s="692"/>
      <c r="G41" s="691"/>
      <c r="H41" s="691"/>
      <c r="I41" s="677"/>
    </row>
    <row r="42" spans="1:9" ht="18.75" thickBot="1" x14ac:dyDescent="0.3">
      <c r="A42" s="735"/>
      <c r="B42" s="736"/>
      <c r="C42" s="737"/>
      <c r="D42" s="737"/>
      <c r="E42" s="738"/>
      <c r="F42" s="739"/>
      <c r="G42" s="737"/>
      <c r="H42" s="737"/>
      <c r="I42" s="740"/>
    </row>
    <row r="43" spans="1:9" ht="18.75" thickBot="1" x14ac:dyDescent="0.3">
      <c r="A43" s="741"/>
      <c r="B43" s="742"/>
      <c r="C43" s="743"/>
      <c r="D43" s="744" t="s">
        <v>6</v>
      </c>
      <c r="E43" s="745" t="s">
        <v>15</v>
      </c>
      <c r="F43" s="746"/>
      <c r="G43" s="743"/>
      <c r="H43" s="743"/>
      <c r="I43" s="747"/>
    </row>
    <row r="44" spans="1:9" ht="18" x14ac:dyDescent="0.25">
      <c r="A44" s="748" t="s">
        <v>10</v>
      </c>
      <c r="B44" s="749"/>
      <c r="C44" s="750"/>
      <c r="D44" s="713">
        <v>2000</v>
      </c>
      <c r="E44" s="751" t="s">
        <v>36</v>
      </c>
      <c r="F44" s="752" t="s">
        <v>280</v>
      </c>
      <c r="G44" s="752"/>
      <c r="H44" s="753"/>
      <c r="I44" s="754"/>
    </row>
    <row r="45" spans="1:9" ht="18" x14ac:dyDescent="0.25">
      <c r="A45" s="755" t="s">
        <v>9</v>
      </c>
      <c r="B45" s="756"/>
      <c r="C45" s="757"/>
      <c r="D45" s="714">
        <v>20</v>
      </c>
      <c r="E45" s="688" t="s">
        <v>38</v>
      </c>
      <c r="F45" s="758" t="s">
        <v>281</v>
      </c>
      <c r="G45" s="758"/>
      <c r="H45" s="759"/>
      <c r="I45" s="760"/>
    </row>
    <row r="46" spans="1:9" ht="18" x14ac:dyDescent="0.25">
      <c r="A46" s="755" t="s">
        <v>14</v>
      </c>
      <c r="B46" s="756"/>
      <c r="C46" s="757"/>
      <c r="D46" s="714">
        <v>1</v>
      </c>
      <c r="E46" s="688" t="s">
        <v>39</v>
      </c>
      <c r="F46" s="758" t="s">
        <v>282</v>
      </c>
      <c r="G46" s="758"/>
      <c r="H46" s="759"/>
      <c r="I46" s="760"/>
    </row>
    <row r="47" spans="1:9" ht="18" x14ac:dyDescent="0.25">
      <c r="A47" s="755" t="s">
        <v>13</v>
      </c>
      <c r="B47" s="756"/>
      <c r="C47" s="757"/>
      <c r="D47" s="714">
        <v>2000</v>
      </c>
      <c r="E47" s="688" t="s">
        <v>36</v>
      </c>
      <c r="F47" s="761" t="s">
        <v>283</v>
      </c>
      <c r="G47" s="762"/>
      <c r="H47" s="763"/>
      <c r="I47" s="764"/>
    </row>
    <row r="48" spans="1:9" ht="18.75" thickBot="1" x14ac:dyDescent="0.3">
      <c r="A48" s="765" t="s">
        <v>12</v>
      </c>
      <c r="B48" s="766"/>
      <c r="C48" s="767"/>
      <c r="D48" s="768">
        <f>SUM(E10:E16)-D44</f>
        <v>495</v>
      </c>
      <c r="E48" s="769"/>
      <c r="F48" s="770"/>
      <c r="G48" s="770"/>
      <c r="H48" s="759"/>
      <c r="I48" s="760"/>
    </row>
    <row r="49" spans="1:9" ht="18.75" thickBot="1" x14ac:dyDescent="0.3">
      <c r="A49" s="771" t="s">
        <v>11</v>
      </c>
      <c r="B49" s="772"/>
      <c r="C49" s="772"/>
      <c r="D49" s="772"/>
      <c r="E49" s="772"/>
      <c r="F49" s="772"/>
      <c r="G49" s="772"/>
      <c r="H49" s="772"/>
      <c r="I49" s="773"/>
    </row>
    <row r="50" spans="1:9" ht="18" x14ac:dyDescent="0.25">
      <c r="A50" s="774" t="s">
        <v>257</v>
      </c>
      <c r="B50" s="775"/>
      <c r="C50" s="775"/>
      <c r="D50" s="775"/>
      <c r="E50" s="775"/>
      <c r="F50" s="775"/>
      <c r="G50" s="775"/>
      <c r="H50" s="775"/>
      <c r="I50" s="776"/>
    </row>
    <row r="51" spans="1:9" ht="18" x14ac:dyDescent="0.25">
      <c r="A51" s="774" t="s">
        <v>84</v>
      </c>
      <c r="B51" s="775"/>
      <c r="C51" s="775"/>
      <c r="D51" s="775"/>
      <c r="E51" s="775"/>
      <c r="F51" s="775"/>
      <c r="G51" s="775"/>
      <c r="H51" s="775"/>
      <c r="I51" s="776"/>
    </row>
    <row r="52" spans="1:9" ht="18" x14ac:dyDescent="0.25">
      <c r="A52" s="777" t="s">
        <v>259</v>
      </c>
      <c r="B52" s="778"/>
      <c r="C52" s="778"/>
      <c r="D52" s="778"/>
      <c r="E52" s="778"/>
      <c r="F52" s="778"/>
      <c r="G52" s="778"/>
      <c r="H52" s="778"/>
      <c r="I52" s="779"/>
    </row>
    <row r="53" spans="1:9" ht="18" x14ac:dyDescent="0.25">
      <c r="A53" s="780" t="s">
        <v>258</v>
      </c>
      <c r="B53" s="781"/>
      <c r="C53" s="782"/>
      <c r="D53" s="782"/>
      <c r="E53" s="782"/>
      <c r="F53" s="782"/>
      <c r="G53" s="782"/>
      <c r="H53" s="782"/>
      <c r="I53" s="783"/>
    </row>
    <row r="54" spans="1:9" ht="18" x14ac:dyDescent="0.25">
      <c r="A54" s="784" t="s">
        <v>85</v>
      </c>
      <c r="B54" s="785"/>
      <c r="C54" s="785"/>
      <c r="D54" s="785"/>
      <c r="E54" s="785"/>
      <c r="F54" s="785"/>
      <c r="G54" s="785"/>
      <c r="H54" s="785"/>
      <c r="I54" s="786"/>
    </row>
    <row r="55" spans="1:9" ht="18.75" x14ac:dyDescent="0.3">
      <c r="A55" s="787" t="s">
        <v>274</v>
      </c>
      <c r="B55" s="788"/>
      <c r="C55" s="788"/>
      <c r="D55" s="788"/>
      <c r="E55" s="788"/>
      <c r="F55" s="788"/>
      <c r="G55" s="788"/>
      <c r="H55" s="788"/>
      <c r="I55" s="789"/>
    </row>
    <row r="56" spans="1:9" ht="18.75" x14ac:dyDescent="0.3">
      <c r="A56" s="787"/>
      <c r="B56" s="788"/>
      <c r="C56" s="788"/>
      <c r="D56" s="788"/>
      <c r="E56" s="788"/>
      <c r="F56" s="788"/>
      <c r="G56" s="788"/>
      <c r="H56" s="788"/>
      <c r="I56" s="789"/>
    </row>
    <row r="57" spans="1:9" ht="18.75" thickBot="1" x14ac:dyDescent="0.3">
      <c r="A57" s="790"/>
      <c r="B57" s="791"/>
      <c r="C57" s="791"/>
      <c r="D57" s="791"/>
      <c r="E57" s="791"/>
      <c r="F57" s="791"/>
      <c r="G57" s="791"/>
      <c r="H57" s="791"/>
      <c r="I57" s="792"/>
    </row>
    <row r="58" spans="1:9" ht="18" x14ac:dyDescent="0.25">
      <c r="A58" s="793" t="s">
        <v>284</v>
      </c>
      <c r="B58" s="794"/>
      <c r="C58" s="794"/>
      <c r="D58" s="794"/>
      <c r="E58" s="794"/>
      <c r="F58" s="794"/>
      <c r="G58" s="794"/>
      <c r="H58" s="794"/>
      <c r="I58" s="794"/>
    </row>
    <row r="59" spans="1:9" ht="18" x14ac:dyDescent="0.25">
      <c r="A59" s="654" t="s">
        <v>287</v>
      </c>
      <c r="B59" s="655"/>
      <c r="C59" s="655"/>
      <c r="D59" s="655"/>
      <c r="E59" s="655"/>
      <c r="F59" s="655"/>
      <c r="G59" s="655"/>
      <c r="H59" s="655"/>
      <c r="I59" s="656"/>
    </row>
    <row r="60" spans="1:9" ht="13.5" x14ac:dyDescent="0.25">
      <c r="A60" s="438"/>
      <c r="B60" s="439"/>
      <c r="C60" s="439"/>
      <c r="D60" s="439"/>
      <c r="E60" s="439"/>
      <c r="F60" s="439"/>
      <c r="G60" s="439"/>
      <c r="H60" s="439"/>
      <c r="I60" s="439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4:C44"/>
    <mergeCell ref="F44:G44"/>
    <mergeCell ref="H44:I44"/>
    <mergeCell ref="A45:C45"/>
    <mergeCell ref="F45:G45"/>
    <mergeCell ref="H45:I45"/>
    <mergeCell ref="A51:I51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49:I49"/>
    <mergeCell ref="A50:I50"/>
    <mergeCell ref="A58:I58"/>
    <mergeCell ref="A59:I59"/>
    <mergeCell ref="A60:I60"/>
    <mergeCell ref="A52:I52"/>
    <mergeCell ref="A53:I53"/>
    <mergeCell ref="A54:I54"/>
    <mergeCell ref="A55:I55"/>
    <mergeCell ref="A56:I56"/>
    <mergeCell ref="A57:I57"/>
  </mergeCells>
  <pageMargins left="0.7" right="0.7" top="0.75" bottom="0.75" header="0.3" footer="0.3"/>
  <pageSetup paperSize="9" scale="4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51666-E378-4EB7-86A2-FCA6F5444FEA}">
  <dimension ref="A1:Q91"/>
  <sheetViews>
    <sheetView topLeftCell="A45" workbookViewId="0">
      <selection activeCell="G59" sqref="G59"/>
    </sheetView>
  </sheetViews>
  <sheetFormatPr baseColWidth="10" defaultColWidth="8.42578125" defaultRowHeight="12.75" x14ac:dyDescent="0.2"/>
  <cols>
    <col min="1" max="1" width="10" style="80" bestFit="1" customWidth="1"/>
    <col min="2" max="2" width="44.28515625" style="80" bestFit="1" customWidth="1"/>
    <col min="3" max="3" width="10.42578125" style="80" bestFit="1" customWidth="1"/>
    <col min="4" max="4" width="10.42578125" style="80" customWidth="1"/>
    <col min="5" max="5" width="9.7109375" style="80" bestFit="1" customWidth="1"/>
    <col min="6" max="6" width="9.5703125" style="80" bestFit="1" customWidth="1"/>
    <col min="7" max="7" width="9.5703125" style="160" bestFit="1" customWidth="1"/>
    <col min="8" max="8" width="10.42578125" style="151" bestFit="1" customWidth="1"/>
    <col min="9" max="9" width="4.5703125" style="151" customWidth="1"/>
    <col min="10" max="10" width="1.7109375" style="79" customWidth="1"/>
    <col min="11" max="11" width="7" style="80" bestFit="1" customWidth="1"/>
    <col min="12" max="12" width="6.28515625" style="80" customWidth="1"/>
    <col min="13" max="13" width="20.42578125" style="80" customWidth="1"/>
    <col min="14" max="14" width="6.42578125" style="80" bestFit="1" customWidth="1"/>
    <col min="15" max="16" width="8.42578125" style="80"/>
    <col min="17" max="17" width="3.28515625" style="80" customWidth="1"/>
    <col min="18" max="16384" width="8.42578125" style="80"/>
  </cols>
  <sheetData>
    <row r="1" spans="1:10" ht="27.75" customHeight="1" x14ac:dyDescent="0.2">
      <c r="A1" s="75"/>
      <c r="B1" s="75"/>
      <c r="C1" s="75"/>
      <c r="D1" s="75"/>
      <c r="E1" s="76" t="s">
        <v>86</v>
      </c>
      <c r="F1" s="77" t="s">
        <v>87</v>
      </c>
      <c r="G1" s="77" t="s">
        <v>88</v>
      </c>
      <c r="H1" s="77" t="s">
        <v>89</v>
      </c>
      <c r="I1" s="78"/>
    </row>
    <row r="2" spans="1:10" ht="30.75" customHeight="1" x14ac:dyDescent="0.2">
      <c r="A2" s="75"/>
      <c r="B2" s="75"/>
      <c r="C2" s="75"/>
      <c r="D2" s="75"/>
      <c r="E2" s="81">
        <f>IFERROR(O62,"")</f>
        <v>8928.7531315796241</v>
      </c>
      <c r="F2" s="81">
        <f>IFERROR(H53,"")</f>
        <v>5531.485699285714</v>
      </c>
      <c r="G2" s="81">
        <f>IFERROR(H54,"")</f>
        <v>75.675814400000007</v>
      </c>
      <c r="H2" s="81">
        <f>IFERROR(H56,"")</f>
        <v>1139.6264000000001</v>
      </c>
      <c r="I2" s="82"/>
    </row>
    <row r="3" spans="1:10" ht="15" customHeight="1" x14ac:dyDescent="0.2">
      <c r="A3" s="75"/>
      <c r="B3" s="75"/>
      <c r="C3" s="75"/>
      <c r="D3" s="75"/>
      <c r="E3" s="75"/>
      <c r="F3" s="83"/>
      <c r="G3" s="83"/>
      <c r="H3" s="83"/>
      <c r="I3" s="83"/>
    </row>
    <row r="4" spans="1:10" ht="24.75" customHeight="1" thickBot="1" x14ac:dyDescent="0.25">
      <c r="A4" s="446"/>
      <c r="B4" s="446"/>
      <c r="C4" s="446"/>
      <c r="D4" s="446"/>
      <c r="E4" s="446"/>
      <c r="F4" s="446"/>
      <c r="G4" s="446"/>
      <c r="H4" s="446"/>
      <c r="I4" s="84"/>
    </row>
    <row r="5" spans="1:10" ht="19.5" customHeight="1" thickBot="1" x14ac:dyDescent="0.25">
      <c r="A5" s="447" t="s">
        <v>90</v>
      </c>
      <c r="B5" s="448"/>
      <c r="C5" s="448"/>
      <c r="D5" s="448"/>
      <c r="E5" s="448"/>
      <c r="F5" s="448"/>
      <c r="G5" s="448"/>
      <c r="H5" s="449"/>
      <c r="I5" s="85"/>
    </row>
    <row r="6" spans="1:10" ht="19.5" thickBot="1" x14ac:dyDescent="0.25">
      <c r="A6" s="85"/>
      <c r="B6" s="85"/>
      <c r="C6" s="85"/>
      <c r="D6" s="85"/>
      <c r="E6" s="85"/>
      <c r="F6" s="450" t="s">
        <v>91</v>
      </c>
      <c r="G6" s="450"/>
      <c r="H6" s="86">
        <f ca="1">TODAY()</f>
        <v>45754</v>
      </c>
      <c r="I6" s="86"/>
    </row>
    <row r="7" spans="1:10" ht="26.25" thickBot="1" x14ac:dyDescent="0.25">
      <c r="A7" s="87" t="s">
        <v>92</v>
      </c>
      <c r="B7" s="88" t="s">
        <v>93</v>
      </c>
      <c r="C7" s="88" t="s">
        <v>92</v>
      </c>
      <c r="D7" s="89" t="s">
        <v>94</v>
      </c>
      <c r="E7" s="89" t="s">
        <v>95</v>
      </c>
      <c r="F7" s="89" t="s">
        <v>96</v>
      </c>
      <c r="G7" s="89" t="s">
        <v>97</v>
      </c>
      <c r="H7" s="90" t="s">
        <v>98</v>
      </c>
      <c r="I7" s="91"/>
    </row>
    <row r="8" spans="1:10" ht="13.5" x14ac:dyDescent="0.25">
      <c r="A8" s="92">
        <v>180</v>
      </c>
      <c r="B8" s="80" t="str">
        <f>IFERROR(VLOOKUP(H8,'[1]Consolidado MP Planta'!$A$2:$M$823,3,0),"")</f>
        <v>AGUA PLANTA</v>
      </c>
      <c r="C8" s="93">
        <f>+A8</f>
        <v>180</v>
      </c>
      <c r="D8" s="94" t="str">
        <f>IFERROR(VLOOKUP(H8,'[1]Consolidado MP Planta'!$A$2:$M$823,13,0),"")</f>
        <v>Mililitros</v>
      </c>
      <c r="E8" s="94">
        <f>IFERROR(VLOOKUP(H8,'[1]Consolidado MP Planta'!$A$2:$M$823,12,0),"")</f>
        <v>0.1</v>
      </c>
      <c r="F8" s="94">
        <f>IFERROR(C8*E8,"")</f>
        <v>18</v>
      </c>
      <c r="G8" s="95">
        <f t="shared" ref="G8:G14" si="0">IFERROR(F8/$F$66,"")</f>
        <v>2.6401512453099541E-3</v>
      </c>
      <c r="H8" s="96" t="s">
        <v>28</v>
      </c>
      <c r="I8" s="96"/>
      <c r="J8" s="97"/>
    </row>
    <row r="9" spans="1:10" ht="13.5" x14ac:dyDescent="0.25">
      <c r="A9" s="92">
        <v>450</v>
      </c>
      <c r="B9" s="80" t="str">
        <f>IFERROR(VLOOKUP(H9,'[1]Consolidado MP Planta'!$A$2:$M$823,3,0),"")</f>
        <v>SIROPE KARO DARK (UND: 3.78 K)</v>
      </c>
      <c r="C9" s="93">
        <f t="shared" ref="C9:C14" si="1">+A9</f>
        <v>450</v>
      </c>
      <c r="D9" s="94" t="str">
        <f>IFERROR(VLOOKUP(H9,'[1]Consolidado MP Planta'!$A$2:$M$823,13,0),"")</f>
        <v>Mililitros</v>
      </c>
      <c r="E9" s="94">
        <f>IFERROR(VLOOKUP(H9,'[1]Consolidado MP Planta'!$A$2:$M$823,12,0),"")</f>
        <v>2.5428571428571427</v>
      </c>
      <c r="F9" s="94">
        <f t="shared" ref="F9:F14" si="2">IFERROR(C9*E9,"")</f>
        <v>1144.2857142857142</v>
      </c>
      <c r="G9" s="95">
        <f t="shared" si="0"/>
        <v>0.16783818630898992</v>
      </c>
      <c r="H9" s="96" t="s">
        <v>135</v>
      </c>
      <c r="I9" s="96"/>
      <c r="J9" s="97"/>
    </row>
    <row r="10" spans="1:10" ht="13.5" x14ac:dyDescent="0.25">
      <c r="A10" s="92">
        <v>145</v>
      </c>
      <c r="B10" s="80" t="str">
        <f>IFERROR(VLOOKUP(H10,'[1]Consolidado MP Planta'!$A$2:$M$823,3,0),"")</f>
        <v>LACTOCREMA GRANEL (CAJA:25 KG)</v>
      </c>
      <c r="C10" s="93">
        <f t="shared" si="1"/>
        <v>145</v>
      </c>
      <c r="D10" s="94" t="str">
        <f>IFERROR(VLOOKUP(H10,'[1]Consolidado MP Planta'!$A$2:$M$823,13,0),"")</f>
        <v>Gramos</v>
      </c>
      <c r="E10" s="94">
        <f>IFERROR(VLOOKUP(H10,'[1]Consolidado MP Planta'!$A$2:$M$823,12,0),"")</f>
        <v>3.0550000000000002</v>
      </c>
      <c r="F10" s="94">
        <f t="shared" si="2"/>
        <v>442.97500000000002</v>
      </c>
      <c r="G10" s="95">
        <f t="shared" si="0"/>
        <v>6.4973388771732046E-2</v>
      </c>
      <c r="H10" s="96" t="s">
        <v>138</v>
      </c>
      <c r="I10" s="96"/>
      <c r="J10" s="97"/>
    </row>
    <row r="11" spans="1:10" ht="13.5" x14ac:dyDescent="0.25">
      <c r="A11" s="92">
        <v>7</v>
      </c>
      <c r="B11" s="80" t="str">
        <f>IFERROR(VLOOKUP(H11,'[1]Consolidado MP Planta'!$A$2:$M$823,3,0),"")</f>
        <v>BICARBONATO DE SODIO (PAQ:2.5 K)</v>
      </c>
      <c r="C11" s="93">
        <f t="shared" si="1"/>
        <v>7</v>
      </c>
      <c r="D11" s="94" t="str">
        <f>IFERROR(VLOOKUP(H11,'[1]Consolidado MP Planta'!$A$2:$M$823,13,0),"")</f>
        <v>Gramos</v>
      </c>
      <c r="E11" s="94">
        <f>IFERROR(VLOOKUP(H11,'[1]Consolidado MP Planta'!$A$2:$M$823,12,0),"")</f>
        <v>0.70657999999999999</v>
      </c>
      <c r="F11" s="94">
        <f t="shared" si="2"/>
        <v>4.9460600000000001</v>
      </c>
      <c r="G11" s="95">
        <f t="shared" si="0"/>
        <v>7.2546369268765287E-4</v>
      </c>
      <c r="H11" s="96" t="s">
        <v>136</v>
      </c>
      <c r="I11" s="96"/>
      <c r="J11" s="97"/>
    </row>
    <row r="12" spans="1:10" ht="13.5" x14ac:dyDescent="0.25">
      <c r="A12" s="92">
        <v>630</v>
      </c>
      <c r="B12" s="80" t="str">
        <f>IFERROR(VLOOKUP(H12,'[1]Consolidado MP Planta'!$A$2:$M$823,3,0),"")</f>
        <v>ALMENDRA ENTERA (CAJA:12 KG)</v>
      </c>
      <c r="C12" s="93">
        <f t="shared" si="1"/>
        <v>630</v>
      </c>
      <c r="D12" s="94" t="str">
        <f>IFERROR(VLOOKUP(H12,'[1]Consolidado MP Planta'!$A$2:$M$823,13,0),"")</f>
        <v>Gramos</v>
      </c>
      <c r="E12" s="94">
        <f>IFERROR(VLOOKUP(H12,'[1]Consolidado MP Planta'!$A$2:$M$823,12,0),"")</f>
        <v>5.5533074999999998</v>
      </c>
      <c r="F12" s="94">
        <f t="shared" si="2"/>
        <v>3498.583725</v>
      </c>
      <c r="G12" s="95">
        <f t="shared" si="0"/>
        <v>0.51315500990999374</v>
      </c>
      <c r="H12" s="96" t="s">
        <v>137</v>
      </c>
      <c r="I12" s="96"/>
      <c r="J12" s="97"/>
    </row>
    <row r="13" spans="1:10" ht="13.5" hidden="1" x14ac:dyDescent="0.25">
      <c r="A13" s="92"/>
      <c r="B13" s="80" t="str">
        <f>IFERROR(VLOOKUP(H13,'[1]Consolidado MP Planta'!$A$2:$M$823,3,0),"")</f>
        <v/>
      </c>
      <c r="C13" s="93">
        <f t="shared" si="1"/>
        <v>0</v>
      </c>
      <c r="D13" s="94" t="str">
        <f>IFERROR(VLOOKUP(H13,'[1]Consolidado MP Planta'!$A$2:$M$823,13,0),"")</f>
        <v/>
      </c>
      <c r="E13" s="94" t="str">
        <f>IFERROR(VLOOKUP(H13,'[1]Consolidado MP Planta'!$A$2:$M$823,12,0),"")</f>
        <v/>
      </c>
      <c r="F13" s="94" t="str">
        <f t="shared" si="2"/>
        <v/>
      </c>
      <c r="G13" s="95" t="str">
        <f t="shared" si="0"/>
        <v/>
      </c>
      <c r="H13" s="96"/>
      <c r="I13" s="96"/>
      <c r="J13" s="97"/>
    </row>
    <row r="14" spans="1:10" ht="13.5" hidden="1" x14ac:dyDescent="0.25">
      <c r="A14" s="92"/>
      <c r="B14" s="80" t="str">
        <f>IFERROR(VLOOKUP(H14,'[1]Consolidado MP Planta'!$A$2:$M$823,3,0),"")</f>
        <v/>
      </c>
      <c r="C14" s="93">
        <f t="shared" si="1"/>
        <v>0</v>
      </c>
      <c r="D14" s="94" t="str">
        <f>IFERROR(VLOOKUP(H14,'[1]Consolidado MP Planta'!$A$2:$M$823,13,0),"")</f>
        <v/>
      </c>
      <c r="E14" s="94" t="str">
        <f>IFERROR(VLOOKUP(H14,'[1]Consolidado MP Planta'!$A$2:$M$823,12,0),"")</f>
        <v/>
      </c>
      <c r="F14" s="94" t="str">
        <f t="shared" si="2"/>
        <v/>
      </c>
      <c r="G14" s="95" t="str">
        <f t="shared" si="0"/>
        <v/>
      </c>
      <c r="H14" s="96"/>
      <c r="I14" s="96"/>
      <c r="J14" s="97"/>
    </row>
    <row r="15" spans="1:10" ht="14.25" thickBot="1" x14ac:dyDescent="0.3">
      <c r="A15" s="92"/>
      <c r="B15" s="80" t="str">
        <f>IFERROR(VLOOKUP(H15,'[2]ARTICULOS MP PLANTA'!$A$2:$G$589,2,0),"")</f>
        <v/>
      </c>
      <c r="C15" s="93"/>
      <c r="D15" s="94"/>
      <c r="E15" s="94"/>
      <c r="F15" s="94"/>
      <c r="G15" s="95"/>
      <c r="H15" s="96"/>
      <c r="I15" s="96"/>
      <c r="J15" s="97"/>
    </row>
    <row r="16" spans="1:10" ht="26.25" thickBot="1" x14ac:dyDescent="0.25">
      <c r="A16" s="87" t="s">
        <v>92</v>
      </c>
      <c r="B16" s="88" t="s">
        <v>99</v>
      </c>
      <c r="C16" s="88" t="s">
        <v>92</v>
      </c>
      <c r="D16" s="89" t="s">
        <v>94</v>
      </c>
      <c r="E16" s="89" t="s">
        <v>95</v>
      </c>
      <c r="F16" s="89" t="s">
        <v>96</v>
      </c>
      <c r="G16" s="89" t="s">
        <v>97</v>
      </c>
      <c r="H16" s="90" t="s">
        <v>98</v>
      </c>
      <c r="I16" s="91"/>
      <c r="J16" s="97"/>
    </row>
    <row r="17" spans="1:12" ht="13.5" x14ac:dyDescent="0.25">
      <c r="A17" s="92">
        <v>1080</v>
      </c>
      <c r="B17" s="80" t="str">
        <f>IFERROR(VLOOKUP(H17,[1]SEMIELABORADOS!$A$2:$M$6000,2,0),"")</f>
        <v>AZUCAR BLANCO INDUSTRIAL KILO</v>
      </c>
      <c r="C17" s="93">
        <f>+A17</f>
        <v>1080</v>
      </c>
      <c r="D17" s="93" t="str">
        <f>IFERROR(VLOOKUP(H17,[1]SEMIELABORADOS!$A$2:$M$6000,6,0),"")</f>
        <v>Gramo</v>
      </c>
      <c r="E17" s="94">
        <f>IFERROR(VLOOKUP(H17,[1]SEMIELABORADOS!$A$2:$H$65536,8,0),"")</f>
        <v>0.39034000000000002</v>
      </c>
      <c r="F17" s="94">
        <f>IFERROR(E17*C17,"")</f>
        <v>421.56720000000001</v>
      </c>
      <c r="G17" s="95">
        <f t="shared" ref="G17:G24" si="3">IFERROR(F17/$F$66,"")</f>
        <v>6.1833398225657248E-2</v>
      </c>
      <c r="H17" s="96" t="s">
        <v>26</v>
      </c>
      <c r="I17" s="96"/>
      <c r="J17" s="97"/>
    </row>
    <row r="18" spans="1:12" ht="13.5" x14ac:dyDescent="0.25">
      <c r="A18" s="92">
        <v>3</v>
      </c>
      <c r="B18" s="80" t="str">
        <f>IFERROR(VLOOKUP(H18,[1]SEMIELABORADOS!$A$2:$M$6000,2,0),"")</f>
        <v>EMPAQUE SAL KILO</v>
      </c>
      <c r="C18" s="93">
        <f t="shared" ref="C18:C24" si="4">+A18</f>
        <v>3</v>
      </c>
      <c r="D18" s="93" t="str">
        <f>IFERROR(VLOOKUP(H18,[1]SEMIELABORADOS!$A$2:$M$6000,6,0),"")</f>
        <v>Gramo</v>
      </c>
      <c r="E18" s="94">
        <f>IFERROR(VLOOKUP(H18,[1]SEMIELABORADOS!$A$2:$H$65536,8,0),"")</f>
        <v>0.376</v>
      </c>
      <c r="F18" s="94">
        <f t="shared" ref="F18:F24" si="5">IFERROR(E18*C18,"")</f>
        <v>1.1280000000000001</v>
      </c>
      <c r="G18" s="95">
        <f t="shared" si="3"/>
        <v>1.654494780394238E-4</v>
      </c>
      <c r="H18" s="96" t="s">
        <v>29</v>
      </c>
      <c r="I18" s="96"/>
      <c r="J18" s="97"/>
    </row>
    <row r="19" spans="1:12" ht="13.5" hidden="1" x14ac:dyDescent="0.25">
      <c r="A19" s="92"/>
      <c r="B19" s="80" t="str">
        <f>IFERROR(VLOOKUP(H19,[1]SEMIELABORADOS!$A$2:$M$6000,2,0),"")</f>
        <v/>
      </c>
      <c r="C19" s="93">
        <f>+A19</f>
        <v>0</v>
      </c>
      <c r="D19" s="93" t="str">
        <f>IFERROR(VLOOKUP(H19,[1]SEMIELABORADOS!$A$2:$M$6000,6,0),"")</f>
        <v/>
      </c>
      <c r="E19" s="94" t="str">
        <f>IFERROR(VLOOKUP(H19,[1]SEMIELABORADOS!$A$2:$H$65536,8,0),"")</f>
        <v/>
      </c>
      <c r="F19" s="94" t="str">
        <f>IFERROR(E19*C19,"")</f>
        <v/>
      </c>
      <c r="G19" s="95" t="str">
        <f t="shared" si="3"/>
        <v/>
      </c>
      <c r="H19" s="96"/>
      <c r="I19" s="96"/>
      <c r="J19" s="97"/>
    </row>
    <row r="20" spans="1:12" ht="13.5" hidden="1" x14ac:dyDescent="0.25">
      <c r="A20" s="92"/>
      <c r="B20" s="80" t="str">
        <f>IFERROR(VLOOKUP(H20,[1]SEMIELABORADOS!$A$2:$M$6000,2,0),"")</f>
        <v/>
      </c>
      <c r="C20" s="93">
        <f>+A20</f>
        <v>0</v>
      </c>
      <c r="D20" s="93" t="str">
        <f>IFERROR(VLOOKUP(H20,[1]SEMIELABORADOS!$A$2:$M$6000,6,0),"")</f>
        <v/>
      </c>
      <c r="E20" s="94" t="str">
        <f>IFERROR(VLOOKUP(H20,[1]SEMIELABORADOS!$A$2:$H$65536,8,0),"")</f>
        <v/>
      </c>
      <c r="F20" s="94" t="str">
        <f>IFERROR(E20*C20,"")</f>
        <v/>
      </c>
      <c r="G20" s="95" t="str">
        <f t="shared" si="3"/>
        <v/>
      </c>
      <c r="H20" s="96"/>
      <c r="I20" s="96"/>
      <c r="J20" s="97"/>
    </row>
    <row r="21" spans="1:12" ht="13.5" hidden="1" x14ac:dyDescent="0.25">
      <c r="A21" s="92"/>
      <c r="B21" s="80" t="str">
        <f>IFERROR(VLOOKUP(H21,[1]SEMIELABORADOS!$A$2:$M$6000,2,0),"")</f>
        <v/>
      </c>
      <c r="C21" s="93">
        <f>+A21</f>
        <v>0</v>
      </c>
      <c r="D21" s="93" t="str">
        <f>IFERROR(VLOOKUP(H21,[1]SEMIELABORADOS!$A$2:$M$6000,6,0),"")</f>
        <v/>
      </c>
      <c r="E21" s="94" t="str">
        <f>IFERROR(VLOOKUP(H21,[1]SEMIELABORADOS!$A$2:$H$65536,8,0),"")</f>
        <v/>
      </c>
      <c r="F21" s="94" t="str">
        <f>IFERROR(E21*C21,"")</f>
        <v/>
      </c>
      <c r="G21" s="95" t="str">
        <f t="shared" si="3"/>
        <v/>
      </c>
      <c r="H21" s="96"/>
      <c r="I21" s="96"/>
      <c r="J21" s="97"/>
    </row>
    <row r="22" spans="1:12" ht="13.5" hidden="1" x14ac:dyDescent="0.25">
      <c r="A22" s="92"/>
      <c r="B22" s="80" t="str">
        <f>IFERROR(VLOOKUP(H22,[1]SEMIELABORADOS!$A$2:$M$6000,2,0),"")</f>
        <v/>
      </c>
      <c r="C22" s="93">
        <f t="shared" si="4"/>
        <v>0</v>
      </c>
      <c r="D22" s="93" t="str">
        <f>IFERROR(VLOOKUP(H22,[1]SEMIELABORADOS!$A$2:$M$6000,6,0),"")</f>
        <v/>
      </c>
      <c r="E22" s="94" t="str">
        <f>IFERROR(VLOOKUP(H22,[1]SEMIELABORADOS!$A$2:$H$65536,8,0),"")</f>
        <v/>
      </c>
      <c r="F22" s="94" t="str">
        <f t="shared" si="5"/>
        <v/>
      </c>
      <c r="G22" s="95" t="str">
        <f t="shared" si="3"/>
        <v/>
      </c>
      <c r="H22" s="96"/>
      <c r="I22" s="96"/>
      <c r="J22" s="97"/>
    </row>
    <row r="23" spans="1:12" ht="13.5" hidden="1" x14ac:dyDescent="0.25">
      <c r="A23" s="92"/>
      <c r="B23" s="80" t="str">
        <f>IFERROR(VLOOKUP(H23,[1]SEMIELABORADOS!$A$2:$M$6000,2,0),"")</f>
        <v/>
      </c>
      <c r="C23" s="93">
        <f t="shared" si="4"/>
        <v>0</v>
      </c>
      <c r="D23" s="93" t="str">
        <f>IFERROR(VLOOKUP(H23,[1]SEMIELABORADOS!$A$2:$M$6000,6,0),"")</f>
        <v/>
      </c>
      <c r="E23" s="94" t="str">
        <f>IFERROR(VLOOKUP(H23,[1]SEMIELABORADOS!$A$2:$H$65536,8,0),"")</f>
        <v/>
      </c>
      <c r="F23" s="94" t="str">
        <f t="shared" si="5"/>
        <v/>
      </c>
      <c r="G23" s="95" t="str">
        <f t="shared" si="3"/>
        <v/>
      </c>
      <c r="H23" s="96"/>
      <c r="I23" s="96"/>
      <c r="J23" s="97"/>
    </row>
    <row r="24" spans="1:12" ht="13.5" hidden="1" x14ac:dyDescent="0.25">
      <c r="A24" s="92"/>
      <c r="B24" s="80" t="str">
        <f>IFERROR(VLOOKUP(H24,[1]SEMIELABORADOS!$A$2:$M$6000,2,0),"")</f>
        <v/>
      </c>
      <c r="C24" s="93">
        <f t="shared" si="4"/>
        <v>0</v>
      </c>
      <c r="D24" s="93" t="str">
        <f>IFERROR(VLOOKUP(H24,[1]SEMIELABORADOS!$A$2:$M$6000,6,0),"")</f>
        <v/>
      </c>
      <c r="E24" s="94" t="str">
        <f>IFERROR(VLOOKUP(H24,[1]SEMIELABORADOS!$A$2:$H$65536,8,0),"")</f>
        <v/>
      </c>
      <c r="F24" s="94" t="str">
        <f t="shared" si="5"/>
        <v/>
      </c>
      <c r="G24" s="95" t="str">
        <f t="shared" si="3"/>
        <v/>
      </c>
      <c r="H24" s="96"/>
      <c r="I24" s="96"/>
      <c r="J24" s="97"/>
    </row>
    <row r="25" spans="1:12" ht="14.25" thickBot="1" x14ac:dyDescent="0.3">
      <c r="A25" s="92"/>
      <c r="C25" s="93"/>
      <c r="D25" s="93"/>
      <c r="E25" s="94"/>
      <c r="F25" s="94"/>
      <c r="G25" s="95"/>
      <c r="H25" s="96"/>
      <c r="I25" s="96"/>
      <c r="J25" s="97"/>
    </row>
    <row r="26" spans="1:12" ht="26.25" thickBot="1" x14ac:dyDescent="0.25">
      <c r="A26" s="87" t="s">
        <v>92</v>
      </c>
      <c r="B26" s="88" t="s">
        <v>25</v>
      </c>
      <c r="C26" s="88" t="s">
        <v>92</v>
      </c>
      <c r="D26" s="89" t="s">
        <v>94</v>
      </c>
      <c r="E26" s="89" t="s">
        <v>95</v>
      </c>
      <c r="F26" s="89" t="s">
        <v>96</v>
      </c>
      <c r="G26" s="89" t="s">
        <v>97</v>
      </c>
      <c r="H26" s="90" t="s">
        <v>98</v>
      </c>
      <c r="I26" s="91"/>
    </row>
    <row r="27" spans="1:12" ht="13.5" x14ac:dyDescent="0.25">
      <c r="A27" s="92">
        <v>1</v>
      </c>
      <c r="B27" s="98" t="str">
        <f>IFERROR(VLOOKUP(H27,'[1]Consolidado MP Planta'!$A$2:$M$823,3,0),"")</f>
        <v>BOLSA TRANSPARENTE 56X96X1.80 KILO</v>
      </c>
      <c r="C27" s="93">
        <f t="shared" ref="C27:C32" si="6">+A27</f>
        <v>1</v>
      </c>
      <c r="D27" s="94" t="str">
        <f>IFERROR(VLOOKUP(H27,'[1]Consolidado MP Planta'!$A$2:$M$823,13,0),"")</f>
        <v>Und</v>
      </c>
      <c r="E27" s="94">
        <f>IFERROR(VLOOKUP(H27,'[1]Consolidado MP Planta'!$A$2:$M$823,12,0),"")</f>
        <v>50</v>
      </c>
      <c r="F27" s="94">
        <f t="shared" ref="F27:F32" si="7">IFERROR(C27*E27,"")</f>
        <v>50</v>
      </c>
      <c r="G27" s="95">
        <f t="shared" ref="G27:G32" si="8">IFERROR(F27/$F$66,"")</f>
        <v>7.3337534591943164E-3</v>
      </c>
      <c r="H27" s="99" t="s">
        <v>139</v>
      </c>
      <c r="I27" s="99"/>
      <c r="J27" s="97"/>
      <c r="K27" s="451"/>
      <c r="L27" s="451"/>
    </row>
    <row r="28" spans="1:12" ht="13.5" hidden="1" x14ac:dyDescent="0.25">
      <c r="A28" s="92"/>
      <c r="B28" s="98" t="str">
        <f>IFERROR(VLOOKUP(H28,'[1]Consolidado MP Planta'!$A$2:$M$823,3,0),"")</f>
        <v/>
      </c>
      <c r="C28" s="93">
        <f t="shared" si="6"/>
        <v>0</v>
      </c>
      <c r="D28" s="94" t="str">
        <f>IFERROR(VLOOKUP(H28,'[1]Consolidado MP Planta'!$A$2:$M$823,13,0),"")</f>
        <v/>
      </c>
      <c r="E28" s="94" t="str">
        <f>IFERROR(VLOOKUP(H28,'[1]Consolidado MP Planta'!$A$2:$M$823,12,0),"")</f>
        <v/>
      </c>
      <c r="F28" s="94" t="str">
        <f t="shared" si="7"/>
        <v/>
      </c>
      <c r="G28" s="95" t="str">
        <f t="shared" si="8"/>
        <v/>
      </c>
      <c r="H28" s="99"/>
      <c r="I28" s="99"/>
      <c r="J28" s="97"/>
      <c r="K28" s="451"/>
      <c r="L28" s="451"/>
    </row>
    <row r="29" spans="1:12" ht="13.5" hidden="1" x14ac:dyDescent="0.25">
      <c r="A29" s="92"/>
      <c r="B29" s="98" t="str">
        <f>IFERROR(VLOOKUP(H29,'[1]Consolidado MP Planta'!$A$2:$M$823,3,0),"")</f>
        <v/>
      </c>
      <c r="C29" s="93">
        <f t="shared" si="6"/>
        <v>0</v>
      </c>
      <c r="D29" s="94" t="str">
        <f>IFERROR(VLOOKUP(H29,'[1]Consolidado MP Planta'!$A$2:$M$823,13,0),"")</f>
        <v/>
      </c>
      <c r="E29" s="94" t="str">
        <f>IFERROR(VLOOKUP(H29,'[1]Consolidado MP Planta'!$A$2:$M$823,12,0),"")</f>
        <v/>
      </c>
      <c r="F29" s="94" t="str">
        <f t="shared" si="7"/>
        <v/>
      </c>
      <c r="G29" s="95" t="str">
        <f t="shared" si="8"/>
        <v/>
      </c>
      <c r="H29" s="99"/>
      <c r="I29" s="99"/>
      <c r="J29" s="97"/>
      <c r="K29" s="451"/>
      <c r="L29" s="451"/>
    </row>
    <row r="30" spans="1:12" ht="13.5" hidden="1" x14ac:dyDescent="0.25">
      <c r="A30" s="92"/>
      <c r="B30" s="98" t="str">
        <f>IFERROR(VLOOKUP(H30,'[1]Consolidado MP Planta'!$A$2:$M$823,3,0),"")</f>
        <v/>
      </c>
      <c r="C30" s="93">
        <f t="shared" si="6"/>
        <v>0</v>
      </c>
      <c r="D30" s="94" t="str">
        <f>IFERROR(VLOOKUP(H30,'[1]Consolidado MP Planta'!$A$2:$M$823,13,0),"")</f>
        <v/>
      </c>
      <c r="E30" s="94" t="str">
        <f>IFERROR(VLOOKUP(H30,'[1]Consolidado MP Planta'!$A$2:$M$823,12,0),"")</f>
        <v/>
      </c>
      <c r="F30" s="94" t="str">
        <f t="shared" si="7"/>
        <v/>
      </c>
      <c r="G30" s="95" t="str">
        <f t="shared" si="8"/>
        <v/>
      </c>
      <c r="H30" s="99"/>
      <c r="I30" s="99"/>
      <c r="J30" s="97"/>
      <c r="K30" s="451"/>
      <c r="L30" s="451"/>
    </row>
    <row r="31" spans="1:12" ht="13.5" hidden="1" x14ac:dyDescent="0.25">
      <c r="A31" s="92"/>
      <c r="B31" s="98" t="str">
        <f>IFERROR(VLOOKUP(H31,'[1]Consolidado MP Planta'!$A$2:$M$823,3,0),"")</f>
        <v/>
      </c>
      <c r="C31" s="93">
        <f t="shared" si="6"/>
        <v>0</v>
      </c>
      <c r="D31" s="94" t="str">
        <f>IFERROR(VLOOKUP(H31,'[1]Consolidado MP Planta'!$A$2:$M$823,13,0),"")</f>
        <v/>
      </c>
      <c r="E31" s="94" t="str">
        <f>IFERROR(VLOOKUP(H31,'[1]Consolidado MP Planta'!$A$2:$M$823,12,0),"")</f>
        <v/>
      </c>
      <c r="F31" s="94" t="str">
        <f t="shared" si="7"/>
        <v/>
      </c>
      <c r="G31" s="95" t="str">
        <f t="shared" si="8"/>
        <v/>
      </c>
      <c r="H31" s="99"/>
      <c r="I31" s="99"/>
      <c r="J31" s="97"/>
      <c r="K31" s="100"/>
      <c r="L31" s="101"/>
    </row>
    <row r="32" spans="1:12" ht="13.5" hidden="1" x14ac:dyDescent="0.25">
      <c r="A32" s="92"/>
      <c r="B32" s="98" t="str">
        <f>IFERROR(VLOOKUP(H32,'[1]Consolidado MP Planta'!$A$2:$M$823,3,0),"")</f>
        <v/>
      </c>
      <c r="C32" s="93">
        <f t="shared" si="6"/>
        <v>0</v>
      </c>
      <c r="D32" s="94" t="str">
        <f>IFERROR(VLOOKUP(H32,'[1]Consolidado MP Planta'!$A$2:$M$823,13,0),"")</f>
        <v/>
      </c>
      <c r="E32" s="94" t="str">
        <f>IFERROR(VLOOKUP(H32,'[1]Consolidado MP Planta'!$A$2:$M$823,12,0),"")</f>
        <v/>
      </c>
      <c r="F32" s="94" t="str">
        <f t="shared" si="7"/>
        <v/>
      </c>
      <c r="G32" s="95" t="str">
        <f t="shared" si="8"/>
        <v/>
      </c>
      <c r="H32" s="99"/>
      <c r="I32" s="99"/>
      <c r="J32" s="97"/>
    </row>
    <row r="33" spans="1:13" ht="14.25" thickBot="1" x14ac:dyDescent="0.3">
      <c r="A33" s="92"/>
      <c r="B33" s="98"/>
      <c r="C33" s="93"/>
      <c r="D33" s="94"/>
      <c r="E33" s="94"/>
      <c r="F33" s="94"/>
      <c r="G33" s="95"/>
      <c r="H33" s="99"/>
      <c r="I33" s="99"/>
      <c r="J33" s="97"/>
    </row>
    <row r="34" spans="1:13" ht="26.25" thickBot="1" x14ac:dyDescent="0.25">
      <c r="A34" s="87" t="s">
        <v>92</v>
      </c>
      <c r="B34" s="88" t="s">
        <v>100</v>
      </c>
      <c r="C34" s="88" t="s">
        <v>92</v>
      </c>
      <c r="D34" s="89" t="s">
        <v>94</v>
      </c>
      <c r="E34" s="89" t="s">
        <v>95</v>
      </c>
      <c r="F34" s="89" t="s">
        <v>96</v>
      </c>
      <c r="G34" s="89" t="s">
        <v>97</v>
      </c>
      <c r="H34" s="90" t="s">
        <v>98</v>
      </c>
      <c r="I34" s="99"/>
      <c r="J34" s="97"/>
    </row>
    <row r="35" spans="1:13" ht="13.5" x14ac:dyDescent="0.25">
      <c r="A35" s="92">
        <f>+A17</f>
        <v>1080</v>
      </c>
      <c r="B35" s="98" t="str">
        <f>IFERROR(VLOOKUP(H35,[1]SEMIELABORADOS!$A$2:$M$6000,2,0),"")</f>
        <v>AZUCAR BLANCO INDUSTRIAL KILO</v>
      </c>
      <c r="C35" s="93">
        <f>+A35</f>
        <v>1080</v>
      </c>
      <c r="D35" s="94" t="str">
        <f>IFERROR(VLOOKUP(H35,[1]SEMIELABORADOS!$A$2:$M$6000,6,0),"")</f>
        <v>Gramo</v>
      </c>
      <c r="E35" s="94">
        <f>IFERROR(VLOOKUP(H35,[1]SEMIELABORADOS!$A$2:$M$65536,10,0),"")</f>
        <v>2.3759093333333335E-2</v>
      </c>
      <c r="F35" s="94">
        <f>IFERROR(E35*C35,"")</f>
        <v>25.659820800000002</v>
      </c>
      <c r="G35" s="95">
        <f t="shared" ref="G35:G41" si="9">IFERROR(F35/$F$66,"")</f>
        <v>3.7636559910861258E-3</v>
      </c>
      <c r="H35" s="99" t="s">
        <v>26</v>
      </c>
      <c r="I35" s="99"/>
      <c r="J35" s="97"/>
    </row>
    <row r="36" spans="1:13" ht="12" customHeight="1" x14ac:dyDescent="0.25">
      <c r="A36" s="92">
        <f t="shared" ref="A36:A41" si="10">+A18</f>
        <v>3</v>
      </c>
      <c r="B36" s="98" t="str">
        <f>IFERROR(VLOOKUP(H36,[1]SEMIELABORADOS!$A$2:$M$6000,2,0),"")</f>
        <v>EMPAQUE SAL KILO</v>
      </c>
      <c r="C36" s="93">
        <f t="shared" ref="C36:C41" si="11">+A36</f>
        <v>3</v>
      </c>
      <c r="D36" s="94" t="str">
        <f>IFERROR(VLOOKUP(H36,[1]SEMIELABORADOS!$A$2:$M$6000,6,0),"")</f>
        <v>Gramo</v>
      </c>
      <c r="E36" s="94">
        <f>IFERROR(VLOOKUP(H36,[1]SEMIELABORADOS!$A$2:$M$65536,10,0),"")</f>
        <v>5.3312000000000003E-3</v>
      </c>
      <c r="F36" s="94">
        <f t="shared" ref="F36:F41" si="12">IFERROR(E36*C36,"")</f>
        <v>1.59936E-2</v>
      </c>
      <c r="G36" s="95">
        <f t="shared" si="9"/>
        <v>2.3458623864994043E-6</v>
      </c>
      <c r="H36" s="99" t="s">
        <v>29</v>
      </c>
      <c r="I36" s="99"/>
      <c r="J36" s="97"/>
    </row>
    <row r="37" spans="1:13" ht="13.5" hidden="1" x14ac:dyDescent="0.25">
      <c r="A37" s="92">
        <f t="shared" si="10"/>
        <v>0</v>
      </c>
      <c r="B37" s="98" t="str">
        <f>IFERROR(VLOOKUP(H37,[1]SEMIELABORADOS!$A$2:$M$6000,2,0),"")</f>
        <v/>
      </c>
      <c r="C37" s="93">
        <f t="shared" si="11"/>
        <v>0</v>
      </c>
      <c r="D37" s="94" t="str">
        <f>IFERROR(VLOOKUP(H37,[1]SEMIELABORADOS!$A$2:$M$6000,6,0),"")</f>
        <v/>
      </c>
      <c r="E37" s="94" t="str">
        <f>IFERROR(VLOOKUP(H37,[1]SEMIELABORADOS!$A$2:$M$65536,10,0),"")</f>
        <v/>
      </c>
      <c r="F37" s="94" t="str">
        <f t="shared" si="12"/>
        <v/>
      </c>
      <c r="G37" s="95" t="str">
        <f t="shared" si="9"/>
        <v/>
      </c>
      <c r="H37" s="99"/>
      <c r="I37" s="99"/>
      <c r="J37" s="97"/>
    </row>
    <row r="38" spans="1:13" ht="13.5" hidden="1" x14ac:dyDescent="0.25">
      <c r="A38" s="92">
        <f t="shared" si="10"/>
        <v>0</v>
      </c>
      <c r="B38" s="98" t="str">
        <f>IFERROR(VLOOKUP(H38,[1]SEMIELABORADOS!$A$2:$M$6000,2,0),"")</f>
        <v/>
      </c>
      <c r="C38" s="93">
        <f>+A38</f>
        <v>0</v>
      </c>
      <c r="D38" s="94" t="str">
        <f>IFERROR(VLOOKUP(H38,[1]SEMIELABORADOS!$A$2:$M$6000,6,0),"")</f>
        <v/>
      </c>
      <c r="E38" s="94" t="str">
        <f>IFERROR(VLOOKUP(H38,[1]SEMIELABORADOS!$A$2:$M$65536,10,0),"")</f>
        <v/>
      </c>
      <c r="F38" s="94" t="str">
        <f>IFERROR(E38*C38,"")</f>
        <v/>
      </c>
      <c r="G38" s="95" t="str">
        <f t="shared" si="9"/>
        <v/>
      </c>
      <c r="H38" s="99"/>
      <c r="I38" s="99"/>
      <c r="J38" s="97"/>
    </row>
    <row r="39" spans="1:13" ht="13.5" hidden="1" x14ac:dyDescent="0.25">
      <c r="A39" s="92">
        <f t="shared" si="10"/>
        <v>0</v>
      </c>
      <c r="B39" s="98" t="str">
        <f>IFERROR(VLOOKUP(H39,[1]SEMIELABORADOS!$A$2:$M$6000,2,0),"")</f>
        <v/>
      </c>
      <c r="C39" s="93">
        <f>+A39</f>
        <v>0</v>
      </c>
      <c r="D39" s="94" t="str">
        <f>IFERROR(VLOOKUP(H39,[1]SEMIELABORADOS!$A$2:$M$6000,6,0),"")</f>
        <v/>
      </c>
      <c r="E39" s="94" t="str">
        <f>IFERROR(VLOOKUP(H39,[1]SEMIELABORADOS!$A$2:$M$65536,10,0),"")</f>
        <v/>
      </c>
      <c r="F39" s="94" t="str">
        <f>IFERROR(E39*C39,"")</f>
        <v/>
      </c>
      <c r="G39" s="95" t="str">
        <f t="shared" si="9"/>
        <v/>
      </c>
      <c r="H39" s="99"/>
      <c r="I39" s="99"/>
      <c r="J39" s="97"/>
    </row>
    <row r="40" spans="1:13" ht="13.5" hidden="1" x14ac:dyDescent="0.25">
      <c r="A40" s="92">
        <f t="shared" si="10"/>
        <v>0</v>
      </c>
      <c r="B40" s="98" t="str">
        <f>IFERROR(VLOOKUP(H40,[1]SEMIELABORADOS!$A$2:$M$6000,2,0),"")</f>
        <v/>
      </c>
      <c r="C40" s="93">
        <f t="shared" si="11"/>
        <v>0</v>
      </c>
      <c r="D40" s="94" t="str">
        <f>IFERROR(VLOOKUP(H40,[1]SEMIELABORADOS!$A$2:$M$6000,6,0),"")</f>
        <v/>
      </c>
      <c r="E40" s="94" t="str">
        <f>IFERROR(VLOOKUP(H40,[1]SEMIELABORADOS!$A$2:$M$65536,10,0),"")</f>
        <v/>
      </c>
      <c r="F40" s="94" t="str">
        <f t="shared" si="12"/>
        <v/>
      </c>
      <c r="G40" s="95" t="str">
        <f t="shared" si="9"/>
        <v/>
      </c>
      <c r="H40" s="99"/>
      <c r="I40" s="99"/>
      <c r="J40" s="97"/>
    </row>
    <row r="41" spans="1:13" ht="13.5" hidden="1" x14ac:dyDescent="0.25">
      <c r="A41" s="92">
        <f t="shared" si="10"/>
        <v>0</v>
      </c>
      <c r="B41" s="98" t="str">
        <f>IFERROR(VLOOKUP(H41,[1]SEMIELABORADOS!$A$2:$M$6000,2,0),"")</f>
        <v/>
      </c>
      <c r="C41" s="93">
        <f t="shared" si="11"/>
        <v>0</v>
      </c>
      <c r="D41" s="94" t="str">
        <f>IFERROR(VLOOKUP(H41,[1]SEMIELABORADOS!$A$2:$M$6000,6,0),"")</f>
        <v/>
      </c>
      <c r="E41" s="94" t="str">
        <f>IFERROR(VLOOKUP(H41,[1]SEMIELABORADOS!$A$2:$M$65536,10,0),"")</f>
        <v/>
      </c>
      <c r="F41" s="94" t="str">
        <f t="shared" si="12"/>
        <v/>
      </c>
      <c r="G41" s="95" t="str">
        <f t="shared" si="9"/>
        <v/>
      </c>
      <c r="H41" s="99"/>
      <c r="I41" s="99"/>
      <c r="J41" s="97"/>
    </row>
    <row r="42" spans="1:13" ht="14.25" thickBot="1" x14ac:dyDescent="0.3">
      <c r="A42" s="92"/>
      <c r="B42" s="98"/>
      <c r="C42" s="93"/>
      <c r="D42" s="94"/>
      <c r="E42" s="94"/>
      <c r="F42" s="94"/>
      <c r="G42" s="95"/>
      <c r="H42" s="99"/>
      <c r="I42" s="99"/>
      <c r="J42" s="97"/>
    </row>
    <row r="43" spans="1:13" ht="26.25" thickBot="1" x14ac:dyDescent="0.25">
      <c r="A43" s="87" t="s">
        <v>92</v>
      </c>
      <c r="B43" s="88" t="s">
        <v>101</v>
      </c>
      <c r="C43" s="88" t="s">
        <v>92</v>
      </c>
      <c r="D43" s="89" t="s">
        <v>94</v>
      </c>
      <c r="E43" s="89" t="s">
        <v>95</v>
      </c>
      <c r="F43" s="89" t="s">
        <v>96</v>
      </c>
      <c r="G43" s="89" t="s">
        <v>97</v>
      </c>
      <c r="H43" s="90" t="s">
        <v>98</v>
      </c>
      <c r="I43" s="91"/>
      <c r="J43" s="97"/>
    </row>
    <row r="44" spans="1:13" ht="13.5" x14ac:dyDescent="0.25">
      <c r="A44" s="92">
        <f>+A35</f>
        <v>1080</v>
      </c>
      <c r="B44" s="98" t="str">
        <f>IFERROR(VLOOKUP(H44,[1]SEMIELABORADOS!$A$2:$M$6000,2,0),"")</f>
        <v>AZUCAR BLANCO INDUSTRIAL KILO</v>
      </c>
      <c r="C44" s="93">
        <f>+A44</f>
        <v>1080</v>
      </c>
      <c r="D44" s="94" t="str">
        <f>IFERROR(VLOOKUP(H44,[1]SEMIELABORADOS!$A$2:$M$6000,6,0),"")</f>
        <v>Gramo</v>
      </c>
      <c r="E44" s="94">
        <f>IFERROR(VLOOKUP(H44,[1]SEMIELABORADOS!$A$2:$M$65536,12,0),"")</f>
        <v>3.6630000000000003E-2</v>
      </c>
      <c r="F44" s="94">
        <f>IFERROR(E44*C44,"")</f>
        <v>39.560400000000001</v>
      </c>
      <c r="G44" s="95">
        <f>IFERROR(F44/$F$66,"")</f>
        <v>5.8025244069422168E-3</v>
      </c>
      <c r="H44" s="99" t="s">
        <v>26</v>
      </c>
      <c r="I44" s="91"/>
      <c r="J44" s="97"/>
    </row>
    <row r="45" spans="1:13" ht="13.5" x14ac:dyDescent="0.25">
      <c r="A45" s="92">
        <f t="shared" ref="A45:A50" si="13">+A36</f>
        <v>3</v>
      </c>
      <c r="B45" s="98" t="str">
        <f>IFERROR(VLOOKUP(H45,[1]SEMIELABORADOS!$A$2:$M$6000,2,0),"")</f>
        <v>EMPAQUE SAL KILO</v>
      </c>
      <c r="C45" s="93">
        <f t="shared" ref="C45:C50" si="14">+A45</f>
        <v>3</v>
      </c>
      <c r="D45" s="94" t="str">
        <f>IFERROR(VLOOKUP(H45,[1]SEMIELABORADOS!$A$2:$M$6000,6,0),"")</f>
        <v>Gramo</v>
      </c>
      <c r="E45" s="94">
        <f>IFERROR(VLOOKUP(H45,[1]SEMIELABORADOS!$A$2:$M$65536,12,0),"")</f>
        <v>2.1999999999999999E-2</v>
      </c>
      <c r="F45" s="94">
        <f t="shared" ref="F45:F50" si="15">IFERROR(E45*C45,"")</f>
        <v>6.6000000000000003E-2</v>
      </c>
      <c r="G45" s="95">
        <f t="shared" ref="G45:G50" si="16">IFERROR(F45/$F$66,"")</f>
        <v>9.6805545661364975E-6</v>
      </c>
      <c r="H45" s="99" t="s">
        <v>29</v>
      </c>
      <c r="I45" s="91"/>
      <c r="J45" s="97"/>
      <c r="M45" s="102"/>
    </row>
    <row r="46" spans="1:13" ht="13.5" hidden="1" x14ac:dyDescent="0.25">
      <c r="A46" s="92">
        <f t="shared" si="13"/>
        <v>0</v>
      </c>
      <c r="B46" s="98" t="str">
        <f>IFERROR(VLOOKUP(H46,[1]SEMIELABORADOS!$A$2:$M$6000,2,0),"")</f>
        <v/>
      </c>
      <c r="C46" s="93">
        <f t="shared" si="14"/>
        <v>0</v>
      </c>
      <c r="D46" s="94" t="str">
        <f>IFERROR(VLOOKUP(H46,[1]SEMIELABORADOS!$A$2:$M$6000,6,0),"")</f>
        <v/>
      </c>
      <c r="E46" s="94" t="str">
        <f>IFERROR(VLOOKUP(H46,[1]SEMIELABORADOS!$A$2:$M$65536,12,0),"")</f>
        <v/>
      </c>
      <c r="F46" s="94" t="str">
        <f t="shared" si="15"/>
        <v/>
      </c>
      <c r="G46" s="95" t="str">
        <f t="shared" si="16"/>
        <v/>
      </c>
      <c r="H46" s="99"/>
      <c r="I46" s="91"/>
      <c r="J46" s="97"/>
    </row>
    <row r="47" spans="1:13" ht="13.5" hidden="1" x14ac:dyDescent="0.25">
      <c r="A47" s="92">
        <f t="shared" si="13"/>
        <v>0</v>
      </c>
      <c r="B47" s="98" t="str">
        <f>IFERROR(VLOOKUP(H47,[1]SEMIELABORADOS!$A$2:$M$6000,2,0),"")</f>
        <v/>
      </c>
      <c r="C47" s="93">
        <f t="shared" si="14"/>
        <v>0</v>
      </c>
      <c r="D47" s="94" t="str">
        <f>IFERROR(VLOOKUP(H47,[1]SEMIELABORADOS!$A$2:$M$6000,6,0),"")</f>
        <v/>
      </c>
      <c r="E47" s="94" t="str">
        <f>IFERROR(VLOOKUP(H47,[1]SEMIELABORADOS!$A$2:$M$65536,12,0),"")</f>
        <v/>
      </c>
      <c r="F47" s="94" t="str">
        <f t="shared" si="15"/>
        <v/>
      </c>
      <c r="G47" s="95" t="str">
        <f t="shared" si="16"/>
        <v/>
      </c>
      <c r="H47" s="99"/>
      <c r="I47" s="91"/>
      <c r="J47" s="97"/>
    </row>
    <row r="48" spans="1:13" ht="13.5" hidden="1" x14ac:dyDescent="0.25">
      <c r="A48" s="92">
        <f t="shared" si="13"/>
        <v>0</v>
      </c>
      <c r="B48" s="98" t="str">
        <f>IFERROR(VLOOKUP(H48,[1]SEMIELABORADOS!$A$2:$M$6000,2,0),"")</f>
        <v/>
      </c>
      <c r="C48" s="93">
        <f t="shared" si="14"/>
        <v>0</v>
      </c>
      <c r="D48" s="94" t="str">
        <f>IFERROR(VLOOKUP(H48,[1]SEMIELABORADOS!$A$2:$M$6000,6,0),"")</f>
        <v/>
      </c>
      <c r="E48" s="94" t="str">
        <f>IFERROR(VLOOKUP(H48,[1]SEMIELABORADOS!$A$2:$M$65536,12,0),"")</f>
        <v/>
      </c>
      <c r="F48" s="94" t="str">
        <f t="shared" si="15"/>
        <v/>
      </c>
      <c r="G48" s="95" t="str">
        <f t="shared" si="16"/>
        <v/>
      </c>
      <c r="H48" s="99"/>
      <c r="I48" s="91"/>
      <c r="J48" s="97"/>
    </row>
    <row r="49" spans="1:17" ht="13.5" hidden="1" x14ac:dyDescent="0.25">
      <c r="A49" s="92">
        <f t="shared" si="13"/>
        <v>0</v>
      </c>
      <c r="B49" s="98" t="str">
        <f>IFERROR(VLOOKUP(H49,[1]SEMIELABORADOS!$A$2:$M$6000,2,0),"")</f>
        <v/>
      </c>
      <c r="C49" s="93">
        <f t="shared" si="14"/>
        <v>0</v>
      </c>
      <c r="D49" s="94" t="str">
        <f>IFERROR(VLOOKUP(H49,[1]SEMIELABORADOS!$A$2:$M$6000,6,0),"")</f>
        <v/>
      </c>
      <c r="E49" s="94" t="str">
        <f>IFERROR(VLOOKUP(H49,[1]SEMIELABORADOS!$A$2:$M$65536,12,0),"")</f>
        <v/>
      </c>
      <c r="F49" s="94" t="str">
        <f t="shared" si="15"/>
        <v/>
      </c>
      <c r="G49" s="95" t="str">
        <f t="shared" si="16"/>
        <v/>
      </c>
      <c r="H49" s="99"/>
      <c r="I49" s="91"/>
      <c r="J49" s="97"/>
    </row>
    <row r="50" spans="1:17" ht="13.5" hidden="1" x14ac:dyDescent="0.25">
      <c r="A50" s="92">
        <f t="shared" si="13"/>
        <v>0</v>
      </c>
      <c r="B50" s="98" t="str">
        <f>IFERROR(VLOOKUP(H50,[1]SEMIELABORADOS!$A$2:$M$6000,2,0),"")</f>
        <v/>
      </c>
      <c r="C50" s="93">
        <f t="shared" si="14"/>
        <v>0</v>
      </c>
      <c r="D50" s="94" t="str">
        <f>IFERROR(VLOOKUP(H50,[1]SEMIELABORADOS!$A$2:$M$6000,6,0),"")</f>
        <v/>
      </c>
      <c r="E50" s="94" t="str">
        <f>IFERROR(VLOOKUP(H50,[1]SEMIELABORADOS!$A$2:$M$65536,12,0),"")</f>
        <v/>
      </c>
      <c r="F50" s="94" t="str">
        <f t="shared" si="15"/>
        <v/>
      </c>
      <c r="G50" s="95" t="str">
        <f t="shared" si="16"/>
        <v/>
      </c>
      <c r="H50" s="98"/>
      <c r="I50" s="91"/>
      <c r="J50" s="97"/>
    </row>
    <row r="51" spans="1:17" ht="13.5" x14ac:dyDescent="0.25">
      <c r="A51" s="92">
        <v>1</v>
      </c>
      <c r="B51" s="98" t="s">
        <v>102</v>
      </c>
      <c r="C51" s="93">
        <f>+A51</f>
        <v>1</v>
      </c>
      <c r="D51" s="93" t="s">
        <v>103</v>
      </c>
      <c r="E51" s="94">
        <f>+F65</f>
        <v>1100</v>
      </c>
      <c r="F51" s="94">
        <f>IFERROR(C51*E51,"")</f>
        <v>1100</v>
      </c>
      <c r="G51" s="95">
        <f>IFERROR(F51/$F$66,"")</f>
        <v>0.16134257610227495</v>
      </c>
      <c r="H51" s="103"/>
      <c r="I51" s="103"/>
      <c r="J51" s="97"/>
    </row>
    <row r="52" spans="1:17" ht="14.25" thickBot="1" x14ac:dyDescent="0.3">
      <c r="A52" s="92"/>
      <c r="B52" s="98"/>
      <c r="C52" s="93"/>
      <c r="D52" s="93"/>
      <c r="E52" s="94"/>
      <c r="F52" s="94"/>
      <c r="G52" s="95"/>
      <c r="H52" s="103"/>
      <c r="I52" s="103"/>
      <c r="J52" s="97"/>
    </row>
    <row r="53" spans="1:17" ht="13.5" thickBot="1" x14ac:dyDescent="0.25">
      <c r="A53" s="104"/>
      <c r="B53" s="452" t="s">
        <v>104</v>
      </c>
      <c r="C53" s="452"/>
      <c r="D53" s="452"/>
      <c r="E53" s="452"/>
      <c r="F53" s="106">
        <f>SUM(F8:F14,F17:F24)</f>
        <v>5531.485699285714</v>
      </c>
      <c r="G53" s="95">
        <f>+F53/$F$66</f>
        <v>0.81133104763240993</v>
      </c>
      <c r="H53" s="107">
        <f>+F53/$D$60</f>
        <v>5531.485699285714</v>
      </c>
      <c r="I53" s="107"/>
      <c r="J53" s="108"/>
      <c r="K53" s="109"/>
      <c r="L53" s="109"/>
      <c r="M53" s="109"/>
      <c r="N53" s="109"/>
      <c r="O53" s="109"/>
      <c r="P53" s="109"/>
      <c r="Q53" s="110"/>
    </row>
    <row r="54" spans="1:17" x14ac:dyDescent="0.2">
      <c r="A54" s="104"/>
      <c r="B54" s="452" t="s">
        <v>105</v>
      </c>
      <c r="C54" s="452"/>
      <c r="D54" s="452"/>
      <c r="E54" s="452"/>
      <c r="F54" s="106">
        <f>SUM(F27:F32,F35:F41)</f>
        <v>75.675814400000007</v>
      </c>
      <c r="G54" s="95">
        <f>+F54/$F$66</f>
        <v>1.1099755312666942E-2</v>
      </c>
      <c r="H54" s="107">
        <f>+F54/$D$60</f>
        <v>75.675814400000007</v>
      </c>
      <c r="I54" s="107"/>
      <c r="J54" s="111"/>
      <c r="K54" s="453" t="s">
        <v>106</v>
      </c>
      <c r="L54" s="454"/>
      <c r="M54" s="454"/>
      <c r="N54" s="454"/>
      <c r="O54" s="112">
        <f>+F55</f>
        <v>5607.1615136857135</v>
      </c>
      <c r="P54" s="112"/>
      <c r="Q54" s="113"/>
    </row>
    <row r="55" spans="1:17" x14ac:dyDescent="0.2">
      <c r="A55" s="104"/>
      <c r="B55" s="452" t="s">
        <v>107</v>
      </c>
      <c r="C55" s="452"/>
      <c r="D55" s="452"/>
      <c r="E55" s="452"/>
      <c r="F55" s="106">
        <f>+F53+F54</f>
        <v>5607.1615136857135</v>
      </c>
      <c r="G55" s="95">
        <f>+F55/$F$66</f>
        <v>0.82243080294507687</v>
      </c>
      <c r="H55" s="107">
        <f>+F55/$D$60</f>
        <v>5607.1615136857135</v>
      </c>
      <c r="I55" s="107"/>
      <c r="J55" s="114"/>
      <c r="K55" s="115"/>
      <c r="L55" s="455" t="s">
        <v>108</v>
      </c>
      <c r="M55" s="455"/>
      <c r="N55" s="455"/>
      <c r="O55" s="112">
        <f>+F56</f>
        <v>1139.6264000000001</v>
      </c>
      <c r="P55" s="112"/>
      <c r="Q55" s="113"/>
    </row>
    <row r="56" spans="1:17" ht="13.5" thickBot="1" x14ac:dyDescent="0.25">
      <c r="A56" s="104"/>
      <c r="B56" s="105"/>
      <c r="C56" s="452" t="s">
        <v>109</v>
      </c>
      <c r="D56" s="452"/>
      <c r="E56" s="452"/>
      <c r="F56" s="106">
        <f>SUM(F44:F51)</f>
        <v>1139.6264000000001</v>
      </c>
      <c r="G56" s="95">
        <f>+F56/$F$66</f>
        <v>0.16715478106378334</v>
      </c>
      <c r="H56" s="107">
        <f>+F56/$D$60</f>
        <v>1139.6264000000001</v>
      </c>
      <c r="I56" s="107"/>
      <c r="J56" s="114"/>
      <c r="K56" s="115"/>
      <c r="L56" s="115"/>
      <c r="M56" s="115" t="s">
        <v>110</v>
      </c>
      <c r="N56" s="116">
        <v>0.01</v>
      </c>
      <c r="O56" s="112">
        <f>O54*N56</f>
        <v>56.071615136857133</v>
      </c>
      <c r="P56" s="112"/>
      <c r="Q56" s="113"/>
    </row>
    <row r="57" spans="1:17" ht="13.5" thickBot="1" x14ac:dyDescent="0.25">
      <c r="A57" s="104"/>
      <c r="B57" s="117"/>
      <c r="C57" s="117"/>
      <c r="D57" s="117"/>
      <c r="E57" s="117"/>
      <c r="F57" s="118"/>
      <c r="G57" s="95"/>
      <c r="H57" s="119"/>
      <c r="I57" s="107"/>
      <c r="J57" s="114"/>
      <c r="K57" s="120"/>
      <c r="M57" s="121" t="s">
        <v>111</v>
      </c>
      <c r="N57" s="122"/>
      <c r="O57" s="123">
        <f>SUM(O54:O56)</f>
        <v>6802.8595288225706</v>
      </c>
      <c r="P57" s="124"/>
      <c r="Q57" s="113"/>
    </row>
    <row r="58" spans="1:17" x14ac:dyDescent="0.2">
      <c r="B58" s="456" t="s">
        <v>112</v>
      </c>
      <c r="C58" s="456"/>
      <c r="D58" s="125">
        <v>2000</v>
      </c>
      <c r="E58" s="126"/>
      <c r="G58" s="95"/>
      <c r="H58" s="119"/>
      <c r="I58" s="127"/>
      <c r="J58" s="114"/>
      <c r="K58" s="120"/>
      <c r="L58" s="115"/>
      <c r="M58" s="115" t="s">
        <v>113</v>
      </c>
      <c r="N58" s="128">
        <v>0.25</v>
      </c>
      <c r="O58" s="112">
        <f>+O57*N58</f>
        <v>1700.7148822056427</v>
      </c>
      <c r="P58" s="112"/>
      <c r="Q58" s="113"/>
    </row>
    <row r="59" spans="1:17" x14ac:dyDescent="0.2">
      <c r="B59" s="456" t="s">
        <v>114</v>
      </c>
      <c r="C59" s="456"/>
      <c r="D59" s="129">
        <v>2000</v>
      </c>
      <c r="E59" s="126"/>
      <c r="G59" s="95"/>
      <c r="H59" s="119"/>
      <c r="I59" s="127"/>
      <c r="J59" s="114"/>
      <c r="K59" s="120"/>
      <c r="L59" s="115"/>
      <c r="M59" s="455" t="s">
        <v>111</v>
      </c>
      <c r="N59" s="455"/>
      <c r="O59" s="112">
        <f>SUM(O57:O58)</f>
        <v>8503.5744110282139</v>
      </c>
      <c r="P59" s="112"/>
      <c r="Q59" s="113"/>
    </row>
    <row r="60" spans="1:17" ht="13.5" thickBot="1" x14ac:dyDescent="0.25">
      <c r="B60" s="457" t="s">
        <v>115</v>
      </c>
      <c r="C60" s="457"/>
      <c r="D60" s="125">
        <f>+D58/D59</f>
        <v>1</v>
      </c>
      <c r="E60" s="126"/>
      <c r="F60" s="130"/>
      <c r="G60" s="95"/>
      <c r="H60" s="119"/>
      <c r="I60" s="127"/>
      <c r="J60" s="114"/>
      <c r="K60" s="120"/>
      <c r="L60" s="455" t="s">
        <v>116</v>
      </c>
      <c r="M60" s="455"/>
      <c r="N60" s="128">
        <v>0.05</v>
      </c>
      <c r="O60" s="112">
        <f>+O59*N60</f>
        <v>425.17872055141072</v>
      </c>
      <c r="P60" s="112"/>
      <c r="Q60" s="113"/>
    </row>
    <row r="61" spans="1:17" ht="13.5" thickBot="1" x14ac:dyDescent="0.25">
      <c r="B61" s="457" t="s">
        <v>117</v>
      </c>
      <c r="C61" s="457"/>
      <c r="D61" s="131" t="s">
        <v>140</v>
      </c>
      <c r="E61" s="126"/>
      <c r="F61" s="130"/>
      <c r="G61" s="95"/>
      <c r="H61" s="119"/>
      <c r="I61" s="127"/>
      <c r="J61" s="114"/>
      <c r="K61" s="458" t="s">
        <v>118</v>
      </c>
      <c r="L61" s="459"/>
      <c r="M61" s="459"/>
      <c r="N61" s="460"/>
      <c r="O61" s="123">
        <f>SUM(O59:O60)</f>
        <v>8928.7531315796241</v>
      </c>
      <c r="P61" s="132" t="s">
        <v>119</v>
      </c>
      <c r="Q61" s="113"/>
    </row>
    <row r="62" spans="1:17" ht="13.5" thickBot="1" x14ac:dyDescent="0.25">
      <c r="C62" s="104" t="s">
        <v>120</v>
      </c>
      <c r="D62" s="133"/>
      <c r="E62" s="78" t="s">
        <v>121</v>
      </c>
      <c r="F62" s="134" t="s">
        <v>122</v>
      </c>
      <c r="G62" s="95"/>
      <c r="H62" s="119"/>
      <c r="I62" s="127"/>
      <c r="J62" s="135"/>
      <c r="K62" s="136"/>
      <c r="L62" s="461" t="s">
        <v>123</v>
      </c>
      <c r="M62" s="461"/>
      <c r="N62" s="461"/>
      <c r="O62" s="137">
        <f>+O61/D60</f>
        <v>8928.7531315796241</v>
      </c>
      <c r="P62" s="138">
        <f>+O62/D59</f>
        <v>4.464376565789812</v>
      </c>
      <c r="Q62" s="139"/>
    </row>
    <row r="63" spans="1:17" ht="13.5" thickBot="1" x14ac:dyDescent="0.25">
      <c r="B63" s="462" t="s">
        <v>107</v>
      </c>
      <c r="C63" s="462"/>
      <c r="D63" s="462"/>
      <c r="E63" s="140">
        <f>+F63/F63</f>
        <v>1</v>
      </c>
      <c r="F63" s="141">
        <f>SUM(F55)</f>
        <v>5607.1615136857135</v>
      </c>
      <c r="G63" s="95">
        <f>+F63/$F$66</f>
        <v>0.82243080294507687</v>
      </c>
      <c r="H63" s="119"/>
      <c r="I63" s="127"/>
      <c r="K63" s="463"/>
      <c r="L63" s="464"/>
      <c r="M63" s="464"/>
      <c r="N63" s="464"/>
      <c r="O63" s="142"/>
      <c r="P63" s="143"/>
    </row>
    <row r="64" spans="1:17" ht="13.5" thickBot="1" x14ac:dyDescent="0.25">
      <c r="B64" s="465" t="s">
        <v>124</v>
      </c>
      <c r="C64" s="465"/>
      <c r="D64" s="465"/>
      <c r="E64" s="144">
        <v>0.02</v>
      </c>
      <c r="F64" s="141">
        <f>+F53*E64</f>
        <v>110.62971398571428</v>
      </c>
      <c r="G64" s="95">
        <f>+F64/$F$66</f>
        <v>1.6226620952648197E-2</v>
      </c>
      <c r="H64" s="107"/>
      <c r="I64" s="127"/>
      <c r="J64" s="145"/>
      <c r="O64" s="146"/>
      <c r="P64" s="105"/>
    </row>
    <row r="65" spans="2:10" ht="13.5" thickBot="1" x14ac:dyDescent="0.25">
      <c r="B65" s="467" t="s">
        <v>125</v>
      </c>
      <c r="C65" s="468"/>
      <c r="D65" s="147">
        <v>20</v>
      </c>
      <c r="E65" s="148">
        <v>55</v>
      </c>
      <c r="F65" s="141">
        <f>+E65*D65</f>
        <v>1100</v>
      </c>
      <c r="G65" s="95">
        <f>+F65/$F$66</f>
        <v>0.16134257610227495</v>
      </c>
      <c r="H65" s="107"/>
      <c r="I65" s="107"/>
      <c r="J65" s="97"/>
    </row>
    <row r="66" spans="2:10" ht="13.5" thickBot="1" x14ac:dyDescent="0.25">
      <c r="B66" s="469" t="s">
        <v>126</v>
      </c>
      <c r="C66" s="470"/>
      <c r="D66" s="470"/>
      <c r="E66" s="471"/>
      <c r="F66" s="118">
        <f>SUM(F63:F65)</f>
        <v>6817.7912276714278</v>
      </c>
      <c r="G66" s="95">
        <f>+F66/$F$66</f>
        <v>1</v>
      </c>
      <c r="H66" s="472"/>
      <c r="I66" s="107"/>
      <c r="J66" s="97"/>
    </row>
    <row r="67" spans="2:10" x14ac:dyDescent="0.2">
      <c r="C67" s="102"/>
      <c r="D67" s="102"/>
      <c r="E67" s="150"/>
      <c r="F67" s="141"/>
      <c r="G67" s="95"/>
      <c r="H67" s="472"/>
      <c r="I67" s="149"/>
      <c r="J67" s="80"/>
    </row>
    <row r="68" spans="2:10" ht="13.5" thickBot="1" x14ac:dyDescent="0.25">
      <c r="B68" s="473" t="s">
        <v>127</v>
      </c>
      <c r="C68" s="473"/>
      <c r="D68" s="473"/>
      <c r="E68" s="473"/>
      <c r="F68" s="473"/>
      <c r="G68" s="95"/>
      <c r="H68" s="152"/>
      <c r="I68" s="149"/>
      <c r="J68" s="80"/>
    </row>
    <row r="69" spans="2:10" ht="13.5" thickBot="1" x14ac:dyDescent="0.25">
      <c r="B69" s="153" t="s">
        <v>128</v>
      </c>
      <c r="C69" s="154">
        <f>+F53</f>
        <v>5531.485699285714</v>
      </c>
      <c r="D69" s="154">
        <f>+D58</f>
        <v>2000</v>
      </c>
      <c r="E69" s="155">
        <f>+C69/D69</f>
        <v>2.7657428496428569</v>
      </c>
      <c r="F69" s="95"/>
      <c r="G69" s="152"/>
      <c r="H69" s="97"/>
      <c r="I69" s="152"/>
      <c r="J69" s="80"/>
    </row>
    <row r="70" spans="2:10" x14ac:dyDescent="0.2">
      <c r="B70" s="156"/>
      <c r="C70" s="157"/>
      <c r="D70" s="158"/>
      <c r="E70" s="141"/>
      <c r="F70" s="95"/>
      <c r="G70" s="152"/>
      <c r="H70" s="97"/>
      <c r="I70" s="97"/>
      <c r="J70" s="80"/>
    </row>
    <row r="71" spans="2:10" x14ac:dyDescent="0.2">
      <c r="B71" s="153" t="s">
        <v>129</v>
      </c>
      <c r="C71" s="154">
        <f>SUM(F63:F64)</f>
        <v>5717.7912276714278</v>
      </c>
      <c r="D71" s="154">
        <f>+D58</f>
        <v>2000</v>
      </c>
      <c r="E71" s="159">
        <f>+C71/D71</f>
        <v>2.8588956138357138</v>
      </c>
      <c r="F71" s="95"/>
      <c r="G71" s="152"/>
      <c r="H71" s="97"/>
      <c r="I71" s="97"/>
      <c r="J71" s="80"/>
    </row>
    <row r="72" spans="2:10" x14ac:dyDescent="0.2">
      <c r="B72" s="153"/>
      <c r="C72" s="154"/>
      <c r="D72" s="154"/>
      <c r="E72" s="159"/>
      <c r="F72" s="95"/>
      <c r="G72" s="152"/>
      <c r="H72" s="97"/>
      <c r="I72" s="97"/>
      <c r="J72" s="80"/>
    </row>
    <row r="73" spans="2:10" ht="13.5" thickBot="1" x14ac:dyDescent="0.25">
      <c r="B73" s="153" t="s">
        <v>130</v>
      </c>
      <c r="C73" s="154">
        <f>+F65</f>
        <v>1100</v>
      </c>
      <c r="D73" s="154">
        <f>+D58</f>
        <v>2000</v>
      </c>
      <c r="E73" s="159">
        <f>+C73/D73</f>
        <v>0.55000000000000004</v>
      </c>
      <c r="F73" s="95"/>
      <c r="G73" s="152"/>
      <c r="H73" s="97"/>
      <c r="I73" s="97"/>
      <c r="J73" s="80"/>
    </row>
    <row r="74" spans="2:10" ht="13.5" thickBot="1" x14ac:dyDescent="0.25">
      <c r="B74" s="153" t="s">
        <v>131</v>
      </c>
      <c r="C74" s="154">
        <f>+F56</f>
        <v>1139.6264000000001</v>
      </c>
      <c r="D74" s="154">
        <f>+D73</f>
        <v>2000</v>
      </c>
      <c r="E74" s="155">
        <f>+C74/D74</f>
        <v>0.56981320000000002</v>
      </c>
      <c r="F74" s="95"/>
      <c r="G74" s="152"/>
      <c r="H74" s="97"/>
      <c r="I74" s="97"/>
      <c r="J74" s="80"/>
    </row>
    <row r="75" spans="2:10" ht="13.5" thickBot="1" x14ac:dyDescent="0.25">
      <c r="B75" s="117"/>
      <c r="C75" s="118"/>
      <c r="D75" s="118"/>
      <c r="E75" s="159"/>
      <c r="F75" s="95"/>
      <c r="G75" s="152"/>
      <c r="H75" s="97"/>
      <c r="I75" s="97"/>
      <c r="J75" s="80"/>
    </row>
    <row r="76" spans="2:10" ht="13.5" thickBot="1" x14ac:dyDescent="0.25">
      <c r="B76" s="153" t="s">
        <v>132</v>
      </c>
      <c r="C76" s="154">
        <f>+F54</f>
        <v>75.675814400000007</v>
      </c>
      <c r="D76" s="154">
        <f>+D74</f>
        <v>2000</v>
      </c>
      <c r="E76" s="155">
        <f>+C76/D76</f>
        <v>3.7837907200000007E-2</v>
      </c>
      <c r="F76" s="95"/>
      <c r="G76" s="152"/>
      <c r="H76" s="97"/>
      <c r="I76" s="97"/>
      <c r="J76" s="97"/>
    </row>
    <row r="77" spans="2:10" ht="13.5" thickBot="1" x14ac:dyDescent="0.25">
      <c r="B77" s="117"/>
      <c r="C77" s="118"/>
      <c r="D77" s="118"/>
      <c r="E77" s="159"/>
      <c r="F77" s="95"/>
      <c r="G77" s="152"/>
      <c r="H77" s="97"/>
      <c r="I77" s="97"/>
    </row>
    <row r="78" spans="2:10" ht="13.5" thickBot="1" x14ac:dyDescent="0.25">
      <c r="B78" s="474" t="s">
        <v>133</v>
      </c>
      <c r="C78" s="475"/>
      <c r="D78" s="476"/>
      <c r="E78" s="155">
        <f>+E69+E74</f>
        <v>3.3355560496428569</v>
      </c>
      <c r="G78" s="95"/>
      <c r="H78" s="152"/>
      <c r="I78" s="97"/>
      <c r="J78" s="159"/>
    </row>
    <row r="79" spans="2:10" x14ac:dyDescent="0.2">
      <c r="I79" s="152"/>
      <c r="J79" s="80"/>
    </row>
    <row r="80" spans="2:10" ht="13.5" thickBot="1" x14ac:dyDescent="0.25">
      <c r="B80" s="473" t="s">
        <v>134</v>
      </c>
      <c r="C80" s="473"/>
      <c r="D80" s="473"/>
      <c r="E80" s="473"/>
      <c r="F80" s="473"/>
      <c r="G80" s="95"/>
      <c r="H80" s="152"/>
      <c r="J80" s="80"/>
    </row>
    <row r="81" spans="1:10" ht="13.5" thickBot="1" x14ac:dyDescent="0.25">
      <c r="B81" s="153" t="s">
        <v>128</v>
      </c>
      <c r="C81" s="154">
        <f>+C69</f>
        <v>5531.485699285714</v>
      </c>
      <c r="D81" s="154">
        <f>+D60</f>
        <v>1</v>
      </c>
      <c r="E81" s="155">
        <f>+C81/D81</f>
        <v>5531.485699285714</v>
      </c>
      <c r="F81" s="95"/>
      <c r="G81" s="152"/>
      <c r="H81" s="97"/>
      <c r="I81" s="152"/>
      <c r="J81" s="80"/>
    </row>
    <row r="82" spans="1:10" x14ac:dyDescent="0.2">
      <c r="B82" s="156"/>
      <c r="C82" s="157"/>
      <c r="D82" s="158"/>
      <c r="E82" s="141"/>
      <c r="F82" s="95"/>
      <c r="G82" s="152"/>
      <c r="H82" s="97"/>
      <c r="I82" s="97"/>
      <c r="J82" s="80"/>
    </row>
    <row r="83" spans="1:10" x14ac:dyDescent="0.2">
      <c r="B83" s="153" t="s">
        <v>129</v>
      </c>
      <c r="C83" s="154">
        <f>+C71</f>
        <v>5717.7912276714278</v>
      </c>
      <c r="D83" s="154">
        <f>+D60</f>
        <v>1</v>
      </c>
      <c r="E83" s="159">
        <f>+C83/D83</f>
        <v>5717.7912276714278</v>
      </c>
      <c r="F83" s="95"/>
      <c r="G83" s="152"/>
      <c r="H83" s="97"/>
      <c r="I83" s="97"/>
      <c r="J83" s="80"/>
    </row>
    <row r="84" spans="1:10" x14ac:dyDescent="0.2">
      <c r="B84" s="153"/>
      <c r="C84" s="154"/>
      <c r="D84" s="154"/>
      <c r="E84" s="159"/>
      <c r="F84" s="95"/>
      <c r="G84" s="152"/>
      <c r="H84" s="97"/>
      <c r="I84" s="97"/>
      <c r="J84" s="80"/>
    </row>
    <row r="85" spans="1:10" ht="13.5" thickBot="1" x14ac:dyDescent="0.25">
      <c r="B85" s="153" t="s">
        <v>131</v>
      </c>
      <c r="C85" s="154">
        <f>+C73</f>
        <v>1100</v>
      </c>
      <c r="D85" s="154">
        <f>+D60</f>
        <v>1</v>
      </c>
      <c r="E85" s="159">
        <f>+C85/D85</f>
        <v>1100</v>
      </c>
      <c r="F85" s="161"/>
      <c r="G85" s="151"/>
      <c r="H85" s="79"/>
      <c r="I85" s="97"/>
    </row>
    <row r="86" spans="1:10" ht="13.5" thickBot="1" x14ac:dyDescent="0.25">
      <c r="B86" s="153" t="s">
        <v>131</v>
      </c>
      <c r="C86" s="154">
        <f>+C74</f>
        <v>1139.6264000000001</v>
      </c>
      <c r="D86" s="154">
        <f>+D85</f>
        <v>1</v>
      </c>
      <c r="E86" s="155">
        <f>+C86/D86</f>
        <v>1139.6264000000001</v>
      </c>
      <c r="F86" s="160"/>
      <c r="G86" s="151"/>
      <c r="H86" s="79"/>
      <c r="I86" s="79"/>
    </row>
    <row r="87" spans="1:10" x14ac:dyDescent="0.2">
      <c r="I87" s="79"/>
    </row>
    <row r="88" spans="1:10" x14ac:dyDescent="0.2">
      <c r="A88" s="466"/>
      <c r="B88" s="466"/>
      <c r="C88" s="162"/>
      <c r="D88" s="162"/>
      <c r="E88" s="163"/>
      <c r="G88" s="164"/>
    </row>
    <row r="89" spans="1:10" x14ac:dyDescent="0.2">
      <c r="A89" s="98"/>
      <c r="B89" s="165"/>
      <c r="C89" s="166"/>
      <c r="D89" s="166"/>
      <c r="E89" s="167"/>
      <c r="G89" s="164"/>
    </row>
    <row r="90" spans="1:10" x14ac:dyDescent="0.2">
      <c r="A90" s="98"/>
      <c r="B90" s="165"/>
      <c r="C90" s="168"/>
      <c r="D90" s="168"/>
      <c r="E90" s="98"/>
      <c r="G90" s="164"/>
    </row>
    <row r="91" spans="1:10" x14ac:dyDescent="0.2">
      <c r="A91" s="98"/>
      <c r="B91" s="165"/>
      <c r="C91" s="169"/>
      <c r="D91" s="169"/>
      <c r="E91" s="98"/>
      <c r="G91" s="164"/>
    </row>
  </sheetData>
  <mergeCells count="31">
    <mergeCell ref="B63:D63"/>
    <mergeCell ref="K63:N63"/>
    <mergeCell ref="B64:D64"/>
    <mergeCell ref="A88:B88"/>
    <mergeCell ref="B65:C65"/>
    <mergeCell ref="B66:E66"/>
    <mergeCell ref="H66:H67"/>
    <mergeCell ref="B68:F68"/>
    <mergeCell ref="B78:D78"/>
    <mergeCell ref="B80:F80"/>
    <mergeCell ref="B60:C60"/>
    <mergeCell ref="L60:M60"/>
    <mergeCell ref="B61:C61"/>
    <mergeCell ref="K61:N61"/>
    <mergeCell ref="L62:N62"/>
    <mergeCell ref="B55:E55"/>
    <mergeCell ref="L55:N55"/>
    <mergeCell ref="C56:E56"/>
    <mergeCell ref="B58:C58"/>
    <mergeCell ref="B59:C59"/>
    <mergeCell ref="M59:N59"/>
    <mergeCell ref="K29:L29"/>
    <mergeCell ref="K30:L30"/>
    <mergeCell ref="B53:E53"/>
    <mergeCell ref="B54:E54"/>
    <mergeCell ref="K54:N54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0A13D-77A5-4E25-A21D-B4E3F63E2B5D}">
  <dimension ref="A1:L35"/>
  <sheetViews>
    <sheetView workbookViewId="0">
      <selection activeCell="C14" sqref="C14"/>
    </sheetView>
  </sheetViews>
  <sheetFormatPr baseColWidth="10" defaultRowHeight="12.75" x14ac:dyDescent="0.2"/>
  <cols>
    <col min="2" max="2" width="38.42578125" customWidth="1"/>
  </cols>
  <sheetData>
    <row r="1" spans="1:8" ht="18" x14ac:dyDescent="0.25">
      <c r="A1" s="514"/>
      <c r="B1" s="517" t="s">
        <v>22</v>
      </c>
      <c r="C1" s="517"/>
      <c r="D1" s="517"/>
      <c r="E1" s="517"/>
      <c r="F1" s="517"/>
      <c r="G1" s="1" t="s">
        <v>21</v>
      </c>
      <c r="H1" s="2"/>
    </row>
    <row r="2" spans="1:8" ht="18" x14ac:dyDescent="0.25">
      <c r="A2" s="515"/>
      <c r="B2" s="518" t="s">
        <v>0</v>
      </c>
      <c r="C2" s="518"/>
      <c r="D2" s="518"/>
      <c r="E2" s="518"/>
      <c r="F2" s="518"/>
      <c r="G2" s="4" t="s">
        <v>20</v>
      </c>
      <c r="H2" s="5"/>
    </row>
    <row r="3" spans="1:8" ht="15" x14ac:dyDescent="0.2">
      <c r="A3" s="515"/>
      <c r="B3" s="519" t="s">
        <v>190</v>
      </c>
      <c r="C3" s="519"/>
      <c r="D3" s="519"/>
      <c r="E3" s="519"/>
      <c r="F3" s="519"/>
      <c r="G3" s="520" t="s">
        <v>19</v>
      </c>
      <c r="H3" s="510"/>
    </row>
    <row r="4" spans="1:8" x14ac:dyDescent="0.2">
      <c r="A4" s="515"/>
      <c r="B4" s="30" t="s">
        <v>18</v>
      </c>
      <c r="C4" s="512" t="s">
        <v>41</v>
      </c>
      <c r="D4" s="512"/>
      <c r="E4" s="512"/>
      <c r="F4" s="512"/>
      <c r="G4" s="520"/>
      <c r="H4" s="510"/>
    </row>
    <row r="5" spans="1:8" ht="13.5" thickBot="1" x14ac:dyDescent="0.25">
      <c r="A5" s="516"/>
      <c r="B5" s="31" t="s">
        <v>17</v>
      </c>
      <c r="C5" s="513" t="s">
        <v>40</v>
      </c>
      <c r="D5" s="513"/>
      <c r="E5" s="513"/>
      <c r="F5" s="513"/>
      <c r="G5" s="521"/>
      <c r="H5" s="511"/>
    </row>
    <row r="6" spans="1:8" x14ac:dyDescent="0.2">
      <c r="A6" s="25"/>
      <c r="B6" s="26"/>
      <c r="C6" s="27"/>
      <c r="D6" s="27"/>
      <c r="E6" s="27"/>
      <c r="F6" s="27"/>
      <c r="G6" s="28"/>
      <c r="H6" s="29"/>
    </row>
    <row r="7" spans="1:8" ht="18.75" thickBot="1" x14ac:dyDescent="0.3">
      <c r="A7" s="443" t="s">
        <v>23</v>
      </c>
      <c r="B7" s="443"/>
      <c r="C7" s="444" t="s">
        <v>183</v>
      </c>
      <c r="D7" s="444"/>
      <c r="E7" s="444"/>
      <c r="F7" s="445" t="s">
        <v>24</v>
      </c>
      <c r="G7" s="445"/>
      <c r="H7" s="33" t="s">
        <v>183</v>
      </c>
    </row>
    <row r="8" spans="1:8" ht="25.5" x14ac:dyDescent="0.2">
      <c r="A8" s="506" t="s">
        <v>1</v>
      </c>
      <c r="B8" s="508" t="s">
        <v>2</v>
      </c>
      <c r="C8" s="508" t="s">
        <v>3</v>
      </c>
      <c r="D8" s="508" t="s">
        <v>4</v>
      </c>
      <c r="E8" s="508"/>
      <c r="F8" s="508" t="s">
        <v>16</v>
      </c>
      <c r="G8" s="508"/>
      <c r="H8" s="289" t="s">
        <v>5</v>
      </c>
    </row>
    <row r="9" spans="1:8" ht="26.25" thickBot="1" x14ac:dyDescent="0.25">
      <c r="A9" s="507"/>
      <c r="B9" s="509"/>
      <c r="C9" s="509"/>
      <c r="D9" s="290" t="s">
        <v>6</v>
      </c>
      <c r="E9" s="291" t="s">
        <v>7</v>
      </c>
      <c r="F9" s="290" t="s">
        <v>6</v>
      </c>
      <c r="G9" s="291" t="s">
        <v>7</v>
      </c>
      <c r="H9" s="305" t="s">
        <v>8</v>
      </c>
    </row>
    <row r="10" spans="1:8" ht="15" x14ac:dyDescent="0.2">
      <c r="A10" s="60">
        <v>902000116</v>
      </c>
      <c r="B10" s="47" t="s">
        <v>60</v>
      </c>
      <c r="C10" s="46" t="s">
        <v>31</v>
      </c>
      <c r="D10" s="46">
        <v>160</v>
      </c>
      <c r="E10" s="46" t="s">
        <v>36</v>
      </c>
      <c r="F10" s="63"/>
      <c r="G10" s="64"/>
      <c r="H10" s="65"/>
    </row>
    <row r="11" spans="1:8" ht="15" x14ac:dyDescent="0.2">
      <c r="A11" s="66"/>
      <c r="B11" s="59"/>
      <c r="C11" s="55"/>
      <c r="D11" s="55"/>
      <c r="E11" s="55"/>
      <c r="F11" s="39"/>
      <c r="G11" s="38"/>
      <c r="H11" s="48"/>
    </row>
    <row r="12" spans="1:8" ht="15.75" x14ac:dyDescent="0.25">
      <c r="A12" s="54"/>
      <c r="B12" s="53"/>
      <c r="C12" s="49"/>
      <c r="D12" s="49"/>
      <c r="E12" s="49"/>
      <c r="F12" s="40"/>
      <c r="G12" s="52"/>
      <c r="H12" s="51"/>
    </row>
    <row r="13" spans="1:8" ht="15.75" x14ac:dyDescent="0.25">
      <c r="A13" s="309">
        <v>1950705</v>
      </c>
      <c r="B13" s="306" t="s">
        <v>191</v>
      </c>
      <c r="C13" s="49" t="s">
        <v>77</v>
      </c>
      <c r="D13" s="49">
        <v>1</v>
      </c>
      <c r="E13" s="49" t="s">
        <v>37</v>
      </c>
      <c r="F13" s="40"/>
      <c r="G13" s="52"/>
      <c r="H13" s="51"/>
    </row>
    <row r="14" spans="1:8" ht="15.75" x14ac:dyDescent="0.25">
      <c r="A14" s="309">
        <v>702069</v>
      </c>
      <c r="B14" s="306" t="s">
        <v>192</v>
      </c>
      <c r="C14" s="49" t="s">
        <v>77</v>
      </c>
      <c r="D14" s="49">
        <v>1</v>
      </c>
      <c r="E14" s="49" t="s">
        <v>37</v>
      </c>
      <c r="F14" s="39"/>
      <c r="G14" s="38"/>
      <c r="H14" s="48"/>
    </row>
    <row r="15" spans="1:8" ht="15.75" x14ac:dyDescent="0.25">
      <c r="A15" s="308">
        <v>701096</v>
      </c>
      <c r="B15" s="307" t="s">
        <v>71</v>
      </c>
      <c r="C15" s="49" t="s">
        <v>52</v>
      </c>
      <c r="D15" s="49">
        <v>1</v>
      </c>
      <c r="E15" s="49" t="s">
        <v>37</v>
      </c>
      <c r="F15" s="39"/>
      <c r="G15" s="38"/>
      <c r="H15" s="48"/>
    </row>
    <row r="16" spans="1:8" ht="15" x14ac:dyDescent="0.2">
      <c r="A16" s="308">
        <v>702007</v>
      </c>
      <c r="B16" s="307" t="s">
        <v>72</v>
      </c>
      <c r="C16" s="47" t="s">
        <v>77</v>
      </c>
      <c r="D16" s="46">
        <v>1</v>
      </c>
      <c r="E16" s="46" t="s">
        <v>37</v>
      </c>
      <c r="F16" s="39"/>
      <c r="G16" s="38"/>
      <c r="H16" s="41"/>
    </row>
    <row r="17" spans="1:12" ht="15" thickBot="1" x14ac:dyDescent="0.25">
      <c r="A17" s="260"/>
      <c r="B17" s="261"/>
      <c r="C17" s="262"/>
      <c r="D17" s="263"/>
      <c r="E17" s="263"/>
      <c r="F17" s="263"/>
      <c r="G17" s="263"/>
      <c r="H17" s="264"/>
      <c r="I17" s="288"/>
      <c r="J17" s="288"/>
      <c r="K17" s="293"/>
      <c r="L17" s="288"/>
    </row>
    <row r="18" spans="1:12" ht="13.5" thickBot="1" x14ac:dyDescent="0.25">
      <c r="A18" s="294"/>
      <c r="B18" s="295"/>
      <c r="C18" s="296" t="s">
        <v>6</v>
      </c>
      <c r="D18" s="297" t="s">
        <v>15</v>
      </c>
      <c r="E18" s="298"/>
      <c r="F18" s="295"/>
      <c r="G18" s="295"/>
      <c r="H18" s="299"/>
      <c r="I18" s="288"/>
      <c r="J18" s="288"/>
      <c r="K18" s="293"/>
      <c r="L18" s="288"/>
    </row>
    <row r="19" spans="1:12" x14ac:dyDescent="0.2">
      <c r="A19" s="501" t="s">
        <v>10</v>
      </c>
      <c r="B19" s="502"/>
      <c r="C19" s="40">
        <v>160</v>
      </c>
      <c r="D19" s="300" t="s">
        <v>36</v>
      </c>
      <c r="E19" s="503"/>
      <c r="F19" s="503"/>
      <c r="G19" s="504"/>
      <c r="H19" s="505"/>
      <c r="I19" s="288"/>
      <c r="J19" s="288"/>
      <c r="K19" s="293"/>
      <c r="L19" s="288"/>
    </row>
    <row r="20" spans="1:12" x14ac:dyDescent="0.2">
      <c r="A20" s="489" t="s">
        <v>9</v>
      </c>
      <c r="B20" s="490"/>
      <c r="C20" s="301">
        <v>30</v>
      </c>
      <c r="D20" s="38" t="s">
        <v>193</v>
      </c>
      <c r="E20" s="500"/>
      <c r="F20" s="500"/>
      <c r="G20" s="493"/>
      <c r="H20" s="494"/>
      <c r="I20" s="288"/>
      <c r="J20" s="288"/>
      <c r="K20" s="293"/>
      <c r="L20" s="288"/>
    </row>
    <row r="21" spans="1:12" x14ac:dyDescent="0.2">
      <c r="A21" s="489" t="s">
        <v>14</v>
      </c>
      <c r="B21" s="490"/>
      <c r="C21" s="38">
        <v>1</v>
      </c>
      <c r="D21" s="38" t="s">
        <v>37</v>
      </c>
      <c r="E21" s="500"/>
      <c r="F21" s="500"/>
      <c r="G21" s="493"/>
      <c r="H21" s="494"/>
      <c r="I21" s="288"/>
      <c r="J21" s="288"/>
      <c r="K21" s="293"/>
      <c r="L21" s="288"/>
    </row>
    <row r="22" spans="1:12" x14ac:dyDescent="0.2">
      <c r="A22" s="489" t="s">
        <v>13</v>
      </c>
      <c r="B22" s="490"/>
      <c r="C22" s="39">
        <v>160</v>
      </c>
      <c r="D22" s="38" t="s">
        <v>36</v>
      </c>
      <c r="E22" s="491"/>
      <c r="F22" s="492"/>
      <c r="G22" s="493"/>
      <c r="H22" s="494"/>
      <c r="I22" s="288"/>
      <c r="J22" s="288"/>
      <c r="K22" s="293"/>
      <c r="L22" s="21"/>
    </row>
    <row r="23" spans="1:12" ht="13.5" thickBot="1" x14ac:dyDescent="0.25">
      <c r="A23" s="495" t="s">
        <v>12</v>
      </c>
      <c r="B23" s="496"/>
      <c r="C23" s="302">
        <v>0</v>
      </c>
      <c r="D23" s="303" t="s">
        <v>36</v>
      </c>
      <c r="E23" s="497"/>
      <c r="F23" s="497"/>
      <c r="G23" s="498"/>
      <c r="H23" s="499"/>
      <c r="I23" s="292"/>
      <c r="J23" s="292"/>
      <c r="K23" s="293"/>
      <c r="L23" s="292"/>
    </row>
    <row r="24" spans="1:12" ht="13.5" thickBot="1" x14ac:dyDescent="0.25">
      <c r="A24" s="483" t="s">
        <v>11</v>
      </c>
      <c r="B24" s="484"/>
      <c r="C24" s="484"/>
      <c r="D24" s="484"/>
      <c r="E24" s="484"/>
      <c r="F24" s="484"/>
      <c r="G24" s="484"/>
      <c r="H24" s="485"/>
      <c r="I24" s="288"/>
      <c r="J24" s="288"/>
      <c r="K24" s="288"/>
      <c r="L24" s="288"/>
    </row>
    <row r="25" spans="1:12" ht="15" x14ac:dyDescent="0.2">
      <c r="A25" s="486" t="s">
        <v>194</v>
      </c>
      <c r="B25" s="487"/>
      <c r="C25" s="487"/>
      <c r="D25" s="487"/>
      <c r="E25" s="487"/>
      <c r="F25" s="487"/>
      <c r="G25" s="487"/>
      <c r="H25" s="488"/>
      <c r="I25" s="288"/>
      <c r="J25" s="288"/>
      <c r="K25" s="288"/>
      <c r="L25" s="288"/>
    </row>
    <row r="26" spans="1:12" ht="15" x14ac:dyDescent="0.25">
      <c r="A26" s="477" t="s">
        <v>195</v>
      </c>
      <c r="B26" s="478"/>
      <c r="C26" s="478"/>
      <c r="D26" s="478"/>
      <c r="E26" s="478"/>
      <c r="F26" s="478"/>
      <c r="G26" s="478"/>
      <c r="H26" s="479"/>
      <c r="I26" s="288"/>
      <c r="J26" s="288"/>
      <c r="K26" s="288"/>
      <c r="L26" s="288"/>
    </row>
    <row r="27" spans="1:12" ht="15" x14ac:dyDescent="0.25">
      <c r="A27" s="477"/>
      <c r="B27" s="478"/>
      <c r="C27" s="478"/>
      <c r="D27" s="478"/>
      <c r="E27" s="478"/>
      <c r="F27" s="478"/>
      <c r="G27" s="478"/>
      <c r="H27" s="479"/>
      <c r="I27" s="288"/>
      <c r="J27" s="288"/>
      <c r="K27" s="288"/>
      <c r="L27" s="288"/>
    </row>
    <row r="28" spans="1:12" ht="15" x14ac:dyDescent="0.25">
      <c r="A28" s="477"/>
      <c r="B28" s="478"/>
      <c r="C28" s="478"/>
      <c r="D28" s="478"/>
      <c r="E28" s="478"/>
      <c r="F28" s="478"/>
      <c r="G28" s="478"/>
      <c r="H28" s="479"/>
      <c r="I28" s="288"/>
      <c r="J28" s="288"/>
      <c r="K28" s="288"/>
      <c r="L28" s="288"/>
    </row>
    <row r="29" spans="1:12" ht="15" x14ac:dyDescent="0.25">
      <c r="A29" s="477"/>
      <c r="B29" s="478"/>
      <c r="C29" s="478"/>
      <c r="D29" s="478"/>
      <c r="E29" s="478"/>
      <c r="F29" s="478"/>
      <c r="G29" s="478"/>
      <c r="H29" s="479"/>
      <c r="I29" s="288"/>
      <c r="J29" s="288"/>
      <c r="K29" s="288"/>
      <c r="L29" s="288"/>
    </row>
    <row r="30" spans="1:12" ht="15" x14ac:dyDescent="0.25">
      <c r="A30" s="477"/>
      <c r="B30" s="478"/>
      <c r="C30" s="478"/>
      <c r="D30" s="478"/>
      <c r="E30" s="478"/>
      <c r="F30" s="478"/>
      <c r="G30" s="478"/>
      <c r="H30" s="479"/>
      <c r="I30" s="288"/>
      <c r="J30" s="288"/>
      <c r="K30" s="288"/>
      <c r="L30" s="288"/>
    </row>
    <row r="31" spans="1:12" ht="14.25" x14ac:dyDescent="0.2">
      <c r="A31" s="440"/>
      <c r="B31" s="441"/>
      <c r="C31" s="441"/>
      <c r="D31" s="441"/>
      <c r="E31" s="441"/>
      <c r="F31" s="441"/>
      <c r="G31" s="441"/>
      <c r="H31" s="442"/>
      <c r="I31" s="288"/>
      <c r="J31" s="288"/>
      <c r="K31" s="288"/>
      <c r="L31" s="288"/>
    </row>
    <row r="32" spans="1:12" ht="14.25" x14ac:dyDescent="0.2">
      <c r="A32" s="440"/>
      <c r="B32" s="441"/>
      <c r="C32" s="441"/>
      <c r="D32" s="441"/>
      <c r="E32" s="441"/>
      <c r="F32" s="441"/>
      <c r="G32" s="441"/>
      <c r="H32" s="442"/>
      <c r="I32" s="288"/>
      <c r="J32" s="288"/>
      <c r="K32" s="288"/>
      <c r="L32" s="288"/>
    </row>
    <row r="33" spans="1:8" ht="15" thickBot="1" x14ac:dyDescent="0.25">
      <c r="A33" s="480"/>
      <c r="B33" s="481"/>
      <c r="C33" s="481"/>
      <c r="D33" s="481"/>
      <c r="E33" s="481"/>
      <c r="F33" s="481"/>
      <c r="G33" s="481"/>
      <c r="H33" s="482"/>
    </row>
    <row r="35" spans="1:8" x14ac:dyDescent="0.2">
      <c r="A35" s="304"/>
      <c r="B35" s="304"/>
      <c r="C35" s="288"/>
      <c r="D35" s="288"/>
      <c r="E35" s="288"/>
      <c r="F35" s="288"/>
      <c r="G35" s="288"/>
      <c r="H35" s="288"/>
    </row>
  </sheetData>
  <mergeCells count="41">
    <mergeCell ref="H3:H5"/>
    <mergeCell ref="C4:F4"/>
    <mergeCell ref="C5:F5"/>
    <mergeCell ref="F8:G8"/>
    <mergeCell ref="A1:A5"/>
    <mergeCell ref="B1:F1"/>
    <mergeCell ref="B2:F2"/>
    <mergeCell ref="B3:F3"/>
    <mergeCell ref="G3:G5"/>
    <mergeCell ref="A19:B19"/>
    <mergeCell ref="E19:F19"/>
    <mergeCell ref="G19:H19"/>
    <mergeCell ref="A7:B7"/>
    <mergeCell ref="C7:E7"/>
    <mergeCell ref="F7:G7"/>
    <mergeCell ref="A8:A9"/>
    <mergeCell ref="B8:B9"/>
    <mergeCell ref="C8:C9"/>
    <mergeCell ref="D8:E8"/>
    <mergeCell ref="A20:B20"/>
    <mergeCell ref="E20:F20"/>
    <mergeCell ref="G20:H20"/>
    <mergeCell ref="A21:B21"/>
    <mergeCell ref="E21:F21"/>
    <mergeCell ref="G21:H21"/>
    <mergeCell ref="A22:B22"/>
    <mergeCell ref="E22:F22"/>
    <mergeCell ref="G22:H22"/>
    <mergeCell ref="A23:B23"/>
    <mergeCell ref="E23:F23"/>
    <mergeCell ref="G23:H23"/>
    <mergeCell ref="A30:H30"/>
    <mergeCell ref="A31:H31"/>
    <mergeCell ref="A32:H32"/>
    <mergeCell ref="A33:H33"/>
    <mergeCell ref="A24:H24"/>
    <mergeCell ref="A25:H25"/>
    <mergeCell ref="A26:H26"/>
    <mergeCell ref="A27:H27"/>
    <mergeCell ref="A28:H28"/>
    <mergeCell ref="A29:H2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93092-937F-488E-8B06-8CD30F67B0DA}">
  <dimension ref="A1:Q91"/>
  <sheetViews>
    <sheetView topLeftCell="A16" workbookViewId="0">
      <selection activeCell="N65" sqref="N65"/>
    </sheetView>
  </sheetViews>
  <sheetFormatPr baseColWidth="10" defaultColWidth="8.42578125" defaultRowHeight="12.75" x14ac:dyDescent="0.2"/>
  <cols>
    <col min="1" max="1" width="10" style="80" bestFit="1" customWidth="1"/>
    <col min="2" max="2" width="44.28515625" style="80" bestFit="1" customWidth="1"/>
    <col min="3" max="3" width="10.42578125" style="80" bestFit="1" customWidth="1"/>
    <col min="4" max="4" width="10.42578125" style="80" customWidth="1"/>
    <col min="5" max="5" width="9.7109375" style="80" bestFit="1" customWidth="1"/>
    <col min="6" max="6" width="9.5703125" style="80" bestFit="1" customWidth="1"/>
    <col min="7" max="7" width="9.5703125" style="319" bestFit="1" customWidth="1"/>
    <col min="8" max="8" width="10.42578125" style="151" bestFit="1" customWidth="1"/>
    <col min="9" max="9" width="4.5703125" style="151" customWidth="1"/>
    <col min="10" max="10" width="1.7109375" style="79" customWidth="1"/>
    <col min="11" max="11" width="7" style="80" bestFit="1" customWidth="1"/>
    <col min="12" max="12" width="6.28515625" style="80" customWidth="1"/>
    <col min="13" max="13" width="20.42578125" style="80" customWidth="1"/>
    <col min="14" max="14" width="6.42578125" style="80" bestFit="1" customWidth="1"/>
    <col min="15" max="16" width="8.42578125" style="80"/>
    <col min="17" max="17" width="3.28515625" style="80" customWidth="1"/>
    <col min="18" max="16384" width="8.42578125" style="80"/>
  </cols>
  <sheetData>
    <row r="1" spans="1:10" ht="27.75" customHeight="1" x14ac:dyDescent="0.2">
      <c r="A1" s="75"/>
      <c r="B1" s="75"/>
      <c r="C1" s="75"/>
      <c r="D1" s="75"/>
      <c r="E1" s="76" t="s">
        <v>86</v>
      </c>
      <c r="F1" s="77" t="s">
        <v>87</v>
      </c>
      <c r="G1" s="77" t="s">
        <v>88</v>
      </c>
      <c r="H1" s="77" t="s">
        <v>89</v>
      </c>
      <c r="I1" s="78"/>
    </row>
    <row r="2" spans="1:10" ht="30.75" customHeight="1" x14ac:dyDescent="0.2">
      <c r="A2" s="75"/>
      <c r="B2" s="75"/>
      <c r="C2" s="75"/>
      <c r="D2" s="75"/>
      <c r="E2" s="81">
        <f>IFERROR(O62,"")</f>
        <v>691.90292109485711</v>
      </c>
      <c r="F2" s="81">
        <f>IFERROR(H53,"")</f>
        <v>442.5188559428571</v>
      </c>
      <c r="G2" s="81">
        <f>IFERROR(H54,"")</f>
        <v>14.204065152000002</v>
      </c>
      <c r="H2" s="81">
        <f>IFERROR(H56,"")</f>
        <v>118.670112</v>
      </c>
      <c r="I2" s="82"/>
    </row>
    <row r="3" spans="1:10" ht="15" customHeight="1" x14ac:dyDescent="0.2">
      <c r="A3" s="75"/>
      <c r="B3" s="75"/>
      <c r="C3" s="75"/>
      <c r="D3" s="75"/>
      <c r="E3" s="75"/>
      <c r="F3" s="83"/>
      <c r="G3" s="83"/>
      <c r="H3" s="83"/>
      <c r="I3" s="83"/>
    </row>
    <row r="4" spans="1:10" ht="24.75" customHeight="1" thickBot="1" x14ac:dyDescent="0.25">
      <c r="A4" s="446"/>
      <c r="B4" s="446"/>
      <c r="C4" s="446"/>
      <c r="D4" s="446"/>
      <c r="E4" s="446"/>
      <c r="F4" s="446"/>
      <c r="G4" s="446"/>
      <c r="H4" s="446"/>
      <c r="I4" s="84"/>
    </row>
    <row r="5" spans="1:10" ht="19.5" customHeight="1" thickBot="1" x14ac:dyDescent="0.25">
      <c r="A5" s="447" t="s">
        <v>90</v>
      </c>
      <c r="B5" s="448"/>
      <c r="C5" s="448"/>
      <c r="D5" s="448"/>
      <c r="E5" s="448"/>
      <c r="F5" s="448"/>
      <c r="G5" s="448"/>
      <c r="H5" s="449"/>
      <c r="I5" s="85"/>
    </row>
    <row r="6" spans="1:10" ht="19.5" thickBot="1" x14ac:dyDescent="0.25">
      <c r="A6" s="85"/>
      <c r="B6" s="85"/>
      <c r="C6" s="85"/>
      <c r="D6" s="85"/>
      <c r="E6" s="85"/>
      <c r="F6" s="450" t="s">
        <v>91</v>
      </c>
      <c r="G6" s="450"/>
      <c r="H6" s="86">
        <f ca="1">TODAY()</f>
        <v>45754</v>
      </c>
      <c r="I6" s="86"/>
    </row>
    <row r="7" spans="1:10" ht="26.25" hidden="1" thickBot="1" x14ac:dyDescent="0.25">
      <c r="A7" s="87" t="s">
        <v>92</v>
      </c>
      <c r="B7" s="88" t="s">
        <v>93</v>
      </c>
      <c r="C7" s="88" t="s">
        <v>92</v>
      </c>
      <c r="D7" s="89" t="s">
        <v>94</v>
      </c>
      <c r="E7" s="89" t="s">
        <v>95</v>
      </c>
      <c r="F7" s="89" t="s">
        <v>96</v>
      </c>
      <c r="G7" s="89" t="s">
        <v>97</v>
      </c>
      <c r="H7" s="90" t="s">
        <v>98</v>
      </c>
      <c r="I7" s="91"/>
    </row>
    <row r="8" spans="1:10" ht="13.5" hidden="1" x14ac:dyDescent="0.25">
      <c r="A8" s="92"/>
      <c r="B8" s="80" t="str">
        <f>IFERROR(VLOOKUP(H8,'[1]Consolidado MP Planta'!$A$2:$M$823,3,0),"")</f>
        <v/>
      </c>
      <c r="C8" s="93">
        <f>+A8</f>
        <v>0</v>
      </c>
      <c r="D8" s="94" t="str">
        <f>IFERROR(VLOOKUP(H8,'[1]Consolidado MP Planta'!$A$2:$M$823,13,0),"")</f>
        <v/>
      </c>
      <c r="E8" s="94" t="str">
        <f>IFERROR(VLOOKUP(H8,'[1]Consolidado MP Planta'!$A$2:$M$823,12,0),"")</f>
        <v/>
      </c>
      <c r="F8" s="94" t="str">
        <f>IFERROR(C8*E8,"")</f>
        <v/>
      </c>
      <c r="G8" s="310" t="str">
        <f t="shared" ref="G8:G14" si="0">IFERROR(F8/$F$66,"")</f>
        <v/>
      </c>
      <c r="H8" s="96"/>
      <c r="I8" s="96"/>
      <c r="J8" s="311"/>
    </row>
    <row r="9" spans="1:10" ht="13.5" hidden="1" x14ac:dyDescent="0.25">
      <c r="A9" s="92"/>
      <c r="B9" s="80" t="str">
        <f>IFERROR(VLOOKUP(H9,'[1]Consolidado MP Planta'!$A$2:$M$823,3,0),"")</f>
        <v/>
      </c>
      <c r="C9" s="93">
        <f t="shared" ref="C9:C14" si="1">+A9</f>
        <v>0</v>
      </c>
      <c r="D9" s="94" t="str">
        <f>IFERROR(VLOOKUP(H9,'[1]Consolidado MP Planta'!$A$2:$M$823,13,0),"")</f>
        <v/>
      </c>
      <c r="E9" s="94" t="str">
        <f>IFERROR(VLOOKUP(H9,'[1]Consolidado MP Planta'!$A$2:$M$823,12,0),"")</f>
        <v/>
      </c>
      <c r="F9" s="94" t="str">
        <f t="shared" ref="F9:F14" si="2">IFERROR(C9*E9,"")</f>
        <v/>
      </c>
      <c r="G9" s="310" t="str">
        <f t="shared" si="0"/>
        <v/>
      </c>
      <c r="H9" s="96"/>
      <c r="I9" s="96"/>
      <c r="J9" s="311"/>
    </row>
    <row r="10" spans="1:10" ht="13.5" hidden="1" x14ac:dyDescent="0.25">
      <c r="A10" s="92"/>
      <c r="B10" s="80" t="str">
        <f>IFERROR(VLOOKUP(H10,'[1]Consolidado MP Planta'!$A$2:$M$823,3,0),"")</f>
        <v/>
      </c>
      <c r="C10" s="93">
        <f t="shared" si="1"/>
        <v>0</v>
      </c>
      <c r="D10" s="94" t="str">
        <f>IFERROR(VLOOKUP(H10,'[1]Consolidado MP Planta'!$A$2:$M$823,13,0),"")</f>
        <v/>
      </c>
      <c r="E10" s="94" t="str">
        <f>IFERROR(VLOOKUP(H10,'[1]Consolidado MP Planta'!$A$2:$M$823,12,0),"")</f>
        <v/>
      </c>
      <c r="F10" s="94" t="str">
        <f t="shared" si="2"/>
        <v/>
      </c>
      <c r="G10" s="310" t="str">
        <f t="shared" si="0"/>
        <v/>
      </c>
      <c r="H10" s="96"/>
      <c r="I10" s="96"/>
      <c r="J10" s="311"/>
    </row>
    <row r="11" spans="1:10" ht="13.5" hidden="1" x14ac:dyDescent="0.25">
      <c r="A11" s="92"/>
      <c r="B11" s="80" t="str">
        <f>IFERROR(VLOOKUP(H11,'[1]Consolidado MP Planta'!$A$2:$M$823,3,0),"")</f>
        <v/>
      </c>
      <c r="C11" s="93">
        <f t="shared" si="1"/>
        <v>0</v>
      </c>
      <c r="D11" s="94" t="str">
        <f>IFERROR(VLOOKUP(H11,'[1]Consolidado MP Planta'!$A$2:$M$823,13,0),"")</f>
        <v/>
      </c>
      <c r="E11" s="94" t="str">
        <f>IFERROR(VLOOKUP(H11,'[1]Consolidado MP Planta'!$A$2:$M$823,12,0),"")</f>
        <v/>
      </c>
      <c r="F11" s="94" t="str">
        <f t="shared" si="2"/>
        <v/>
      </c>
      <c r="G11" s="310" t="str">
        <f t="shared" si="0"/>
        <v/>
      </c>
      <c r="H11" s="96"/>
      <c r="I11" s="96"/>
      <c r="J11" s="311"/>
    </row>
    <row r="12" spans="1:10" ht="13.5" hidden="1" x14ac:dyDescent="0.25">
      <c r="A12" s="92"/>
      <c r="B12" s="80" t="str">
        <f>IFERROR(VLOOKUP(H12,'[1]Consolidado MP Planta'!$A$2:$M$823,3,0),"")</f>
        <v/>
      </c>
      <c r="C12" s="93">
        <f t="shared" si="1"/>
        <v>0</v>
      </c>
      <c r="D12" s="94" t="str">
        <f>IFERROR(VLOOKUP(H12,'[1]Consolidado MP Planta'!$A$2:$M$823,13,0),"")</f>
        <v/>
      </c>
      <c r="E12" s="94" t="str">
        <f>IFERROR(VLOOKUP(H12,'[1]Consolidado MP Planta'!$A$2:$M$823,12,0),"")</f>
        <v/>
      </c>
      <c r="F12" s="94" t="str">
        <f t="shared" si="2"/>
        <v/>
      </c>
      <c r="G12" s="310" t="str">
        <f t="shared" si="0"/>
        <v/>
      </c>
      <c r="H12" s="96"/>
      <c r="I12" s="96"/>
      <c r="J12" s="311"/>
    </row>
    <row r="13" spans="1:10" ht="13.5" hidden="1" x14ac:dyDescent="0.25">
      <c r="A13" s="92"/>
      <c r="B13" s="80" t="str">
        <f>IFERROR(VLOOKUP(H13,'[1]Consolidado MP Planta'!$A$2:$M$823,3,0),"")</f>
        <v/>
      </c>
      <c r="C13" s="93">
        <f t="shared" si="1"/>
        <v>0</v>
      </c>
      <c r="D13" s="94" t="str">
        <f>IFERROR(VLOOKUP(H13,'[1]Consolidado MP Planta'!$A$2:$M$823,13,0),"")</f>
        <v/>
      </c>
      <c r="E13" s="94" t="str">
        <f>IFERROR(VLOOKUP(H13,'[1]Consolidado MP Planta'!$A$2:$M$823,12,0),"")</f>
        <v/>
      </c>
      <c r="F13" s="94" t="str">
        <f t="shared" si="2"/>
        <v/>
      </c>
      <c r="G13" s="310" t="str">
        <f t="shared" si="0"/>
        <v/>
      </c>
      <c r="H13" s="96"/>
      <c r="I13" s="96"/>
      <c r="J13" s="311"/>
    </row>
    <row r="14" spans="1:10" ht="13.5" hidden="1" x14ac:dyDescent="0.25">
      <c r="A14" s="92"/>
      <c r="B14" s="80" t="str">
        <f>IFERROR(VLOOKUP(H14,'[1]Consolidado MP Planta'!$A$2:$M$823,3,0),"")</f>
        <v/>
      </c>
      <c r="C14" s="93">
        <f t="shared" si="1"/>
        <v>0</v>
      </c>
      <c r="D14" s="94" t="str">
        <f>IFERROR(VLOOKUP(H14,'[1]Consolidado MP Planta'!$A$2:$M$823,13,0),"")</f>
        <v/>
      </c>
      <c r="E14" s="94" t="str">
        <f>IFERROR(VLOOKUP(H14,'[1]Consolidado MP Planta'!$A$2:$M$823,12,0),"")</f>
        <v/>
      </c>
      <c r="F14" s="94" t="str">
        <f t="shared" si="2"/>
        <v/>
      </c>
      <c r="G14" s="310" t="str">
        <f t="shared" si="0"/>
        <v/>
      </c>
      <c r="H14" s="96"/>
      <c r="I14" s="96"/>
      <c r="J14" s="311"/>
    </row>
    <row r="15" spans="1:10" ht="14.25" hidden="1" thickBot="1" x14ac:dyDescent="0.3">
      <c r="A15" s="92"/>
      <c r="B15" s="80" t="str">
        <f>IFERROR(VLOOKUP(H15,'[2]ARTICULOS MP PLANTA'!$A$2:$G$589,2,0),"")</f>
        <v/>
      </c>
      <c r="C15" s="93"/>
      <c r="D15" s="94"/>
      <c r="E15" s="94"/>
      <c r="F15" s="94"/>
      <c r="G15" s="310"/>
      <c r="H15" s="96"/>
      <c r="I15" s="96"/>
      <c r="J15" s="311"/>
    </row>
    <row r="16" spans="1:10" ht="26.25" thickBot="1" x14ac:dyDescent="0.25">
      <c r="A16" s="87" t="s">
        <v>92</v>
      </c>
      <c r="B16" s="88" t="s">
        <v>99</v>
      </c>
      <c r="C16" s="88" t="s">
        <v>92</v>
      </c>
      <c r="D16" s="89" t="s">
        <v>94</v>
      </c>
      <c r="E16" s="89" t="s">
        <v>95</v>
      </c>
      <c r="F16" s="89" t="s">
        <v>96</v>
      </c>
      <c r="G16" s="89" t="s">
        <v>97</v>
      </c>
      <c r="H16" s="90" t="s">
        <v>98</v>
      </c>
      <c r="I16" s="91"/>
      <c r="J16" s="311"/>
    </row>
    <row r="17" spans="1:12" ht="13.5" x14ac:dyDescent="0.25">
      <c r="A17" s="92">
        <v>160</v>
      </c>
      <c r="B17" s="80" t="s">
        <v>60</v>
      </c>
      <c r="C17" s="93">
        <f>+A17</f>
        <v>160</v>
      </c>
      <c r="D17" s="93" t="s">
        <v>196</v>
      </c>
      <c r="E17" s="94">
        <f>+'costeo brittle'!E69</f>
        <v>2.7657428496428569</v>
      </c>
      <c r="F17" s="94">
        <f>IFERROR(E17*C17,"")</f>
        <v>442.5188559428571</v>
      </c>
      <c r="G17" s="310">
        <f t="shared" ref="G17:G24" si="3">IFERROR(F17/$F$66,"")</f>
        <v>0.89747073618870932</v>
      </c>
      <c r="H17" s="96"/>
      <c r="I17" s="96"/>
      <c r="J17" s="311"/>
    </row>
    <row r="18" spans="1:12" ht="13.5" hidden="1" x14ac:dyDescent="0.25">
      <c r="A18" s="92"/>
      <c r="B18" s="80" t="str">
        <f>IFERROR(VLOOKUP(H18,[1]SEMIELABORADOS!$A$2:$M$6000,2,0),"")</f>
        <v/>
      </c>
      <c r="C18" s="93">
        <f t="shared" ref="C18:C24" si="4">+A18</f>
        <v>0</v>
      </c>
      <c r="D18" s="93" t="str">
        <f>IFERROR(VLOOKUP(H18,[1]SEMIELABORADOS!$A$2:$M$6000,6,0),"")</f>
        <v/>
      </c>
      <c r="E18" s="94" t="str">
        <f>IFERROR(VLOOKUP(H18,[1]SEMIELABORADOS!$A$2:$H$65536,8,0),"")</f>
        <v/>
      </c>
      <c r="F18" s="94" t="str">
        <f t="shared" ref="F18:F24" si="5">IFERROR(E18*C18,"")</f>
        <v/>
      </c>
      <c r="G18" s="310" t="str">
        <f t="shared" si="3"/>
        <v/>
      </c>
      <c r="H18" s="96"/>
      <c r="I18" s="96"/>
      <c r="J18" s="311"/>
    </row>
    <row r="19" spans="1:12" ht="13.5" hidden="1" x14ac:dyDescent="0.25">
      <c r="A19" s="92"/>
      <c r="B19" s="80" t="str">
        <f>IFERROR(VLOOKUP(H19,[1]SEMIELABORADOS!$A$2:$M$6000,2,0),"")</f>
        <v/>
      </c>
      <c r="C19" s="93">
        <f>+A19</f>
        <v>0</v>
      </c>
      <c r="D19" s="93" t="str">
        <f>IFERROR(VLOOKUP(H19,[1]SEMIELABORADOS!$A$2:$M$6000,6,0),"")</f>
        <v/>
      </c>
      <c r="E19" s="94" t="str">
        <f>IFERROR(VLOOKUP(H19,[1]SEMIELABORADOS!$A$2:$H$65536,8,0),"")</f>
        <v/>
      </c>
      <c r="F19" s="94" t="str">
        <f>IFERROR(E19*C19,"")</f>
        <v/>
      </c>
      <c r="G19" s="310" t="str">
        <f t="shared" si="3"/>
        <v/>
      </c>
      <c r="H19" s="96"/>
      <c r="I19" s="96"/>
      <c r="J19" s="311"/>
    </row>
    <row r="20" spans="1:12" ht="13.5" hidden="1" x14ac:dyDescent="0.25">
      <c r="A20" s="92"/>
      <c r="B20" s="80" t="str">
        <f>IFERROR(VLOOKUP(H20,[1]SEMIELABORADOS!$A$2:$M$6000,2,0),"")</f>
        <v/>
      </c>
      <c r="C20" s="93">
        <f>+A20</f>
        <v>0</v>
      </c>
      <c r="D20" s="93" t="str">
        <f>IFERROR(VLOOKUP(H20,[1]SEMIELABORADOS!$A$2:$M$6000,6,0),"")</f>
        <v/>
      </c>
      <c r="E20" s="94" t="str">
        <f>IFERROR(VLOOKUP(H20,[1]SEMIELABORADOS!$A$2:$H$65536,8,0),"")</f>
        <v/>
      </c>
      <c r="F20" s="94" t="str">
        <f>IFERROR(E20*C20,"")</f>
        <v/>
      </c>
      <c r="G20" s="310" t="str">
        <f t="shared" si="3"/>
        <v/>
      </c>
      <c r="H20" s="96"/>
      <c r="I20" s="96"/>
      <c r="J20" s="311"/>
    </row>
    <row r="21" spans="1:12" ht="13.5" hidden="1" x14ac:dyDescent="0.25">
      <c r="A21" s="92"/>
      <c r="B21" s="80" t="str">
        <f>IFERROR(VLOOKUP(H21,[1]SEMIELABORADOS!$A$2:$M$6000,2,0),"")</f>
        <v/>
      </c>
      <c r="C21" s="93">
        <f>+A21</f>
        <v>0</v>
      </c>
      <c r="D21" s="93" t="str">
        <f>IFERROR(VLOOKUP(H21,[1]SEMIELABORADOS!$A$2:$M$6000,6,0),"")</f>
        <v/>
      </c>
      <c r="E21" s="94" t="str">
        <f>IFERROR(VLOOKUP(H21,[1]SEMIELABORADOS!$A$2:$H$65536,8,0),"")</f>
        <v/>
      </c>
      <c r="F21" s="94" t="str">
        <f>IFERROR(E21*C21,"")</f>
        <v/>
      </c>
      <c r="G21" s="310" t="str">
        <f t="shared" si="3"/>
        <v/>
      </c>
      <c r="H21" s="96"/>
      <c r="I21" s="96"/>
      <c r="J21" s="311"/>
    </row>
    <row r="22" spans="1:12" ht="13.5" hidden="1" x14ac:dyDescent="0.25">
      <c r="A22" s="92"/>
      <c r="B22" s="80" t="str">
        <f>IFERROR(VLOOKUP(H22,[1]SEMIELABORADOS!$A$2:$M$6000,2,0),"")</f>
        <v/>
      </c>
      <c r="C22" s="93">
        <f t="shared" si="4"/>
        <v>0</v>
      </c>
      <c r="D22" s="93" t="str">
        <f>IFERROR(VLOOKUP(H22,[1]SEMIELABORADOS!$A$2:$M$6000,6,0),"")</f>
        <v/>
      </c>
      <c r="E22" s="94" t="str">
        <f>IFERROR(VLOOKUP(H22,[1]SEMIELABORADOS!$A$2:$H$65536,8,0),"")</f>
        <v/>
      </c>
      <c r="F22" s="94" t="str">
        <f t="shared" si="5"/>
        <v/>
      </c>
      <c r="G22" s="310" t="str">
        <f t="shared" si="3"/>
        <v/>
      </c>
      <c r="H22" s="96"/>
      <c r="I22" s="96"/>
      <c r="J22" s="311"/>
    </row>
    <row r="23" spans="1:12" ht="13.5" hidden="1" x14ac:dyDescent="0.25">
      <c r="A23" s="92"/>
      <c r="B23" s="80" t="str">
        <f>IFERROR(VLOOKUP(H23,[1]SEMIELABORADOS!$A$2:$M$6000,2,0),"")</f>
        <v/>
      </c>
      <c r="C23" s="93">
        <f t="shared" si="4"/>
        <v>0</v>
      </c>
      <c r="D23" s="93" t="str">
        <f>IFERROR(VLOOKUP(H23,[1]SEMIELABORADOS!$A$2:$M$6000,6,0),"")</f>
        <v/>
      </c>
      <c r="E23" s="94" t="str">
        <f>IFERROR(VLOOKUP(H23,[1]SEMIELABORADOS!$A$2:$H$65536,8,0),"")</f>
        <v/>
      </c>
      <c r="F23" s="94" t="str">
        <f t="shared" si="5"/>
        <v/>
      </c>
      <c r="G23" s="310" t="str">
        <f t="shared" si="3"/>
        <v/>
      </c>
      <c r="H23" s="96"/>
      <c r="I23" s="96"/>
      <c r="J23" s="311"/>
    </row>
    <row r="24" spans="1:12" ht="13.5" hidden="1" x14ac:dyDescent="0.25">
      <c r="A24" s="92"/>
      <c r="B24" s="80" t="str">
        <f>IFERROR(VLOOKUP(H24,[1]SEMIELABORADOS!$A$2:$M$6000,2,0),"")</f>
        <v/>
      </c>
      <c r="C24" s="93">
        <f t="shared" si="4"/>
        <v>0</v>
      </c>
      <c r="D24" s="93" t="str">
        <f>IFERROR(VLOOKUP(H24,[1]SEMIELABORADOS!$A$2:$M$6000,6,0),"")</f>
        <v/>
      </c>
      <c r="E24" s="94" t="str">
        <f>IFERROR(VLOOKUP(H24,[1]SEMIELABORADOS!$A$2:$H$65536,8,0),"")</f>
        <v/>
      </c>
      <c r="F24" s="94" t="str">
        <f t="shared" si="5"/>
        <v/>
      </c>
      <c r="G24" s="310" t="str">
        <f t="shared" si="3"/>
        <v/>
      </c>
      <c r="H24" s="96"/>
      <c r="I24" s="96"/>
      <c r="J24" s="311"/>
    </row>
    <row r="25" spans="1:12" ht="14.25" thickBot="1" x14ac:dyDescent="0.3">
      <c r="A25" s="92"/>
      <c r="C25" s="93"/>
      <c r="D25" s="93"/>
      <c r="E25" s="94"/>
      <c r="F25" s="94"/>
      <c r="G25" s="310"/>
      <c r="H25" s="96"/>
      <c r="I25" s="96"/>
      <c r="J25" s="311"/>
    </row>
    <row r="26" spans="1:12" ht="26.25" thickBot="1" x14ac:dyDescent="0.25">
      <c r="A26" s="87" t="s">
        <v>92</v>
      </c>
      <c r="B26" s="88" t="s">
        <v>25</v>
      </c>
      <c r="C26" s="88" t="s">
        <v>92</v>
      </c>
      <c r="D26" s="89" t="s">
        <v>94</v>
      </c>
      <c r="E26" s="89" t="s">
        <v>95</v>
      </c>
      <c r="F26" s="89" t="s">
        <v>96</v>
      </c>
      <c r="G26" s="89" t="s">
        <v>97</v>
      </c>
      <c r="H26" s="90" t="s">
        <v>98</v>
      </c>
      <c r="I26" s="91"/>
    </row>
    <row r="27" spans="1:12" ht="13.5" x14ac:dyDescent="0.25">
      <c r="A27" s="92">
        <v>1</v>
      </c>
      <c r="B27" s="98" t="str">
        <f>IFERROR(VLOOKUP(H27,'[1]Consolidado MP Planta'!$A$2:$M$823,3,0),"")</f>
        <v>BOLSA 8x12 TRANSPARENTE KILO</v>
      </c>
      <c r="C27" s="93">
        <f t="shared" ref="C27:C32" si="6">+A27</f>
        <v>1</v>
      </c>
      <c r="D27" s="94" t="str">
        <f>IFERROR(VLOOKUP(H27,'[1]Consolidado MP Planta'!$A$2:$M$823,13,0),"")</f>
        <v>Und</v>
      </c>
      <c r="E27" s="94">
        <f>IFERROR(VLOOKUP(H27,'[1]Consolidado MP Planta'!$A$2:$M$823,12,0),"")</f>
        <v>7</v>
      </c>
      <c r="F27" s="94">
        <f t="shared" ref="F27:F32" si="7">IFERROR(C27*E27,"")</f>
        <v>7</v>
      </c>
      <c r="G27" s="310">
        <f t="shared" ref="G27:G32" si="8">IFERROR(F27/$F$66,"")</f>
        <v>1.4196672229786754E-2</v>
      </c>
      <c r="H27" s="99" t="s">
        <v>197</v>
      </c>
      <c r="I27" s="99"/>
      <c r="J27" s="311"/>
      <c r="K27" s="451"/>
      <c r="L27" s="451"/>
    </row>
    <row r="28" spans="1:12" ht="13.5" x14ac:dyDescent="0.25">
      <c r="A28" s="92">
        <v>1</v>
      </c>
      <c r="B28" s="98" t="str">
        <f>IFERROR(VLOOKUP(H28,'[1]Consolidado MP Planta'!$A$2:$M$823,3,0),"")</f>
        <v>ETIQ.BLANCA 1 1/4 * 3/4 (UND)</v>
      </c>
      <c r="C28" s="93">
        <f t="shared" si="6"/>
        <v>1</v>
      </c>
      <c r="D28" s="94" t="str">
        <f>IFERROR(VLOOKUP(H28,'[1]Consolidado MP Planta'!$A$2:$M$823,13,0),"")</f>
        <v>Und</v>
      </c>
      <c r="E28" s="94">
        <f>IFERROR(VLOOKUP(H28,'[1]Consolidado MP Planta'!$A$2:$M$823,12,0),"")</f>
        <v>0.57999999999999996</v>
      </c>
      <c r="F28" s="94">
        <f t="shared" si="7"/>
        <v>0.57999999999999996</v>
      </c>
      <c r="G28" s="310">
        <f t="shared" si="8"/>
        <v>1.1762956990394738E-3</v>
      </c>
      <c r="H28" s="99" t="s">
        <v>199</v>
      </c>
      <c r="I28" s="99"/>
      <c r="J28" s="311"/>
      <c r="K28" s="451"/>
      <c r="L28" s="451"/>
    </row>
    <row r="29" spans="1:12" ht="13.5" x14ac:dyDescent="0.25">
      <c r="A29" s="92">
        <v>1</v>
      </c>
      <c r="B29" s="98" t="str">
        <f>IFERROR(VLOOKUP(H29,'[1]Consolidado MP Planta'!$A$2:$M$823,3,0),"")</f>
        <v>ETIQUETA BLANCA R-153 (UND)</v>
      </c>
      <c r="C29" s="93">
        <f t="shared" si="6"/>
        <v>1</v>
      </c>
      <c r="D29" s="94" t="str">
        <f>IFERROR(VLOOKUP(H29,'[1]Consolidado MP Planta'!$A$2:$M$823,13,0),"")</f>
        <v>Und</v>
      </c>
      <c r="E29" s="94">
        <f>IFERROR(VLOOKUP(H29,'[1]Consolidado MP Planta'!$A$2:$M$823,12,0),"")</f>
        <v>0.39</v>
      </c>
      <c r="F29" s="94">
        <f t="shared" si="7"/>
        <v>0.39</v>
      </c>
      <c r="G29" s="310">
        <f t="shared" si="8"/>
        <v>7.9095745280240496E-4</v>
      </c>
      <c r="H29" s="99" t="s">
        <v>149</v>
      </c>
      <c r="I29" s="99"/>
      <c r="J29" s="311"/>
      <c r="K29" s="451"/>
      <c r="L29" s="451"/>
    </row>
    <row r="30" spans="1:12" ht="13.5" x14ac:dyDescent="0.25">
      <c r="A30" s="92">
        <v>1</v>
      </c>
      <c r="B30" s="98" t="s">
        <v>72</v>
      </c>
      <c r="C30" s="93">
        <f t="shared" si="6"/>
        <v>1</v>
      </c>
      <c r="D30" s="94" t="s">
        <v>200</v>
      </c>
      <c r="E30" s="94">
        <v>0.18</v>
      </c>
      <c r="F30" s="94">
        <f t="shared" si="7"/>
        <v>0.18</v>
      </c>
      <c r="G30" s="310">
        <f t="shared" si="8"/>
        <v>3.6505728590880229E-4</v>
      </c>
      <c r="H30" s="99" t="s">
        <v>198</v>
      </c>
      <c r="I30" s="99"/>
      <c r="J30" s="311"/>
      <c r="K30" s="451"/>
      <c r="L30" s="451"/>
    </row>
    <row r="31" spans="1:12" ht="13.5" hidden="1" x14ac:dyDescent="0.25">
      <c r="A31" s="92"/>
      <c r="B31" s="98" t="str">
        <f>IFERROR(VLOOKUP(H31,'[1]Consolidado MP Planta'!$A$2:$M$823,3,0),"")</f>
        <v/>
      </c>
      <c r="C31" s="93">
        <f t="shared" si="6"/>
        <v>0</v>
      </c>
      <c r="D31" s="94" t="str">
        <f>IFERROR(VLOOKUP(H31,'[1]Consolidado MP Planta'!$A$2:$M$823,13,0),"")</f>
        <v/>
      </c>
      <c r="E31" s="94" t="str">
        <f>IFERROR(VLOOKUP(H31,'[1]Consolidado MP Planta'!$A$2:$M$823,12,0),"")</f>
        <v/>
      </c>
      <c r="F31" s="94" t="str">
        <f t="shared" si="7"/>
        <v/>
      </c>
      <c r="G31" s="310" t="str">
        <f t="shared" si="8"/>
        <v/>
      </c>
      <c r="H31" s="99"/>
      <c r="I31" s="99"/>
      <c r="J31" s="311"/>
      <c r="K31" s="100"/>
      <c r="L31" s="101"/>
    </row>
    <row r="32" spans="1:12" ht="13.5" hidden="1" x14ac:dyDescent="0.25">
      <c r="A32" s="92"/>
      <c r="B32" s="98" t="str">
        <f>IFERROR(VLOOKUP(H32,'[1]Consolidado MP Planta'!$A$2:$M$823,3,0),"")</f>
        <v/>
      </c>
      <c r="C32" s="93">
        <f t="shared" si="6"/>
        <v>0</v>
      </c>
      <c r="D32" s="94" t="str">
        <f>IFERROR(VLOOKUP(H32,'[1]Consolidado MP Planta'!$A$2:$M$823,13,0),"")</f>
        <v/>
      </c>
      <c r="E32" s="94" t="str">
        <f>IFERROR(VLOOKUP(H32,'[1]Consolidado MP Planta'!$A$2:$M$823,12,0),"")</f>
        <v/>
      </c>
      <c r="F32" s="94" t="str">
        <f t="shared" si="7"/>
        <v/>
      </c>
      <c r="G32" s="310" t="str">
        <f t="shared" si="8"/>
        <v/>
      </c>
      <c r="H32" s="99"/>
      <c r="I32" s="99"/>
      <c r="J32" s="311"/>
    </row>
    <row r="33" spans="1:13" ht="14.25" thickBot="1" x14ac:dyDescent="0.3">
      <c r="A33" s="92"/>
      <c r="B33" s="98"/>
      <c r="C33" s="93"/>
      <c r="D33" s="94"/>
      <c r="E33" s="94"/>
      <c r="F33" s="94"/>
      <c r="G33" s="310"/>
      <c r="H33" s="99"/>
      <c r="I33" s="99"/>
      <c r="J33" s="311"/>
    </row>
    <row r="34" spans="1:13" ht="26.25" thickBot="1" x14ac:dyDescent="0.25">
      <c r="A34" s="87" t="s">
        <v>92</v>
      </c>
      <c r="B34" s="88" t="s">
        <v>100</v>
      </c>
      <c r="C34" s="88" t="s">
        <v>92</v>
      </c>
      <c r="D34" s="89" t="s">
        <v>94</v>
      </c>
      <c r="E34" s="89" t="s">
        <v>95</v>
      </c>
      <c r="F34" s="89" t="s">
        <v>96</v>
      </c>
      <c r="G34" s="89" t="s">
        <v>97</v>
      </c>
      <c r="H34" s="90" t="s">
        <v>98</v>
      </c>
      <c r="I34" s="99"/>
      <c r="J34" s="311"/>
    </row>
    <row r="35" spans="1:13" ht="13.5" x14ac:dyDescent="0.25">
      <c r="A35" s="92">
        <f>+A17</f>
        <v>160</v>
      </c>
      <c r="B35" s="98" t="s">
        <v>60</v>
      </c>
      <c r="C35" s="93">
        <f>+A35</f>
        <v>160</v>
      </c>
      <c r="D35" s="94" t="s">
        <v>196</v>
      </c>
      <c r="E35" s="94">
        <f>+'costeo brittle'!E76</f>
        <v>3.7837907200000007E-2</v>
      </c>
      <c r="F35" s="94">
        <f>IFERROR(E35*C35,"")</f>
        <v>6.0540651520000015</v>
      </c>
      <c r="G35" s="310">
        <f t="shared" ref="G35:G41" si="9">IFERROR(F35/$F$66,"")</f>
        <v>1.227822551724545E-2</v>
      </c>
      <c r="H35" s="99"/>
      <c r="I35" s="99"/>
      <c r="J35" s="311"/>
    </row>
    <row r="36" spans="1:13" ht="13.5" hidden="1" x14ac:dyDescent="0.25">
      <c r="A36" s="92">
        <f t="shared" ref="A36:A41" si="10">+A18</f>
        <v>0</v>
      </c>
      <c r="B36" s="98" t="str">
        <f>IFERROR(VLOOKUP(H36,[1]SEMIELABORADOS!$A$2:$M$6000,2,0),"")</f>
        <v/>
      </c>
      <c r="C36" s="93">
        <f t="shared" ref="C36:C41" si="11">+A36</f>
        <v>0</v>
      </c>
      <c r="D36" s="94" t="str">
        <f>IFERROR(VLOOKUP(H36,[1]SEMIELABORADOS!$A$2:$M$6000,6,0),"")</f>
        <v/>
      </c>
      <c r="E36" s="94" t="str">
        <f>IFERROR(VLOOKUP(H36,[1]SEMIELABORADOS!$A$2:$M$65536,10,0),"")</f>
        <v/>
      </c>
      <c r="F36" s="94" t="str">
        <f t="shared" ref="F36:F41" si="12">IFERROR(E36*C36,"")</f>
        <v/>
      </c>
      <c r="G36" s="310" t="str">
        <f t="shared" si="9"/>
        <v/>
      </c>
      <c r="H36" s="99"/>
      <c r="I36" s="99"/>
      <c r="J36" s="311"/>
    </row>
    <row r="37" spans="1:13" ht="13.5" hidden="1" x14ac:dyDescent="0.25">
      <c r="A37" s="92">
        <f t="shared" si="10"/>
        <v>0</v>
      </c>
      <c r="B37" s="98" t="str">
        <f>IFERROR(VLOOKUP(H37,[1]SEMIELABORADOS!$A$2:$M$6000,2,0),"")</f>
        <v/>
      </c>
      <c r="C37" s="93">
        <f t="shared" si="11"/>
        <v>0</v>
      </c>
      <c r="D37" s="94" t="str">
        <f>IFERROR(VLOOKUP(H37,[1]SEMIELABORADOS!$A$2:$M$6000,6,0),"")</f>
        <v/>
      </c>
      <c r="E37" s="94" t="str">
        <f>IFERROR(VLOOKUP(H37,[1]SEMIELABORADOS!$A$2:$M$65536,10,0),"")</f>
        <v/>
      </c>
      <c r="F37" s="94" t="str">
        <f t="shared" si="12"/>
        <v/>
      </c>
      <c r="G37" s="310" t="str">
        <f t="shared" si="9"/>
        <v/>
      </c>
      <c r="H37" s="99"/>
      <c r="I37" s="99"/>
      <c r="J37" s="311"/>
    </row>
    <row r="38" spans="1:13" ht="13.5" hidden="1" x14ac:dyDescent="0.25">
      <c r="A38" s="92">
        <f t="shared" si="10"/>
        <v>0</v>
      </c>
      <c r="B38" s="98" t="str">
        <f>IFERROR(VLOOKUP(H38,[1]SEMIELABORADOS!$A$2:$M$6000,2,0),"")</f>
        <v/>
      </c>
      <c r="C38" s="93">
        <f>+A38</f>
        <v>0</v>
      </c>
      <c r="D38" s="94" t="str">
        <f>IFERROR(VLOOKUP(H38,[1]SEMIELABORADOS!$A$2:$M$6000,6,0),"")</f>
        <v/>
      </c>
      <c r="E38" s="94" t="str">
        <f>IFERROR(VLOOKUP(H38,[1]SEMIELABORADOS!$A$2:$M$65536,10,0),"")</f>
        <v/>
      </c>
      <c r="F38" s="94" t="str">
        <f>IFERROR(E38*C38,"")</f>
        <v/>
      </c>
      <c r="G38" s="310" t="str">
        <f t="shared" si="9"/>
        <v/>
      </c>
      <c r="H38" s="99"/>
      <c r="I38" s="99"/>
      <c r="J38" s="311"/>
    </row>
    <row r="39" spans="1:13" ht="13.5" hidden="1" x14ac:dyDescent="0.25">
      <c r="A39" s="92">
        <f t="shared" si="10"/>
        <v>0</v>
      </c>
      <c r="B39" s="98" t="str">
        <f>IFERROR(VLOOKUP(H39,[1]SEMIELABORADOS!$A$2:$M$6000,2,0),"")</f>
        <v/>
      </c>
      <c r="C39" s="93">
        <f>+A39</f>
        <v>0</v>
      </c>
      <c r="D39" s="94" t="str">
        <f>IFERROR(VLOOKUP(H39,[1]SEMIELABORADOS!$A$2:$M$6000,6,0),"")</f>
        <v/>
      </c>
      <c r="E39" s="94" t="str">
        <f>IFERROR(VLOOKUP(H39,[1]SEMIELABORADOS!$A$2:$M$65536,10,0),"")</f>
        <v/>
      </c>
      <c r="F39" s="94" t="str">
        <f>IFERROR(E39*C39,"")</f>
        <v/>
      </c>
      <c r="G39" s="310" t="str">
        <f t="shared" si="9"/>
        <v/>
      </c>
      <c r="H39" s="99"/>
      <c r="I39" s="99"/>
      <c r="J39" s="311"/>
    </row>
    <row r="40" spans="1:13" ht="13.5" hidden="1" x14ac:dyDescent="0.25">
      <c r="A40" s="92">
        <f t="shared" si="10"/>
        <v>0</v>
      </c>
      <c r="B40" s="98" t="str">
        <f>IFERROR(VLOOKUP(H40,[1]SEMIELABORADOS!$A$2:$M$6000,2,0),"")</f>
        <v/>
      </c>
      <c r="C40" s="93">
        <f t="shared" si="11"/>
        <v>0</v>
      </c>
      <c r="D40" s="94" t="str">
        <f>IFERROR(VLOOKUP(H40,[1]SEMIELABORADOS!$A$2:$M$6000,6,0),"")</f>
        <v/>
      </c>
      <c r="E40" s="94" t="str">
        <f>IFERROR(VLOOKUP(H40,[1]SEMIELABORADOS!$A$2:$M$65536,10,0),"")</f>
        <v/>
      </c>
      <c r="F40" s="94" t="str">
        <f t="shared" si="12"/>
        <v/>
      </c>
      <c r="G40" s="310" t="str">
        <f t="shared" si="9"/>
        <v/>
      </c>
      <c r="H40" s="99"/>
      <c r="I40" s="99"/>
      <c r="J40" s="311"/>
    </row>
    <row r="41" spans="1:13" ht="13.5" hidden="1" x14ac:dyDescent="0.25">
      <c r="A41" s="92">
        <f t="shared" si="10"/>
        <v>0</v>
      </c>
      <c r="B41" s="98" t="str">
        <f>IFERROR(VLOOKUP(H41,[1]SEMIELABORADOS!$A$2:$M$6000,2,0),"")</f>
        <v/>
      </c>
      <c r="C41" s="93">
        <f t="shared" si="11"/>
        <v>0</v>
      </c>
      <c r="D41" s="94" t="str">
        <f>IFERROR(VLOOKUP(H41,[1]SEMIELABORADOS!$A$2:$M$6000,6,0),"")</f>
        <v/>
      </c>
      <c r="E41" s="94" t="str">
        <f>IFERROR(VLOOKUP(H41,[1]SEMIELABORADOS!$A$2:$M$65536,10,0),"")</f>
        <v/>
      </c>
      <c r="F41" s="94" t="str">
        <f t="shared" si="12"/>
        <v/>
      </c>
      <c r="G41" s="310" t="str">
        <f t="shared" si="9"/>
        <v/>
      </c>
      <c r="H41" s="99"/>
      <c r="I41" s="99"/>
      <c r="J41" s="311"/>
    </row>
    <row r="42" spans="1:13" ht="14.25" thickBot="1" x14ac:dyDescent="0.3">
      <c r="A42" s="92"/>
      <c r="B42" s="98"/>
      <c r="C42" s="93"/>
      <c r="D42" s="94"/>
      <c r="E42" s="94"/>
      <c r="F42" s="94"/>
      <c r="G42" s="310"/>
      <c r="H42" s="99"/>
      <c r="I42" s="99"/>
      <c r="J42" s="311"/>
    </row>
    <row r="43" spans="1:13" ht="26.25" thickBot="1" x14ac:dyDescent="0.25">
      <c r="A43" s="87" t="s">
        <v>92</v>
      </c>
      <c r="B43" s="88" t="s">
        <v>101</v>
      </c>
      <c r="C43" s="88" t="s">
        <v>92</v>
      </c>
      <c r="D43" s="89" t="s">
        <v>94</v>
      </c>
      <c r="E43" s="89" t="s">
        <v>95</v>
      </c>
      <c r="F43" s="89" t="s">
        <v>96</v>
      </c>
      <c r="G43" s="89" t="s">
        <v>97</v>
      </c>
      <c r="H43" s="90" t="s">
        <v>98</v>
      </c>
      <c r="I43" s="91"/>
      <c r="J43" s="311"/>
    </row>
    <row r="44" spans="1:13" ht="13.5" x14ac:dyDescent="0.25">
      <c r="A44" s="92">
        <f>+A35</f>
        <v>160</v>
      </c>
      <c r="B44" s="98" t="s">
        <v>60</v>
      </c>
      <c r="C44" s="93">
        <f>+A44</f>
        <v>160</v>
      </c>
      <c r="D44" s="94" t="s">
        <v>196</v>
      </c>
      <c r="E44" s="94">
        <f>+'costeo brittle'!E74</f>
        <v>0.56981320000000002</v>
      </c>
      <c r="F44" s="94">
        <f>IFERROR(E44*C44,"")</f>
        <v>91.170112000000003</v>
      </c>
      <c r="G44" s="310">
        <f>IFERROR(F44/$F$66,"")</f>
        <v>0.18490174245956403</v>
      </c>
      <c r="H44" s="99"/>
      <c r="I44" s="91"/>
      <c r="J44" s="311"/>
    </row>
    <row r="45" spans="1:13" ht="13.5" hidden="1" x14ac:dyDescent="0.25">
      <c r="A45" s="92">
        <f t="shared" ref="A45:A50" si="13">+A36</f>
        <v>0</v>
      </c>
      <c r="B45" s="98" t="str">
        <f>IFERROR(VLOOKUP(H45,[1]SEMIELABORADOS!$A$2:$M$6000,2,0),"")</f>
        <v/>
      </c>
      <c r="C45" s="93">
        <f t="shared" ref="C45:C50" si="14">+A45</f>
        <v>0</v>
      </c>
      <c r="D45" s="94" t="str">
        <f>IFERROR(VLOOKUP(H45,[1]SEMIELABORADOS!$A$2:$M$6000,6,0),"")</f>
        <v/>
      </c>
      <c r="E45" s="94" t="str">
        <f>IFERROR(VLOOKUP(H45,[1]SEMIELABORADOS!$A$2:$M$65536,12,0),"")</f>
        <v/>
      </c>
      <c r="F45" s="94" t="str">
        <f t="shared" ref="F45:F50" si="15">IFERROR(E45*C45,"")</f>
        <v/>
      </c>
      <c r="G45" s="310" t="str">
        <f t="shared" ref="G45:G50" si="16">IFERROR(F45/$F$66,"")</f>
        <v/>
      </c>
      <c r="H45" s="99"/>
      <c r="I45" s="91"/>
      <c r="J45" s="311"/>
      <c r="M45" s="102"/>
    </row>
    <row r="46" spans="1:13" ht="13.5" hidden="1" x14ac:dyDescent="0.25">
      <c r="A46" s="92">
        <f t="shared" si="13"/>
        <v>0</v>
      </c>
      <c r="B46" s="98" t="str">
        <f>IFERROR(VLOOKUP(H46,[1]SEMIELABORADOS!$A$2:$M$6000,2,0),"")</f>
        <v/>
      </c>
      <c r="C46" s="93">
        <f t="shared" si="14"/>
        <v>0</v>
      </c>
      <c r="D46" s="94" t="str">
        <f>IFERROR(VLOOKUP(H46,[1]SEMIELABORADOS!$A$2:$M$6000,6,0),"")</f>
        <v/>
      </c>
      <c r="E46" s="94" t="str">
        <f>IFERROR(VLOOKUP(H46,[1]SEMIELABORADOS!$A$2:$M$65536,12,0),"")</f>
        <v/>
      </c>
      <c r="F46" s="94" t="str">
        <f t="shared" si="15"/>
        <v/>
      </c>
      <c r="G46" s="310" t="str">
        <f t="shared" si="16"/>
        <v/>
      </c>
      <c r="H46" s="99"/>
      <c r="I46" s="91"/>
      <c r="J46" s="311"/>
    </row>
    <row r="47" spans="1:13" ht="13.5" hidden="1" x14ac:dyDescent="0.25">
      <c r="A47" s="92">
        <f t="shared" si="13"/>
        <v>0</v>
      </c>
      <c r="B47" s="98" t="str">
        <f>IFERROR(VLOOKUP(H47,[1]SEMIELABORADOS!$A$2:$M$6000,2,0),"")</f>
        <v/>
      </c>
      <c r="C47" s="93">
        <f t="shared" si="14"/>
        <v>0</v>
      </c>
      <c r="D47" s="94" t="str">
        <f>IFERROR(VLOOKUP(H47,[1]SEMIELABORADOS!$A$2:$M$6000,6,0),"")</f>
        <v/>
      </c>
      <c r="E47" s="94" t="str">
        <f>IFERROR(VLOOKUP(H47,[1]SEMIELABORADOS!$A$2:$M$65536,12,0),"")</f>
        <v/>
      </c>
      <c r="F47" s="94" t="str">
        <f t="shared" si="15"/>
        <v/>
      </c>
      <c r="G47" s="310" t="str">
        <f t="shared" si="16"/>
        <v/>
      </c>
      <c r="H47" s="99"/>
      <c r="I47" s="91"/>
      <c r="J47" s="311"/>
    </row>
    <row r="48" spans="1:13" ht="13.5" hidden="1" x14ac:dyDescent="0.25">
      <c r="A48" s="92">
        <f t="shared" si="13"/>
        <v>0</v>
      </c>
      <c r="B48" s="98" t="str">
        <f>IFERROR(VLOOKUP(H48,[1]SEMIELABORADOS!$A$2:$M$6000,2,0),"")</f>
        <v/>
      </c>
      <c r="C48" s="93">
        <f t="shared" si="14"/>
        <v>0</v>
      </c>
      <c r="D48" s="94" t="str">
        <f>IFERROR(VLOOKUP(H48,[1]SEMIELABORADOS!$A$2:$M$6000,6,0),"")</f>
        <v/>
      </c>
      <c r="E48" s="94" t="str">
        <f>IFERROR(VLOOKUP(H48,[1]SEMIELABORADOS!$A$2:$M$65536,12,0),"")</f>
        <v/>
      </c>
      <c r="F48" s="94" t="str">
        <f t="shared" si="15"/>
        <v/>
      </c>
      <c r="G48" s="310" t="str">
        <f t="shared" si="16"/>
        <v/>
      </c>
      <c r="H48" s="99"/>
      <c r="I48" s="91"/>
      <c r="J48" s="311"/>
    </row>
    <row r="49" spans="1:17" ht="13.5" hidden="1" x14ac:dyDescent="0.25">
      <c r="A49" s="92">
        <f t="shared" si="13"/>
        <v>0</v>
      </c>
      <c r="B49" s="98" t="str">
        <f>IFERROR(VLOOKUP(H49,[1]SEMIELABORADOS!$A$2:$M$6000,2,0),"")</f>
        <v/>
      </c>
      <c r="C49" s="93">
        <f t="shared" si="14"/>
        <v>0</v>
      </c>
      <c r="D49" s="94" t="str">
        <f>IFERROR(VLOOKUP(H49,[1]SEMIELABORADOS!$A$2:$M$6000,6,0),"")</f>
        <v/>
      </c>
      <c r="E49" s="94" t="str">
        <f>IFERROR(VLOOKUP(H49,[1]SEMIELABORADOS!$A$2:$M$65536,12,0),"")</f>
        <v/>
      </c>
      <c r="F49" s="94" t="str">
        <f t="shared" si="15"/>
        <v/>
      </c>
      <c r="G49" s="310" t="str">
        <f t="shared" si="16"/>
        <v/>
      </c>
      <c r="H49" s="99"/>
      <c r="I49" s="91"/>
      <c r="J49" s="311"/>
    </row>
    <row r="50" spans="1:17" ht="13.5" hidden="1" x14ac:dyDescent="0.25">
      <c r="A50" s="92">
        <f t="shared" si="13"/>
        <v>0</v>
      </c>
      <c r="B50" s="98" t="str">
        <f>IFERROR(VLOOKUP(H50,[1]SEMIELABORADOS!$A$2:$M$6000,2,0),"")</f>
        <v/>
      </c>
      <c r="C50" s="93">
        <f t="shared" si="14"/>
        <v>0</v>
      </c>
      <c r="D50" s="94" t="str">
        <f>IFERROR(VLOOKUP(H50,[1]SEMIELABORADOS!$A$2:$M$6000,6,0),"")</f>
        <v/>
      </c>
      <c r="E50" s="94" t="str">
        <f>IFERROR(VLOOKUP(H50,[1]SEMIELABORADOS!$A$2:$M$65536,12,0),"")</f>
        <v/>
      </c>
      <c r="F50" s="94" t="str">
        <f t="shared" si="15"/>
        <v/>
      </c>
      <c r="G50" s="310" t="str">
        <f t="shared" si="16"/>
        <v/>
      </c>
      <c r="H50" s="98"/>
      <c r="I50" s="91"/>
      <c r="J50" s="311"/>
    </row>
    <row r="51" spans="1:17" ht="13.5" x14ac:dyDescent="0.25">
      <c r="A51" s="92">
        <v>1</v>
      </c>
      <c r="B51" s="98" t="s">
        <v>102</v>
      </c>
      <c r="C51" s="93">
        <f>+A51</f>
        <v>1</v>
      </c>
      <c r="D51" s="93" t="s">
        <v>103</v>
      </c>
      <c r="E51" s="94">
        <f>+F65</f>
        <v>27.5</v>
      </c>
      <c r="F51" s="94">
        <f>IFERROR(C51*E51,"")</f>
        <v>27.5</v>
      </c>
      <c r="G51" s="310">
        <f>IFERROR(F51/$F$66,"")</f>
        <v>5.5772640902733678E-2</v>
      </c>
      <c r="H51" s="103"/>
      <c r="I51" s="103"/>
      <c r="J51" s="311"/>
    </row>
    <row r="52" spans="1:17" ht="14.25" thickBot="1" x14ac:dyDescent="0.3">
      <c r="A52" s="92"/>
      <c r="B52" s="98"/>
      <c r="C52" s="93"/>
      <c r="D52" s="93"/>
      <c r="E52" s="94"/>
      <c r="F52" s="94"/>
      <c r="G52" s="310"/>
      <c r="H52" s="103"/>
      <c r="I52" s="103"/>
      <c r="J52" s="311"/>
    </row>
    <row r="53" spans="1:17" ht="13.5" thickBot="1" x14ac:dyDescent="0.25">
      <c r="A53" s="104"/>
      <c r="B53" s="452" t="s">
        <v>104</v>
      </c>
      <c r="C53" s="452"/>
      <c r="D53" s="452"/>
      <c r="E53" s="452"/>
      <c r="F53" s="106">
        <f>SUM(F8:F14,F17:F24)</f>
        <v>442.5188559428571</v>
      </c>
      <c r="G53" s="310">
        <f>+F53/$F$66</f>
        <v>0.89747073618870932</v>
      </c>
      <c r="H53" s="107">
        <f>+F53/$D$60</f>
        <v>442.5188559428571</v>
      </c>
      <c r="I53" s="107"/>
      <c r="J53" s="312"/>
      <c r="K53" s="109"/>
      <c r="L53" s="109"/>
      <c r="M53" s="109"/>
      <c r="N53" s="109"/>
      <c r="O53" s="109"/>
      <c r="P53" s="109"/>
      <c r="Q53" s="110"/>
    </row>
    <row r="54" spans="1:17" x14ac:dyDescent="0.2">
      <c r="A54" s="104"/>
      <c r="B54" s="452" t="s">
        <v>105</v>
      </c>
      <c r="C54" s="452"/>
      <c r="D54" s="452"/>
      <c r="E54" s="452"/>
      <c r="F54" s="106">
        <f>SUM(F27:F32,F35:F41)</f>
        <v>14.204065152000002</v>
      </c>
      <c r="G54" s="310">
        <f>+F54/$F$66</f>
        <v>2.8807208184782888E-2</v>
      </c>
      <c r="H54" s="107">
        <f>+F54/$D$60</f>
        <v>14.204065152000002</v>
      </c>
      <c r="I54" s="107"/>
      <c r="J54" s="111"/>
      <c r="K54" s="453" t="s">
        <v>106</v>
      </c>
      <c r="L54" s="454"/>
      <c r="M54" s="454"/>
      <c r="N54" s="454"/>
      <c r="O54" s="112">
        <f>+F55</f>
        <v>456.7229210948571</v>
      </c>
      <c r="P54" s="112"/>
      <c r="Q54" s="113"/>
    </row>
    <row r="55" spans="1:17" x14ac:dyDescent="0.2">
      <c r="A55" s="104"/>
      <c r="B55" s="452" t="s">
        <v>107</v>
      </c>
      <c r="C55" s="452"/>
      <c r="D55" s="452"/>
      <c r="E55" s="452"/>
      <c r="F55" s="106">
        <f>+F53+F54</f>
        <v>456.7229210948571</v>
      </c>
      <c r="G55" s="310">
        <f>+F55/$F$66</f>
        <v>0.9262779443734922</v>
      </c>
      <c r="H55" s="107">
        <f>+F55/$D$60</f>
        <v>456.7229210948571</v>
      </c>
      <c r="I55" s="107"/>
      <c r="J55" s="313"/>
      <c r="K55" s="115"/>
      <c r="L55" s="455" t="s">
        <v>108</v>
      </c>
      <c r="M55" s="455"/>
      <c r="N55" s="455"/>
      <c r="O55" s="112">
        <v>127.84</v>
      </c>
      <c r="P55" s="112"/>
      <c r="Q55" s="113"/>
    </row>
    <row r="56" spans="1:17" ht="13.5" thickBot="1" x14ac:dyDescent="0.25">
      <c r="A56" s="104"/>
      <c r="B56" s="105"/>
      <c r="C56" s="452" t="s">
        <v>109</v>
      </c>
      <c r="D56" s="452"/>
      <c r="E56" s="452"/>
      <c r="F56" s="106">
        <f>SUM(F44:F51)</f>
        <v>118.670112</v>
      </c>
      <c r="G56" s="310">
        <f>+F56/$F$66</f>
        <v>0.24067438336229771</v>
      </c>
      <c r="H56" s="107">
        <f>+F56/$D$60</f>
        <v>118.670112</v>
      </c>
      <c r="I56" s="107"/>
      <c r="J56" s="313"/>
      <c r="K56" s="115"/>
      <c r="L56" s="115"/>
      <c r="M56" s="115" t="s">
        <v>110</v>
      </c>
      <c r="N56" s="314"/>
      <c r="O56" s="112">
        <f>O54*N56</f>
        <v>0</v>
      </c>
      <c r="P56" s="112"/>
      <c r="Q56" s="113"/>
    </row>
    <row r="57" spans="1:17" ht="13.5" thickBot="1" x14ac:dyDescent="0.25">
      <c r="A57" s="104"/>
      <c r="B57" s="117"/>
      <c r="C57" s="117"/>
      <c r="D57" s="117"/>
      <c r="E57" s="117"/>
      <c r="F57" s="118"/>
      <c r="G57" s="310"/>
      <c r="H57" s="119"/>
      <c r="I57" s="107"/>
      <c r="J57" s="313"/>
      <c r="K57" s="120"/>
      <c r="M57" s="121" t="s">
        <v>111</v>
      </c>
      <c r="N57" s="122"/>
      <c r="O57" s="123">
        <f>SUM(O54:O56)</f>
        <v>584.56292109485707</v>
      </c>
      <c r="P57" s="124"/>
      <c r="Q57" s="113"/>
    </row>
    <row r="58" spans="1:17" x14ac:dyDescent="0.2">
      <c r="B58" s="456" t="s">
        <v>112</v>
      </c>
      <c r="C58" s="456"/>
      <c r="D58" s="125">
        <v>160</v>
      </c>
      <c r="E58" s="126"/>
      <c r="G58" s="310"/>
      <c r="H58" s="119"/>
      <c r="I58" s="127"/>
      <c r="J58" s="313"/>
      <c r="K58" s="120"/>
      <c r="L58" s="115"/>
      <c r="M58" s="115" t="s">
        <v>188</v>
      </c>
      <c r="N58" s="315"/>
      <c r="O58" s="112">
        <v>107.34</v>
      </c>
      <c r="P58" s="112"/>
      <c r="Q58" s="113"/>
    </row>
    <row r="59" spans="1:17" x14ac:dyDescent="0.2">
      <c r="B59" s="456" t="s">
        <v>114</v>
      </c>
      <c r="C59" s="456"/>
      <c r="D59" s="129">
        <v>160</v>
      </c>
      <c r="E59" s="126"/>
      <c r="G59" s="310"/>
      <c r="H59" s="119"/>
      <c r="I59" s="127"/>
      <c r="J59" s="313"/>
      <c r="K59" s="120"/>
      <c r="L59" s="115"/>
      <c r="M59" s="455" t="s">
        <v>111</v>
      </c>
      <c r="N59" s="455"/>
      <c r="O59" s="112">
        <f>SUM(O57:O58)</f>
        <v>691.90292109485711</v>
      </c>
      <c r="P59" s="112"/>
      <c r="Q59" s="113"/>
    </row>
    <row r="60" spans="1:17" ht="13.5" thickBot="1" x14ac:dyDescent="0.25">
      <c r="B60" s="457" t="s">
        <v>115</v>
      </c>
      <c r="C60" s="457"/>
      <c r="D60" s="125">
        <f>+D58/D59</f>
        <v>1</v>
      </c>
      <c r="E60" s="126"/>
      <c r="F60" s="130"/>
      <c r="G60" s="310"/>
      <c r="H60" s="119"/>
      <c r="I60" s="127"/>
      <c r="J60" s="313"/>
      <c r="K60" s="120"/>
      <c r="L60" s="455" t="s">
        <v>116</v>
      </c>
      <c r="M60" s="455"/>
      <c r="N60" s="315"/>
      <c r="O60" s="112">
        <f>+O59*N60</f>
        <v>0</v>
      </c>
      <c r="P60" s="112"/>
      <c r="Q60" s="113"/>
    </row>
    <row r="61" spans="1:17" ht="13.5" thickBot="1" x14ac:dyDescent="0.25">
      <c r="B61" s="457" t="s">
        <v>117</v>
      </c>
      <c r="C61" s="457"/>
      <c r="D61" s="131"/>
      <c r="E61" s="126"/>
      <c r="F61" s="130"/>
      <c r="G61" s="310"/>
      <c r="H61" s="119"/>
      <c r="I61" s="127"/>
      <c r="J61" s="313"/>
      <c r="K61" s="458" t="s">
        <v>118</v>
      </c>
      <c r="L61" s="459"/>
      <c r="M61" s="459"/>
      <c r="N61" s="460"/>
      <c r="O61" s="123">
        <f>SUM(O59:O60)</f>
        <v>691.90292109485711</v>
      </c>
      <c r="P61" s="132" t="s">
        <v>119</v>
      </c>
      <c r="Q61" s="113"/>
    </row>
    <row r="62" spans="1:17" ht="13.5" thickBot="1" x14ac:dyDescent="0.25">
      <c r="C62" s="104" t="s">
        <v>120</v>
      </c>
      <c r="D62" s="133"/>
      <c r="E62" s="78" t="s">
        <v>121</v>
      </c>
      <c r="F62" s="134" t="s">
        <v>122</v>
      </c>
      <c r="G62" s="310"/>
      <c r="H62" s="119"/>
      <c r="I62" s="127"/>
      <c r="J62" s="135"/>
      <c r="K62" s="136"/>
      <c r="L62" s="522" t="s">
        <v>123</v>
      </c>
      <c r="M62" s="522"/>
      <c r="N62" s="522"/>
      <c r="O62" s="316">
        <f>+O61/D60</f>
        <v>691.90292109485711</v>
      </c>
      <c r="P62" s="138">
        <f>+O62/D59</f>
        <v>4.3243932568428569</v>
      </c>
      <c r="Q62" s="139"/>
    </row>
    <row r="63" spans="1:17" ht="13.5" thickBot="1" x14ac:dyDescent="0.25">
      <c r="B63" s="462" t="s">
        <v>107</v>
      </c>
      <c r="C63" s="462"/>
      <c r="D63" s="462"/>
      <c r="E63" s="317">
        <f>+F63/F63</f>
        <v>1</v>
      </c>
      <c r="F63" s="141">
        <f>SUM(F55)</f>
        <v>456.7229210948571</v>
      </c>
      <c r="G63" s="310">
        <f>+F63/$F$66</f>
        <v>0.9262779443734922</v>
      </c>
      <c r="H63" s="119"/>
      <c r="I63" s="127"/>
      <c r="K63" s="463"/>
      <c r="L63" s="464"/>
      <c r="M63" s="464"/>
      <c r="N63" s="464"/>
      <c r="O63" s="142"/>
      <c r="P63" s="143"/>
    </row>
    <row r="64" spans="1:17" ht="13.5" thickBot="1" x14ac:dyDescent="0.25">
      <c r="B64" s="465" t="s">
        <v>124</v>
      </c>
      <c r="C64" s="465"/>
      <c r="D64" s="465"/>
      <c r="E64" s="144">
        <v>0.02</v>
      </c>
      <c r="F64" s="141">
        <f>+F53*E64</f>
        <v>8.8503771188571427</v>
      </c>
      <c r="G64" s="310">
        <f>+F64/$F$66</f>
        <v>1.7949414723774187E-2</v>
      </c>
      <c r="H64" s="107"/>
      <c r="I64" s="127"/>
      <c r="J64" s="318"/>
      <c r="O64" s="146"/>
      <c r="P64" s="105"/>
    </row>
    <row r="65" spans="2:10" ht="13.5" thickBot="1" x14ac:dyDescent="0.25">
      <c r="B65" s="467" t="s">
        <v>125</v>
      </c>
      <c r="C65" s="468"/>
      <c r="D65" s="147">
        <v>0.5</v>
      </c>
      <c r="E65" s="148">
        <v>55</v>
      </c>
      <c r="F65" s="141">
        <f>+E65*D65</f>
        <v>27.5</v>
      </c>
      <c r="G65" s="310">
        <f>+F65/$F$66</f>
        <v>5.5772640902733678E-2</v>
      </c>
      <c r="H65" s="107"/>
      <c r="I65" s="107"/>
      <c r="J65" s="311"/>
    </row>
    <row r="66" spans="2:10" ht="13.5" thickBot="1" x14ac:dyDescent="0.25">
      <c r="B66" s="469" t="s">
        <v>126</v>
      </c>
      <c r="C66" s="470"/>
      <c r="D66" s="470"/>
      <c r="E66" s="471"/>
      <c r="F66" s="118">
        <f>SUM(F63:F65)</f>
        <v>493.07329821371422</v>
      </c>
      <c r="G66" s="310">
        <f>+F66/$F$66</f>
        <v>1</v>
      </c>
      <c r="H66" s="472"/>
      <c r="I66" s="107"/>
      <c r="J66" s="311"/>
    </row>
    <row r="67" spans="2:10" x14ac:dyDescent="0.2">
      <c r="C67" s="102"/>
      <c r="D67" s="102"/>
      <c r="E67" s="150"/>
      <c r="F67" s="141"/>
      <c r="G67" s="310"/>
      <c r="H67" s="472"/>
      <c r="I67" s="149"/>
      <c r="J67" s="80"/>
    </row>
    <row r="68" spans="2:10" ht="13.5" thickBot="1" x14ac:dyDescent="0.25">
      <c r="B68" s="473" t="s">
        <v>127</v>
      </c>
      <c r="C68" s="473"/>
      <c r="D68" s="473"/>
      <c r="E68" s="473"/>
      <c r="F68" s="473"/>
      <c r="G68" s="310"/>
      <c r="H68" s="152"/>
      <c r="I68" s="149"/>
      <c r="J68" s="80"/>
    </row>
    <row r="69" spans="2:10" ht="13.5" thickBot="1" x14ac:dyDescent="0.25">
      <c r="B69" s="153" t="s">
        <v>128</v>
      </c>
      <c r="C69" s="154">
        <f>+F53</f>
        <v>442.5188559428571</v>
      </c>
      <c r="D69" s="154">
        <f>+D58</f>
        <v>160</v>
      </c>
      <c r="E69" s="155">
        <f>+C69/D69</f>
        <v>2.7657428496428569</v>
      </c>
      <c r="F69" s="310"/>
      <c r="G69" s="152"/>
      <c r="H69" s="311"/>
      <c r="I69" s="152"/>
      <c r="J69" s="80"/>
    </row>
    <row r="70" spans="2:10" x14ac:dyDescent="0.2">
      <c r="B70" s="156"/>
      <c r="C70" s="157"/>
      <c r="D70" s="158"/>
      <c r="E70" s="141"/>
      <c r="F70" s="310"/>
      <c r="G70" s="152"/>
      <c r="H70" s="311"/>
      <c r="I70" s="311"/>
      <c r="J70" s="80"/>
    </row>
    <row r="71" spans="2:10" x14ac:dyDescent="0.2">
      <c r="B71" s="153" t="s">
        <v>129</v>
      </c>
      <c r="C71" s="154">
        <f>SUM(F63:F64)</f>
        <v>465.57329821371422</v>
      </c>
      <c r="D71" s="154">
        <f>+D58</f>
        <v>160</v>
      </c>
      <c r="E71" s="159">
        <f>+C71/D71</f>
        <v>2.9098331138357141</v>
      </c>
      <c r="F71" s="310"/>
      <c r="G71" s="152"/>
      <c r="H71" s="311"/>
      <c r="I71" s="311"/>
      <c r="J71" s="80"/>
    </row>
    <row r="72" spans="2:10" x14ac:dyDescent="0.2">
      <c r="B72" s="153"/>
      <c r="C72" s="154"/>
      <c r="D72" s="154"/>
      <c r="E72" s="159"/>
      <c r="F72" s="310"/>
      <c r="G72" s="152"/>
      <c r="H72" s="311"/>
      <c r="I72" s="311"/>
      <c r="J72" s="80"/>
    </row>
    <row r="73" spans="2:10" ht="13.5" thickBot="1" x14ac:dyDescent="0.25">
      <c r="B73" s="153" t="s">
        <v>130</v>
      </c>
      <c r="C73" s="154">
        <f>+F65</f>
        <v>27.5</v>
      </c>
      <c r="D73" s="154">
        <f>+D58</f>
        <v>160</v>
      </c>
      <c r="E73" s="159">
        <f>+C73/D73</f>
        <v>0.171875</v>
      </c>
      <c r="F73" s="310"/>
      <c r="G73" s="152"/>
      <c r="H73" s="311"/>
      <c r="I73" s="311"/>
      <c r="J73" s="80"/>
    </row>
    <row r="74" spans="2:10" ht="13.5" thickBot="1" x14ac:dyDescent="0.25">
      <c r="B74" s="153" t="s">
        <v>131</v>
      </c>
      <c r="C74" s="154">
        <f>+F56</f>
        <v>118.670112</v>
      </c>
      <c r="D74" s="154">
        <f>+D73</f>
        <v>160</v>
      </c>
      <c r="E74" s="155">
        <f>+C74/D74</f>
        <v>0.74168820000000002</v>
      </c>
      <c r="F74" s="310"/>
      <c r="G74" s="152"/>
      <c r="H74" s="311"/>
      <c r="I74" s="311"/>
      <c r="J74" s="80"/>
    </row>
    <row r="75" spans="2:10" ht="13.5" thickBot="1" x14ac:dyDescent="0.25">
      <c r="B75" s="117"/>
      <c r="C75" s="118"/>
      <c r="D75" s="118"/>
      <c r="E75" s="159"/>
      <c r="F75" s="310"/>
      <c r="G75" s="152"/>
      <c r="H75" s="311"/>
      <c r="I75" s="311"/>
      <c r="J75" s="80"/>
    </row>
    <row r="76" spans="2:10" ht="13.5" thickBot="1" x14ac:dyDescent="0.25">
      <c r="B76" s="153" t="s">
        <v>132</v>
      </c>
      <c r="C76" s="154">
        <f>+F54</f>
        <v>14.204065152000002</v>
      </c>
      <c r="D76" s="154">
        <f>+D74</f>
        <v>160</v>
      </c>
      <c r="E76" s="155">
        <f>+C76/D76</f>
        <v>8.8775407200000017E-2</v>
      </c>
      <c r="F76" s="310"/>
      <c r="G76" s="152"/>
      <c r="H76" s="311"/>
      <c r="I76" s="311"/>
      <c r="J76" s="311"/>
    </row>
    <row r="77" spans="2:10" ht="13.5" thickBot="1" x14ac:dyDescent="0.25">
      <c r="B77" s="117"/>
      <c r="C77" s="118"/>
      <c r="D77" s="118"/>
      <c r="E77" s="159"/>
      <c r="F77" s="310"/>
      <c r="G77" s="152"/>
      <c r="H77" s="311"/>
      <c r="I77" s="311"/>
    </row>
    <row r="78" spans="2:10" ht="13.5" thickBot="1" x14ac:dyDescent="0.25">
      <c r="B78" s="474" t="s">
        <v>133</v>
      </c>
      <c r="C78" s="475"/>
      <c r="D78" s="476"/>
      <c r="E78" s="155">
        <f>+E69+E74</f>
        <v>3.5074310496428569</v>
      </c>
      <c r="G78" s="310"/>
      <c r="H78" s="152"/>
      <c r="I78" s="311"/>
      <c r="J78" s="159"/>
    </row>
    <row r="79" spans="2:10" x14ac:dyDescent="0.2">
      <c r="I79" s="152"/>
      <c r="J79" s="80"/>
    </row>
    <row r="80" spans="2:10" ht="13.5" thickBot="1" x14ac:dyDescent="0.25">
      <c r="B80" s="473" t="s">
        <v>134</v>
      </c>
      <c r="C80" s="473"/>
      <c r="D80" s="473"/>
      <c r="E80" s="473"/>
      <c r="F80" s="473"/>
      <c r="G80" s="310"/>
      <c r="H80" s="152"/>
      <c r="J80" s="80"/>
    </row>
    <row r="81" spans="1:10" ht="13.5" thickBot="1" x14ac:dyDescent="0.25">
      <c r="B81" s="153" t="s">
        <v>128</v>
      </c>
      <c r="C81" s="154">
        <f>+C69</f>
        <v>442.5188559428571</v>
      </c>
      <c r="D81" s="154">
        <f>+D60</f>
        <v>1</v>
      </c>
      <c r="E81" s="155">
        <f>+C81/D81</f>
        <v>442.5188559428571</v>
      </c>
      <c r="F81" s="310"/>
      <c r="G81" s="152"/>
      <c r="H81" s="311"/>
      <c r="I81" s="152"/>
      <c r="J81" s="80"/>
    </row>
    <row r="82" spans="1:10" x14ac:dyDescent="0.2">
      <c r="B82" s="156"/>
      <c r="C82" s="157"/>
      <c r="D82" s="158"/>
      <c r="E82" s="141"/>
      <c r="F82" s="310"/>
      <c r="G82" s="152"/>
      <c r="H82" s="311"/>
      <c r="I82" s="311"/>
      <c r="J82" s="80"/>
    </row>
    <row r="83" spans="1:10" x14ac:dyDescent="0.2">
      <c r="B83" s="153" t="s">
        <v>129</v>
      </c>
      <c r="C83" s="154">
        <f>+C71</f>
        <v>465.57329821371422</v>
      </c>
      <c r="D83" s="154">
        <f>+D60</f>
        <v>1</v>
      </c>
      <c r="E83" s="159">
        <f>+C83/D83</f>
        <v>465.57329821371422</v>
      </c>
      <c r="F83" s="310"/>
      <c r="G83" s="152"/>
      <c r="H83" s="311"/>
      <c r="I83" s="311"/>
      <c r="J83" s="80"/>
    </row>
    <row r="84" spans="1:10" x14ac:dyDescent="0.2">
      <c r="B84" s="153"/>
      <c r="C84" s="154"/>
      <c r="D84" s="154"/>
      <c r="E84" s="159"/>
      <c r="F84" s="310"/>
      <c r="G84" s="152"/>
      <c r="H84" s="311"/>
      <c r="I84" s="311"/>
      <c r="J84" s="80"/>
    </row>
    <row r="85" spans="1:10" ht="13.5" thickBot="1" x14ac:dyDescent="0.25">
      <c r="B85" s="153" t="s">
        <v>131</v>
      </c>
      <c r="C85" s="154">
        <f>+C73</f>
        <v>27.5</v>
      </c>
      <c r="D85" s="154">
        <f>+D60</f>
        <v>1</v>
      </c>
      <c r="E85" s="159">
        <f>+C85/D85</f>
        <v>27.5</v>
      </c>
      <c r="F85" s="161"/>
      <c r="G85" s="151"/>
      <c r="H85" s="79"/>
      <c r="I85" s="311"/>
    </row>
    <row r="86" spans="1:10" ht="13.5" thickBot="1" x14ac:dyDescent="0.25">
      <c r="B86" s="153" t="s">
        <v>131</v>
      </c>
      <c r="C86" s="154">
        <f>+C74</f>
        <v>118.670112</v>
      </c>
      <c r="D86" s="154">
        <f>+D85</f>
        <v>1</v>
      </c>
      <c r="E86" s="155">
        <f>+C86/D86</f>
        <v>118.670112</v>
      </c>
      <c r="F86" s="319"/>
      <c r="G86" s="151"/>
      <c r="H86" s="79"/>
      <c r="I86" s="79"/>
    </row>
    <row r="87" spans="1:10" x14ac:dyDescent="0.2">
      <c r="I87" s="79"/>
    </row>
    <row r="88" spans="1:10" x14ac:dyDescent="0.2">
      <c r="A88" s="466"/>
      <c r="B88" s="466"/>
      <c r="C88" s="162"/>
      <c r="D88" s="162"/>
      <c r="E88" s="163"/>
      <c r="G88" s="320"/>
    </row>
    <row r="89" spans="1:10" x14ac:dyDescent="0.2">
      <c r="A89" s="98"/>
      <c r="B89" s="165"/>
      <c r="C89" s="166"/>
      <c r="D89" s="166"/>
      <c r="E89" s="167"/>
      <c r="G89" s="320"/>
    </row>
    <row r="90" spans="1:10" x14ac:dyDescent="0.2">
      <c r="A90" s="98"/>
      <c r="B90" s="165"/>
      <c r="C90" s="168"/>
      <c r="D90" s="168"/>
      <c r="E90" s="98"/>
      <c r="G90" s="320"/>
    </row>
    <row r="91" spans="1:10" x14ac:dyDescent="0.2">
      <c r="A91" s="98"/>
      <c r="B91" s="165"/>
      <c r="C91" s="169"/>
      <c r="D91" s="169"/>
      <c r="E91" s="98"/>
      <c r="G91" s="320"/>
    </row>
  </sheetData>
  <mergeCells count="31">
    <mergeCell ref="K29:L29"/>
    <mergeCell ref="A4:H4"/>
    <mergeCell ref="A5:H5"/>
    <mergeCell ref="F6:G6"/>
    <mergeCell ref="K27:L27"/>
    <mergeCell ref="K28:L28"/>
    <mergeCell ref="K30:L30"/>
    <mergeCell ref="B53:E53"/>
    <mergeCell ref="B54:E54"/>
    <mergeCell ref="K54:N54"/>
    <mergeCell ref="B55:E55"/>
    <mergeCell ref="L55:N55"/>
    <mergeCell ref="B64:D64"/>
    <mergeCell ref="C56:E56"/>
    <mergeCell ref="B58:C58"/>
    <mergeCell ref="B59:C59"/>
    <mergeCell ref="M59:N59"/>
    <mergeCell ref="B60:C60"/>
    <mergeCell ref="L60:M60"/>
    <mergeCell ref="B61:C61"/>
    <mergeCell ref="K61:N61"/>
    <mergeCell ref="L62:N62"/>
    <mergeCell ref="B63:D63"/>
    <mergeCell ref="K63:N63"/>
    <mergeCell ref="A88:B88"/>
    <mergeCell ref="B65:C65"/>
    <mergeCell ref="B66:E66"/>
    <mergeCell ref="H66:H67"/>
    <mergeCell ref="B68:F68"/>
    <mergeCell ref="B78:D78"/>
    <mergeCell ref="B80:F8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90413-3C4E-4F1B-A218-162B0BC8123B}">
  <dimension ref="A1:L45"/>
  <sheetViews>
    <sheetView topLeftCell="A7" workbookViewId="0">
      <selection activeCell="B17" sqref="B17"/>
    </sheetView>
  </sheetViews>
  <sheetFormatPr baseColWidth="10" defaultRowHeight="12.75" x14ac:dyDescent="0.2"/>
  <cols>
    <col min="2" max="2" width="50.5703125" customWidth="1"/>
  </cols>
  <sheetData>
    <row r="1" spans="1:8" ht="18" x14ac:dyDescent="0.25">
      <c r="A1" s="514"/>
      <c r="B1" s="517" t="s">
        <v>22</v>
      </c>
      <c r="C1" s="517"/>
      <c r="D1" s="517"/>
      <c r="E1" s="517"/>
      <c r="F1" s="517"/>
      <c r="G1" s="1" t="s">
        <v>21</v>
      </c>
      <c r="H1" s="2"/>
    </row>
    <row r="2" spans="1:8" ht="18" x14ac:dyDescent="0.25">
      <c r="A2" s="515"/>
      <c r="B2" s="518" t="s">
        <v>0</v>
      </c>
      <c r="C2" s="518"/>
      <c r="D2" s="518"/>
      <c r="E2" s="518"/>
      <c r="F2" s="518"/>
      <c r="G2" s="4" t="s">
        <v>20</v>
      </c>
      <c r="H2" s="5"/>
    </row>
    <row r="3" spans="1:8" ht="15" x14ac:dyDescent="0.2">
      <c r="A3" s="515"/>
      <c r="B3" s="519" t="s">
        <v>83</v>
      </c>
      <c r="C3" s="519"/>
      <c r="D3" s="519"/>
      <c r="E3" s="519"/>
      <c r="F3" s="519"/>
      <c r="G3" s="520" t="s">
        <v>19</v>
      </c>
      <c r="H3" s="510"/>
    </row>
    <row r="4" spans="1:8" x14ac:dyDescent="0.2">
      <c r="A4" s="515"/>
      <c r="B4" t="s">
        <v>18</v>
      </c>
      <c r="C4" s="512" t="s">
        <v>41</v>
      </c>
      <c r="D4" s="512"/>
      <c r="E4" s="512"/>
      <c r="F4" s="512"/>
      <c r="G4" s="520"/>
      <c r="H4" s="510"/>
    </row>
    <row r="5" spans="1:8" ht="13.5" thickBot="1" x14ac:dyDescent="0.25">
      <c r="A5" s="516"/>
      <c r="B5" t="s">
        <v>17</v>
      </c>
      <c r="C5" s="513" t="s">
        <v>40</v>
      </c>
      <c r="D5" s="513"/>
      <c r="E5" s="513"/>
      <c r="F5" s="513"/>
      <c r="G5" s="521"/>
      <c r="H5" s="511"/>
    </row>
    <row r="6" spans="1:8" x14ac:dyDescent="0.2">
      <c r="A6" s="25"/>
      <c r="B6" s="26"/>
      <c r="C6" s="27"/>
      <c r="D6" s="27"/>
      <c r="E6" s="27"/>
      <c r="F6" s="27"/>
    </row>
    <row r="7" spans="1:8" ht="18.75" thickBot="1" x14ac:dyDescent="0.3">
      <c r="A7" s="443" t="s">
        <v>23</v>
      </c>
      <c r="B7" s="443"/>
      <c r="C7" s="444" t="s">
        <v>183</v>
      </c>
      <c r="D7" s="444"/>
      <c r="E7" s="444"/>
      <c r="F7" s="445" t="s">
        <v>24</v>
      </c>
      <c r="G7" s="445"/>
      <c r="H7" s="33" t="s">
        <v>183</v>
      </c>
    </row>
    <row r="8" spans="1:8" ht="25.5" x14ac:dyDescent="0.2">
      <c r="A8" s="523" t="s">
        <v>1</v>
      </c>
      <c r="B8" s="525" t="s">
        <v>2</v>
      </c>
      <c r="C8" s="525" t="s">
        <v>3</v>
      </c>
      <c r="D8" s="525" t="s">
        <v>4</v>
      </c>
      <c r="E8" s="525"/>
      <c r="F8" s="525" t="s">
        <v>16</v>
      </c>
      <c r="G8" s="525"/>
      <c r="H8" s="6" t="s">
        <v>5</v>
      </c>
    </row>
    <row r="9" spans="1:8" ht="26.25" thickBot="1" x14ac:dyDescent="0.25">
      <c r="A9" s="524"/>
      <c r="B9" s="526"/>
      <c r="C9" s="526"/>
      <c r="D9" s="7" t="s">
        <v>6</v>
      </c>
      <c r="E9" s="8" t="s">
        <v>7</v>
      </c>
      <c r="F9" s="7" t="s">
        <v>6</v>
      </c>
      <c r="G9" s="8" t="s">
        <v>7</v>
      </c>
      <c r="H9" t="s">
        <v>8</v>
      </c>
    </row>
    <row r="10" spans="1:8" ht="15.75" x14ac:dyDescent="0.25">
      <c r="A10" s="266" t="s">
        <v>42</v>
      </c>
      <c r="B10" s="267" t="s">
        <v>43</v>
      </c>
      <c r="C10" s="62" t="s">
        <v>31</v>
      </c>
      <c r="D10" s="62">
        <v>200</v>
      </c>
      <c r="E10" s="62" t="s">
        <v>36</v>
      </c>
      <c r="F10" s="63"/>
      <c r="G10" s="64"/>
      <c r="H10" s="65"/>
    </row>
    <row r="11" spans="1:8" ht="15" x14ac:dyDescent="0.2">
      <c r="A11" s="268" t="s">
        <v>44</v>
      </c>
      <c r="B11" s="269" t="s">
        <v>45</v>
      </c>
      <c r="C11" s="270" t="s">
        <v>31</v>
      </c>
      <c r="D11" s="270">
        <v>300</v>
      </c>
      <c r="E11" s="55" t="s">
        <v>36</v>
      </c>
      <c r="F11" s="39"/>
      <c r="G11" s="38"/>
      <c r="H11" s="48"/>
    </row>
    <row r="12" spans="1:8" ht="15.75" x14ac:dyDescent="0.25">
      <c r="A12" s="273">
        <v>410154</v>
      </c>
      <c r="B12" s="274" t="s">
        <v>53</v>
      </c>
      <c r="C12" s="275" t="s">
        <v>54</v>
      </c>
      <c r="D12" s="276">
        <v>120</v>
      </c>
      <c r="E12" s="49" t="s">
        <v>36</v>
      </c>
      <c r="F12" s="542"/>
      <c r="G12" s="542"/>
      <c r="H12" s="543"/>
    </row>
    <row r="13" spans="1:8" ht="15" x14ac:dyDescent="0.2">
      <c r="A13" s="268" t="s">
        <v>44</v>
      </c>
      <c r="B13" s="269" t="s">
        <v>45</v>
      </c>
      <c r="C13" s="270" t="s">
        <v>31</v>
      </c>
      <c r="D13" s="270">
        <v>300</v>
      </c>
      <c r="E13" s="55" t="s">
        <v>36</v>
      </c>
      <c r="F13" s="39"/>
      <c r="G13" s="38"/>
      <c r="H13" s="48"/>
    </row>
    <row r="14" spans="1:8" ht="15" x14ac:dyDescent="0.2">
      <c r="A14" s="69"/>
      <c r="B14" s="70" t="s">
        <v>57</v>
      </c>
      <c r="C14" s="55"/>
      <c r="D14" s="55"/>
      <c r="E14" s="55"/>
      <c r="F14" s="39"/>
      <c r="G14" s="38"/>
      <c r="H14" s="48"/>
    </row>
    <row r="15" spans="1:8" ht="15" x14ac:dyDescent="0.2">
      <c r="A15" s="279" t="s">
        <v>55</v>
      </c>
      <c r="B15" s="280" t="s">
        <v>56</v>
      </c>
      <c r="C15" s="281" t="s">
        <v>31</v>
      </c>
      <c r="D15" s="281">
        <v>90</v>
      </c>
      <c r="E15" s="46" t="s">
        <v>36</v>
      </c>
      <c r="F15" s="542" t="s">
        <v>184</v>
      </c>
      <c r="G15" s="542"/>
      <c r="H15" s="543"/>
    </row>
    <row r="16" spans="1:8" ht="15" x14ac:dyDescent="0.2">
      <c r="A16" s="258"/>
      <c r="B16" s="284"/>
      <c r="C16" s="285"/>
      <c r="D16" s="285"/>
      <c r="E16" s="46" t="s">
        <v>36</v>
      </c>
      <c r="F16" s="542" t="s">
        <v>185</v>
      </c>
      <c r="G16" s="542"/>
      <c r="H16" s="543"/>
    </row>
    <row r="17" spans="1:12" ht="15" x14ac:dyDescent="0.2">
      <c r="A17" s="259"/>
      <c r="B17" s="265" t="s">
        <v>186</v>
      </c>
      <c r="C17" s="46" t="s">
        <v>67</v>
      </c>
      <c r="D17" s="46">
        <v>1</v>
      </c>
      <c r="E17" s="46" t="s">
        <v>37</v>
      </c>
      <c r="F17" s="39"/>
      <c r="G17" s="38"/>
      <c r="H17" s="48"/>
    </row>
    <row r="18" spans="1:12" ht="15.75" x14ac:dyDescent="0.25">
      <c r="A18" s="66" t="s">
        <v>46</v>
      </c>
      <c r="B18" s="59" t="s">
        <v>47</v>
      </c>
      <c r="C18" s="49" t="s">
        <v>68</v>
      </c>
      <c r="D18" s="58">
        <v>20</v>
      </c>
      <c r="E18" s="49" t="s">
        <v>36</v>
      </c>
      <c r="F18" s="542" t="s">
        <v>48</v>
      </c>
      <c r="G18" s="542"/>
      <c r="H18" s="543"/>
    </row>
    <row r="19" spans="1:12" ht="15.75" x14ac:dyDescent="0.25">
      <c r="A19" s="258"/>
      <c r="B19" s="257" t="s">
        <v>25</v>
      </c>
      <c r="C19" s="46"/>
      <c r="D19" s="46"/>
      <c r="E19" s="46"/>
      <c r="F19" s="39"/>
      <c r="G19" s="38"/>
      <c r="H19" s="48"/>
    </row>
    <row r="20" spans="1:12" ht="15" x14ac:dyDescent="0.2">
      <c r="A20" s="259">
        <v>702182</v>
      </c>
      <c r="B20" s="74" t="s">
        <v>75</v>
      </c>
      <c r="C20" s="46" t="s">
        <v>76</v>
      </c>
      <c r="D20" s="46">
        <v>1</v>
      </c>
      <c r="E20" s="46" t="s">
        <v>37</v>
      </c>
      <c r="F20" s="39"/>
      <c r="G20" s="38"/>
      <c r="H20" s="48"/>
    </row>
    <row r="21" spans="1:12" ht="15" x14ac:dyDescent="0.2">
      <c r="A21" s="259">
        <v>703020</v>
      </c>
      <c r="B21" s="74" t="s">
        <v>73</v>
      </c>
      <c r="C21" s="46" t="s">
        <v>76</v>
      </c>
      <c r="D21" s="46">
        <v>60</v>
      </c>
      <c r="E21" s="46" t="s">
        <v>74</v>
      </c>
      <c r="F21" s="40"/>
      <c r="G21" s="52"/>
      <c r="H21" s="51"/>
    </row>
    <row r="22" spans="1:12" ht="15.75" x14ac:dyDescent="0.25">
      <c r="A22" s="54">
        <v>1950693</v>
      </c>
      <c r="B22" s="53" t="s">
        <v>49</v>
      </c>
      <c r="C22" s="49" t="s">
        <v>50</v>
      </c>
      <c r="D22" s="49">
        <v>1</v>
      </c>
      <c r="E22" s="49" t="s">
        <v>37</v>
      </c>
      <c r="F22" s="40"/>
      <c r="G22" s="52"/>
      <c r="H22" s="51"/>
    </row>
    <row r="23" spans="1:12" ht="15.75" x14ac:dyDescent="0.25">
      <c r="A23" s="259">
        <v>51400021</v>
      </c>
      <c r="B23" s="74" t="s">
        <v>69</v>
      </c>
      <c r="C23" s="49" t="s">
        <v>51</v>
      </c>
      <c r="D23" s="49">
        <v>1</v>
      </c>
      <c r="E23" s="49" t="s">
        <v>37</v>
      </c>
      <c r="F23" s="40"/>
      <c r="G23" s="52"/>
      <c r="H23" s="51"/>
    </row>
    <row r="24" spans="1:12" ht="15.75" x14ac:dyDescent="0.25">
      <c r="A24" s="259">
        <v>702123</v>
      </c>
      <c r="B24" s="74" t="s">
        <v>70</v>
      </c>
      <c r="C24" s="49" t="s">
        <v>52</v>
      </c>
      <c r="D24" s="49">
        <v>1</v>
      </c>
      <c r="E24" s="49" t="s">
        <v>37</v>
      </c>
      <c r="F24" s="39"/>
      <c r="G24" s="38"/>
      <c r="H24" s="48"/>
    </row>
    <row r="25" spans="1:12" ht="15.75" x14ac:dyDescent="0.25">
      <c r="A25" s="259">
        <v>701096</v>
      </c>
      <c r="B25" s="74" t="s">
        <v>71</v>
      </c>
      <c r="C25" s="49" t="s">
        <v>52</v>
      </c>
      <c r="D25" s="49">
        <v>1</v>
      </c>
      <c r="E25" s="49" t="s">
        <v>37</v>
      </c>
      <c r="F25" s="39"/>
      <c r="G25" s="38"/>
      <c r="H25" s="48"/>
    </row>
    <row r="26" spans="1:12" ht="15" x14ac:dyDescent="0.2">
      <c r="A26" s="259">
        <v>702007</v>
      </c>
      <c r="B26" s="74" t="s">
        <v>72</v>
      </c>
      <c r="C26" s="47" t="s">
        <v>77</v>
      </c>
      <c r="D26" s="46">
        <v>1</v>
      </c>
      <c r="E26" s="46" t="s">
        <v>37</v>
      </c>
      <c r="F26" s="39"/>
      <c r="G26" s="38"/>
      <c r="H26" s="41"/>
    </row>
    <row r="27" spans="1:12" ht="15" thickBot="1" x14ac:dyDescent="0.25">
      <c r="A27" s="260"/>
      <c r="B27" s="261"/>
      <c r="C27" s="262"/>
      <c r="D27" s="263"/>
      <c r="E27" s="263"/>
      <c r="F27" s="263"/>
      <c r="G27" s="263"/>
      <c r="H27" s="264"/>
      <c r="K27" s="11"/>
    </row>
    <row r="28" spans="1:12" ht="13.5" thickBot="1" x14ac:dyDescent="0.25">
      <c r="A28" s="12"/>
      <c r="B28" s="13"/>
      <c r="C28" s="14" t="s">
        <v>6</v>
      </c>
      <c r="D28" s="15" t="s">
        <v>15</v>
      </c>
      <c r="E28" s="16"/>
      <c r="F28" s="13"/>
      <c r="G28" s="13"/>
      <c r="H28" s="17"/>
      <c r="K28" s="11"/>
    </row>
    <row r="29" spans="1:12" x14ac:dyDescent="0.2">
      <c r="A29" s="527" t="s">
        <v>10</v>
      </c>
      <c r="B29" s="528"/>
      <c r="C29" s="18">
        <v>950</v>
      </c>
      <c r="D29" s="19" t="s">
        <v>36</v>
      </c>
      <c r="E29" s="529"/>
      <c r="F29" s="529"/>
      <c r="G29" s="530"/>
      <c r="H29" s="531"/>
      <c r="K29" s="11"/>
    </row>
    <row r="30" spans="1:12" x14ac:dyDescent="0.2">
      <c r="A30" s="532" t="s">
        <v>9</v>
      </c>
      <c r="B30" s="533"/>
      <c r="C30" s="20">
        <v>5</v>
      </c>
      <c r="D30" s="10" t="s">
        <v>38</v>
      </c>
      <c r="E30" s="534"/>
      <c r="F30" s="534"/>
      <c r="G30" s="535"/>
      <c r="H30" s="536"/>
      <c r="K30" s="11"/>
    </row>
    <row r="31" spans="1:12" x14ac:dyDescent="0.2">
      <c r="A31" s="532" t="s">
        <v>14</v>
      </c>
      <c r="B31" s="533"/>
      <c r="C31" s="10">
        <v>1</v>
      </c>
      <c r="D31" s="10" t="s">
        <v>37</v>
      </c>
      <c r="E31" s="534"/>
      <c r="F31" s="534"/>
      <c r="G31" s="535"/>
      <c r="H31" s="536"/>
      <c r="K31" s="11"/>
    </row>
    <row r="32" spans="1:12" x14ac:dyDescent="0.2">
      <c r="A32" s="532" t="s">
        <v>13</v>
      </c>
      <c r="B32" s="533"/>
      <c r="C32" s="9">
        <v>950</v>
      </c>
      <c r="D32" s="10" t="s">
        <v>36</v>
      </c>
      <c r="E32" s="540"/>
      <c r="F32" s="541"/>
      <c r="G32" s="535"/>
      <c r="H32" s="536"/>
      <c r="K32" s="11"/>
      <c r="L32" s="21"/>
    </row>
    <row r="33" spans="1:12" ht="13.5" thickBot="1" x14ac:dyDescent="0.25">
      <c r="A33" s="544" t="s">
        <v>12</v>
      </c>
      <c r="B33" s="545"/>
      <c r="C33" s="22">
        <v>191</v>
      </c>
      <c r="D33" s="23" t="s">
        <v>36</v>
      </c>
      <c r="E33" s="546"/>
      <c r="F33" s="546"/>
      <c r="G33" s="547"/>
      <c r="H33" s="548"/>
      <c r="I33" s="3"/>
      <c r="J33" s="3"/>
      <c r="K33" s="11"/>
      <c r="L33" s="3"/>
    </row>
    <row r="34" spans="1:12" ht="13.5" thickBot="1" x14ac:dyDescent="0.25">
      <c r="A34" s="537" t="s">
        <v>11</v>
      </c>
      <c r="B34" s="538"/>
      <c r="C34" s="538"/>
      <c r="D34" s="538"/>
      <c r="E34" s="538"/>
      <c r="F34" s="538"/>
      <c r="G34" s="538"/>
      <c r="H34" s="539"/>
    </row>
    <row r="35" spans="1:12" ht="15" x14ac:dyDescent="0.2">
      <c r="A35" s="486" t="s">
        <v>78</v>
      </c>
      <c r="B35" s="487"/>
      <c r="C35" s="487"/>
      <c r="D35" s="487"/>
      <c r="E35" s="487"/>
      <c r="F35" s="487"/>
      <c r="G35" s="487"/>
      <c r="H35" s="488"/>
    </row>
    <row r="36" spans="1:12" ht="15" x14ac:dyDescent="0.25">
      <c r="A36" s="477" t="s">
        <v>80</v>
      </c>
      <c r="B36" s="478"/>
      <c r="C36" s="478"/>
      <c r="D36" s="478"/>
      <c r="E36" s="478"/>
      <c r="F36" s="478"/>
      <c r="G36" s="478"/>
      <c r="H36" s="479"/>
    </row>
    <row r="37" spans="1:12" ht="15" x14ac:dyDescent="0.25">
      <c r="A37" s="477" t="s">
        <v>79</v>
      </c>
      <c r="B37" s="478"/>
      <c r="C37" s="478"/>
      <c r="D37" s="478"/>
      <c r="E37" s="478"/>
      <c r="F37" s="478"/>
      <c r="G37" s="478"/>
      <c r="H37" s="479"/>
    </row>
    <row r="38" spans="1:12" ht="15" x14ac:dyDescent="0.25">
      <c r="A38" s="477" t="s">
        <v>187</v>
      </c>
      <c r="B38" s="478"/>
      <c r="C38" s="478"/>
      <c r="D38" s="478"/>
      <c r="E38" s="478"/>
      <c r="F38" s="478"/>
      <c r="G38" s="478"/>
      <c r="H38" s="479"/>
    </row>
    <row r="39" spans="1:12" ht="15" x14ac:dyDescent="0.25">
      <c r="A39" s="477" t="s">
        <v>82</v>
      </c>
      <c r="B39" s="478"/>
      <c r="C39" s="478"/>
      <c r="D39" s="478"/>
      <c r="E39" s="478"/>
      <c r="F39" s="478"/>
      <c r="G39" s="478"/>
      <c r="H39" s="479"/>
    </row>
    <row r="40" spans="1:12" ht="15" x14ac:dyDescent="0.25">
      <c r="A40" s="477"/>
      <c r="B40" s="478"/>
      <c r="C40" s="478"/>
      <c r="D40" s="478"/>
      <c r="E40" s="478"/>
      <c r="F40" s="478"/>
      <c r="G40" s="478"/>
      <c r="H40" s="479"/>
    </row>
    <row r="41" spans="1:12" ht="14.25" x14ac:dyDescent="0.2">
      <c r="A41" s="440"/>
      <c r="B41" s="441"/>
      <c r="C41" s="441"/>
      <c r="D41" s="441"/>
      <c r="E41" s="441"/>
      <c r="F41" s="441"/>
      <c r="G41" s="441"/>
      <c r="H41" s="442"/>
    </row>
    <row r="42" spans="1:12" ht="14.25" x14ac:dyDescent="0.2">
      <c r="A42" s="440"/>
      <c r="B42" s="441"/>
      <c r="C42" s="441"/>
      <c r="D42" s="441"/>
      <c r="E42" s="441"/>
      <c r="F42" s="441"/>
      <c r="G42" s="441"/>
      <c r="H42" s="442"/>
    </row>
    <row r="43" spans="1:12" ht="15" thickBot="1" x14ac:dyDescent="0.25">
      <c r="A43" s="480"/>
      <c r="B43" s="481"/>
      <c r="C43" s="481"/>
      <c r="D43" s="481"/>
      <c r="E43" s="481"/>
      <c r="F43" s="481"/>
      <c r="G43" s="481"/>
      <c r="H43" s="482"/>
    </row>
    <row r="45" spans="1:12" x14ac:dyDescent="0.2">
      <c r="A45" s="24"/>
      <c r="B45" s="24"/>
    </row>
  </sheetData>
  <mergeCells count="45">
    <mergeCell ref="A43:H43"/>
    <mergeCell ref="F12:H12"/>
    <mergeCell ref="F18:H18"/>
    <mergeCell ref="F15:H15"/>
    <mergeCell ref="F16:H16"/>
    <mergeCell ref="A35:H35"/>
    <mergeCell ref="A36:H36"/>
    <mergeCell ref="A37:H37"/>
    <mergeCell ref="A38:H38"/>
    <mergeCell ref="A39:H39"/>
    <mergeCell ref="A40:H40"/>
    <mergeCell ref="A41:H41"/>
    <mergeCell ref="A42:H42"/>
    <mergeCell ref="A33:B33"/>
    <mergeCell ref="E33:F33"/>
    <mergeCell ref="G33:H33"/>
    <mergeCell ref="A34:H34"/>
    <mergeCell ref="A31:B31"/>
    <mergeCell ref="E31:F31"/>
    <mergeCell ref="G31:H31"/>
    <mergeCell ref="A32:B32"/>
    <mergeCell ref="E32:F32"/>
    <mergeCell ref="G32:H32"/>
    <mergeCell ref="A29:B29"/>
    <mergeCell ref="E29:F29"/>
    <mergeCell ref="G29:H29"/>
    <mergeCell ref="A30:B30"/>
    <mergeCell ref="E30:F30"/>
    <mergeCell ref="G30:H30"/>
    <mergeCell ref="H3:H5"/>
    <mergeCell ref="C4:F4"/>
    <mergeCell ref="C5:F5"/>
    <mergeCell ref="A7:B7"/>
    <mergeCell ref="C7:E7"/>
    <mergeCell ref="F7:G7"/>
    <mergeCell ref="A1:A5"/>
    <mergeCell ref="B1:F1"/>
    <mergeCell ref="B2:F2"/>
    <mergeCell ref="B3:F3"/>
    <mergeCell ref="G3:G5"/>
    <mergeCell ref="A8:A9"/>
    <mergeCell ref="B8:B9"/>
    <mergeCell ref="C8:C9"/>
    <mergeCell ref="D8:E8"/>
    <mergeCell ref="F8:G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78DEC-F0BD-4F09-9817-899A0B52061A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7897F-5598-4700-8756-CB7ABFB87432}">
  <dimension ref="A1:Q96"/>
  <sheetViews>
    <sheetView topLeftCell="A27" workbookViewId="0">
      <selection activeCell="O69" sqref="O69"/>
    </sheetView>
  </sheetViews>
  <sheetFormatPr baseColWidth="10" defaultColWidth="8.42578125" defaultRowHeight="12.75" x14ac:dyDescent="0.2"/>
  <cols>
    <col min="1" max="1" width="10" style="80" bestFit="1" customWidth="1"/>
    <col min="2" max="2" width="44.28515625" style="80" bestFit="1" customWidth="1"/>
    <col min="3" max="3" width="10.42578125" style="80" bestFit="1" customWidth="1"/>
    <col min="4" max="4" width="10.42578125" style="80" customWidth="1"/>
    <col min="5" max="5" width="9.7109375" style="80" bestFit="1" customWidth="1"/>
    <col min="6" max="6" width="9.5703125" style="80" bestFit="1" customWidth="1"/>
    <col min="7" max="7" width="9.5703125" style="160" bestFit="1" customWidth="1"/>
    <col min="8" max="8" width="10.42578125" style="151" bestFit="1" customWidth="1"/>
    <col min="9" max="9" width="4.5703125" style="151" customWidth="1"/>
    <col min="10" max="10" width="1.7109375" style="79" customWidth="1"/>
    <col min="11" max="11" width="7" style="80" bestFit="1" customWidth="1"/>
    <col min="12" max="12" width="6.28515625" style="80" customWidth="1"/>
    <col min="13" max="13" width="20.42578125" style="80" customWidth="1"/>
    <col min="14" max="14" width="6.42578125" style="80" bestFit="1" customWidth="1"/>
    <col min="15" max="15" width="9" style="80" bestFit="1" customWidth="1"/>
    <col min="16" max="16" width="8.42578125" style="80"/>
    <col min="17" max="17" width="3.28515625" style="80" customWidth="1"/>
    <col min="18" max="16384" width="8.42578125" style="80"/>
  </cols>
  <sheetData>
    <row r="1" spans="1:10" ht="27.75" customHeight="1" x14ac:dyDescent="0.2">
      <c r="A1" s="75"/>
      <c r="B1" s="75"/>
      <c r="C1" s="75"/>
      <c r="D1" s="75"/>
      <c r="E1" s="76" t="s">
        <v>86</v>
      </c>
      <c r="F1" s="77" t="s">
        <v>87</v>
      </c>
      <c r="G1" s="77" t="s">
        <v>88</v>
      </c>
      <c r="H1" s="77" t="s">
        <v>89</v>
      </c>
      <c r="I1" s="78"/>
    </row>
    <row r="2" spans="1:10" ht="30.75" customHeight="1" x14ac:dyDescent="0.2">
      <c r="A2" s="75"/>
      <c r="B2" s="75"/>
      <c r="C2" s="75"/>
      <c r="D2" s="75"/>
      <c r="E2" s="81">
        <f>IFERROR(O67,"")</f>
        <v>3912.1697224069026</v>
      </c>
      <c r="F2" s="81">
        <f>IFERROR(H58,"")</f>
        <v>2227.3038333149607</v>
      </c>
      <c r="G2" s="81">
        <f>IFERROR(H59,"")</f>
        <v>393.79409614585961</v>
      </c>
      <c r="H2" s="81">
        <f>IFERROR(H61,"")</f>
        <v>386.06711952102637</v>
      </c>
      <c r="I2" s="82"/>
    </row>
    <row r="3" spans="1:10" ht="15" customHeight="1" x14ac:dyDescent="0.2">
      <c r="A3" s="75"/>
      <c r="B3" s="75"/>
      <c r="C3" s="75"/>
      <c r="D3" s="75"/>
      <c r="E3" s="75"/>
      <c r="F3" s="83"/>
      <c r="G3" s="83"/>
      <c r="H3" s="83"/>
      <c r="I3" s="83"/>
    </row>
    <row r="4" spans="1:10" ht="24.75" customHeight="1" thickBot="1" x14ac:dyDescent="0.25">
      <c r="A4" s="446"/>
      <c r="B4" s="446"/>
      <c r="C4" s="446"/>
      <c r="D4" s="446"/>
      <c r="E4" s="446"/>
      <c r="F4" s="446"/>
      <c r="G4" s="446"/>
      <c r="H4" s="446"/>
      <c r="I4" s="84"/>
    </row>
    <row r="5" spans="1:10" ht="19.5" customHeight="1" thickBot="1" x14ac:dyDescent="0.25">
      <c r="A5" s="447" t="s">
        <v>90</v>
      </c>
      <c r="B5" s="448"/>
      <c r="C5" s="448"/>
      <c r="D5" s="448"/>
      <c r="E5" s="448"/>
      <c r="F5" s="448"/>
      <c r="G5" s="448"/>
      <c r="H5" s="449"/>
      <c r="I5" s="85"/>
    </row>
    <row r="6" spans="1:10" ht="19.5" thickBot="1" x14ac:dyDescent="0.25">
      <c r="A6" s="85"/>
      <c r="B6" s="85"/>
      <c r="C6" s="85"/>
      <c r="D6" s="85"/>
      <c r="E6" s="85"/>
      <c r="F6" s="450" t="s">
        <v>91</v>
      </c>
      <c r="G6" s="450"/>
      <c r="H6" s="86">
        <f ca="1">TODAY()</f>
        <v>45754</v>
      </c>
      <c r="I6" s="86"/>
    </row>
    <row r="7" spans="1:10" ht="26.25" thickBot="1" x14ac:dyDescent="0.25">
      <c r="A7" s="87" t="s">
        <v>92</v>
      </c>
      <c r="B7" s="88" t="s">
        <v>93</v>
      </c>
      <c r="C7" s="88" t="s">
        <v>92</v>
      </c>
      <c r="D7" s="89" t="s">
        <v>94</v>
      </c>
      <c r="E7" s="89" t="s">
        <v>95</v>
      </c>
      <c r="F7" s="89" t="s">
        <v>96</v>
      </c>
      <c r="G7" s="89" t="s">
        <v>97</v>
      </c>
      <c r="H7" s="90" t="s">
        <v>98</v>
      </c>
      <c r="I7" s="91"/>
    </row>
    <row r="8" spans="1:10" ht="13.5" x14ac:dyDescent="0.25">
      <c r="A8" s="277">
        <v>120</v>
      </c>
      <c r="B8" s="278" t="str">
        <f>IFERROR(VLOOKUP(H8,'[1]Consolidado MP Planta'!$A$2:$M$823,3,0),"")</f>
        <v>RELLENO CARAMELO KILO</v>
      </c>
      <c r="C8" s="93">
        <f>+A8</f>
        <v>120</v>
      </c>
      <c r="D8" s="94" t="str">
        <f>IFERROR(VLOOKUP(H8,'[1]Consolidado MP Planta'!$A$2:$M$823,13,0),"")</f>
        <v>Gramos</v>
      </c>
      <c r="E8" s="94">
        <f>IFERROR(VLOOKUP(H8,'[1]Consolidado MP Planta'!$A$2:$M$823,12,0),"")</f>
        <v>3.335</v>
      </c>
      <c r="F8" s="94">
        <f>IFERROR(C8*E8,"")</f>
        <v>400.2</v>
      </c>
      <c r="G8" s="95">
        <f t="shared" ref="G8:G14" si="0">IFERROR(F8/$F$71,"")</f>
        <v>0.13609263792765941</v>
      </c>
      <c r="H8" s="96" t="s">
        <v>141</v>
      </c>
      <c r="I8" s="96"/>
      <c r="J8" s="97"/>
    </row>
    <row r="9" spans="1:10" ht="13.5" hidden="1" x14ac:dyDescent="0.25">
      <c r="A9" s="92"/>
      <c r="B9" s="80" t="str">
        <f>IFERROR(VLOOKUP(H9,'[1]Consolidado MP Planta'!$A$2:$M$823,3,0),"")</f>
        <v>CHOCOLATE CORAZON ROJO PASION (CAJA:200)</v>
      </c>
      <c r="C9" s="93">
        <f t="shared" ref="C9:C14" si="1">+A9</f>
        <v>0</v>
      </c>
      <c r="D9" s="94" t="str">
        <f>IFERROR(VLOOKUP(H9,'[1]Consolidado MP Planta'!$A$2:$M$823,13,0),"")</f>
        <v>Und</v>
      </c>
      <c r="E9" s="94">
        <f>IFERROR(VLOOKUP(H9,'[1]Consolidado MP Planta'!$A$2:$M$823,12,0),"")</f>
        <v>38.25</v>
      </c>
      <c r="F9" s="94">
        <f t="shared" ref="F9:F14" si="2">IFERROR(C9*E9,"")</f>
        <v>0</v>
      </c>
      <c r="G9" s="95">
        <f t="shared" si="0"/>
        <v>0</v>
      </c>
      <c r="H9" s="96" t="s">
        <v>144</v>
      </c>
      <c r="I9" s="96"/>
      <c r="J9" s="97"/>
    </row>
    <row r="10" spans="1:10" ht="13.5" x14ac:dyDescent="0.25">
      <c r="A10" s="92">
        <v>20</v>
      </c>
      <c r="B10" s="80" t="str">
        <f>IFERROR(VLOOKUP(H10,'[1]Consolidado MP Planta'!$A$2:$M$823,3,0),"")</f>
        <v>MANJAR LECHE CONDENSADA (PAQ: 4.5 K)</v>
      </c>
      <c r="C10" s="93">
        <f t="shared" si="1"/>
        <v>20</v>
      </c>
      <c r="D10" s="94" t="str">
        <f>IFERROR(VLOOKUP(H10,'[1]Consolidado MP Planta'!$A$2:$M$823,13,0),"")</f>
        <v>Gramos</v>
      </c>
      <c r="E10" s="94">
        <f>IFERROR(VLOOKUP(H10,'[1]Consolidado MP Planta'!$A$2:$M$823,12,0),"")</f>
        <v>2.1419999999999999</v>
      </c>
      <c r="F10" s="94">
        <f t="shared" si="2"/>
        <v>42.839999999999996</v>
      </c>
      <c r="G10" s="95">
        <f t="shared" si="0"/>
        <v>1.4568237403350648E-2</v>
      </c>
      <c r="H10" s="96" t="s">
        <v>46</v>
      </c>
      <c r="I10" s="96"/>
      <c r="J10" s="97"/>
    </row>
    <row r="11" spans="1:10" ht="13.5" hidden="1" x14ac:dyDescent="0.25">
      <c r="A11" s="92"/>
      <c r="B11" s="80" t="str">
        <f>IFERROR(VLOOKUP(H11,'[1]Consolidado MP Planta'!$A$2:$M$823,3,0),"")</f>
        <v/>
      </c>
      <c r="C11" s="93">
        <f t="shared" si="1"/>
        <v>0</v>
      </c>
      <c r="D11" s="94" t="str">
        <f>IFERROR(VLOOKUP(H11,'[1]Consolidado MP Planta'!$A$2:$M$823,13,0),"")</f>
        <v/>
      </c>
      <c r="E11" s="94" t="str">
        <f>IFERROR(VLOOKUP(H11,'[1]Consolidado MP Planta'!$A$2:$M$823,12,0),"")</f>
        <v/>
      </c>
      <c r="F11" s="94" t="str">
        <f t="shared" si="2"/>
        <v/>
      </c>
      <c r="G11" s="95" t="str">
        <f t="shared" si="0"/>
        <v/>
      </c>
      <c r="H11" s="96"/>
      <c r="I11" s="96"/>
      <c r="J11" s="97"/>
    </row>
    <row r="12" spans="1:10" ht="13.5" hidden="1" x14ac:dyDescent="0.25">
      <c r="A12" s="92"/>
      <c r="B12" s="80" t="str">
        <f>IFERROR(VLOOKUP(H12,'[1]Consolidado MP Planta'!$A$2:$M$823,3,0),"")</f>
        <v/>
      </c>
      <c r="C12" s="93">
        <f t="shared" si="1"/>
        <v>0</v>
      </c>
      <c r="D12" s="94" t="str">
        <f>IFERROR(VLOOKUP(H12,'[1]Consolidado MP Planta'!$A$2:$M$823,13,0),"")</f>
        <v/>
      </c>
      <c r="E12" s="94" t="str">
        <f>IFERROR(VLOOKUP(H12,'[1]Consolidado MP Planta'!$A$2:$M$823,12,0),"")</f>
        <v/>
      </c>
      <c r="F12" s="94" t="str">
        <f t="shared" si="2"/>
        <v/>
      </c>
      <c r="G12" s="95" t="str">
        <f t="shared" si="0"/>
        <v/>
      </c>
      <c r="H12" s="96"/>
      <c r="I12" s="96"/>
      <c r="J12" s="97"/>
    </row>
    <row r="13" spans="1:10" ht="13.5" hidden="1" x14ac:dyDescent="0.25">
      <c r="A13" s="92"/>
      <c r="B13" s="80" t="str">
        <f>IFERROR(VLOOKUP(H13,'[1]Consolidado MP Planta'!$A$2:$M$823,3,0),"")</f>
        <v/>
      </c>
      <c r="C13" s="93">
        <f t="shared" si="1"/>
        <v>0</v>
      </c>
      <c r="D13" s="94" t="str">
        <f>IFERROR(VLOOKUP(H13,'[1]Consolidado MP Planta'!$A$2:$M$823,13,0),"")</f>
        <v/>
      </c>
      <c r="E13" s="94" t="str">
        <f>IFERROR(VLOOKUP(H13,'[1]Consolidado MP Planta'!$A$2:$M$823,12,0),"")</f>
        <v/>
      </c>
      <c r="F13" s="94" t="str">
        <f t="shared" si="2"/>
        <v/>
      </c>
      <c r="G13" s="95" t="str">
        <f t="shared" si="0"/>
        <v/>
      </c>
      <c r="H13" s="96"/>
      <c r="I13" s="96"/>
      <c r="J13" s="97"/>
    </row>
    <row r="14" spans="1:10" ht="13.5" hidden="1" x14ac:dyDescent="0.25">
      <c r="A14" s="92"/>
      <c r="B14" s="80" t="str">
        <f>IFERROR(VLOOKUP(H14,'[1]Consolidado MP Planta'!$A$2:$M$823,3,0),"")</f>
        <v/>
      </c>
      <c r="C14" s="93">
        <f t="shared" si="1"/>
        <v>0</v>
      </c>
      <c r="D14" s="94" t="str">
        <f>IFERROR(VLOOKUP(H14,'[1]Consolidado MP Planta'!$A$2:$M$823,13,0),"")</f>
        <v/>
      </c>
      <c r="E14" s="94" t="str">
        <f>IFERROR(VLOOKUP(H14,'[1]Consolidado MP Planta'!$A$2:$M$823,12,0),"")</f>
        <v/>
      </c>
      <c r="F14" s="94" t="str">
        <f t="shared" si="2"/>
        <v/>
      </c>
      <c r="G14" s="95" t="str">
        <f t="shared" si="0"/>
        <v/>
      </c>
      <c r="H14" s="96"/>
      <c r="I14" s="96"/>
      <c r="J14" s="97"/>
    </row>
    <row r="15" spans="1:10" ht="14.25" thickBot="1" x14ac:dyDescent="0.3">
      <c r="A15" s="92"/>
      <c r="B15" s="80" t="str">
        <f>IFERROR(VLOOKUP(H15,'[2]ARTICULOS MP PLANTA'!$A$2:$G$589,2,0),"")</f>
        <v/>
      </c>
      <c r="C15" s="93"/>
      <c r="D15" s="94"/>
      <c r="E15" s="94"/>
      <c r="F15" s="94"/>
      <c r="G15" s="95"/>
      <c r="H15" s="96"/>
      <c r="I15" s="96"/>
      <c r="J15" s="97"/>
    </row>
    <row r="16" spans="1:10" ht="26.25" thickBot="1" x14ac:dyDescent="0.25">
      <c r="A16" s="87" t="s">
        <v>92</v>
      </c>
      <c r="B16" s="88" t="s">
        <v>99</v>
      </c>
      <c r="C16" s="88" t="s">
        <v>92</v>
      </c>
      <c r="D16" s="89" t="s">
        <v>94</v>
      </c>
      <c r="E16" s="89" t="s">
        <v>95</v>
      </c>
      <c r="F16" s="89" t="s">
        <v>96</v>
      </c>
      <c r="G16" s="89" t="s">
        <v>97</v>
      </c>
      <c r="H16" s="90" t="s">
        <v>98</v>
      </c>
      <c r="I16" s="91"/>
      <c r="J16" s="97"/>
    </row>
    <row r="17" spans="1:12" ht="13.5" x14ac:dyDescent="0.25">
      <c r="A17" s="255">
        <v>200</v>
      </c>
      <c r="B17" s="256" t="str">
        <f>IFERROR(VLOOKUP(H17,[1]SEMIELABORADOS!$A$2:$M$6000,2,0),"")</f>
        <v>BASE GALLETA P/CHEESE CAKE (KILO)</v>
      </c>
      <c r="C17" s="93">
        <f>+A17</f>
        <v>200</v>
      </c>
      <c r="D17" s="93" t="str">
        <f>IFERROR(VLOOKUP(H17,[1]SEMIELABORADOS!$A$2:$M$6000,6,0),"")</f>
        <v>Gramo</v>
      </c>
      <c r="E17" s="94">
        <f>IFERROR(VLOOKUP(H17,[1]SEMIELABORADOS!$A$2:$H$65536,8,0),"")</f>
        <v>2.0071032502888664</v>
      </c>
      <c r="F17" s="94">
        <f>IFERROR(E17*C17,"")</f>
        <v>401.42065005777329</v>
      </c>
      <c r="G17" s="95">
        <f t="shared" ref="G17:G24" si="3">IFERROR(F17/$F$71,"")</f>
        <v>0.13650773409544784</v>
      </c>
      <c r="H17" s="96" t="s">
        <v>42</v>
      </c>
      <c r="I17" s="96"/>
      <c r="J17" s="97"/>
    </row>
    <row r="18" spans="1:12" ht="13.5" x14ac:dyDescent="0.25">
      <c r="A18" s="271">
        <v>600</v>
      </c>
      <c r="B18" s="272" t="str">
        <f>IFERROR(VLOOKUP(H18,[1]SEMIELABORADOS!$A$2:$M$6000,2,0),"")</f>
        <v>RELLENO CHEESECAKE KILO</v>
      </c>
      <c r="C18" s="93">
        <f t="shared" ref="C18:C24" si="4">+A18</f>
        <v>600</v>
      </c>
      <c r="D18" s="93" t="str">
        <f>IFERROR(VLOOKUP(H18,[1]SEMIELABORADOS!$A$2:$M$6000,6,0),"")</f>
        <v>Gramo</v>
      </c>
      <c r="E18" s="94">
        <f>IFERROR(VLOOKUP(H18,[1]SEMIELABORADOS!$A$2:$H$65536,8,0),"")</f>
        <v>1.8699122498730898</v>
      </c>
      <c r="F18" s="94">
        <f t="shared" ref="F18:F24" si="5">IFERROR(E18*C18,"")</f>
        <v>1121.9473499238538</v>
      </c>
      <c r="G18" s="95">
        <f t="shared" si="3"/>
        <v>0.38153117058241892</v>
      </c>
      <c r="H18" s="96" t="s">
        <v>44</v>
      </c>
      <c r="I18" s="96"/>
      <c r="J18" s="97"/>
    </row>
    <row r="19" spans="1:12" ht="13.5" x14ac:dyDescent="0.25">
      <c r="A19" s="282">
        <v>90</v>
      </c>
      <c r="B19" s="283" t="s">
        <v>56</v>
      </c>
      <c r="C19" s="93">
        <f>+A19</f>
        <v>90</v>
      </c>
      <c r="D19" s="93" t="s">
        <v>142</v>
      </c>
      <c r="E19" s="94">
        <f>+'[3]COSTEO GANACHE'!$E$69</f>
        <v>2.8988425925925929</v>
      </c>
      <c r="F19" s="94">
        <f>IFERROR(E19*C19,"")</f>
        <v>260.89583333333337</v>
      </c>
      <c r="G19" s="95">
        <f t="shared" si="3"/>
        <v>8.8720645134103743E-2</v>
      </c>
      <c r="H19" s="96" t="s">
        <v>55</v>
      </c>
      <c r="I19" s="96"/>
      <c r="J19" s="97"/>
    </row>
    <row r="20" spans="1:12" ht="13.5" hidden="1" x14ac:dyDescent="0.25">
      <c r="A20" s="92">
        <v>0</v>
      </c>
      <c r="B20" s="80" t="str">
        <f>IFERROR(VLOOKUP(H20,[1]SEMIELABORADOS!$A$2:$M$6000,2,0),"")</f>
        <v>CREMA DULCE LECHE KILO</v>
      </c>
      <c r="C20" s="93">
        <f>+A20</f>
        <v>0</v>
      </c>
      <c r="D20" s="93" t="str">
        <f>IFERROR(VLOOKUP(H20,[1]SEMIELABORADOS!$A$2:$M$6000,6,0),"")</f>
        <v>Gramo</v>
      </c>
      <c r="E20" s="94">
        <f>IFERROR(VLOOKUP(H20,[1]SEMIELABORADOS!$A$2:$H$65536,8,0),"")</f>
        <v>1.9863913208163264</v>
      </c>
      <c r="F20" s="94">
        <f>IFERROR(E20*C20,"")</f>
        <v>0</v>
      </c>
      <c r="G20" s="95">
        <f t="shared" si="3"/>
        <v>0</v>
      </c>
      <c r="H20" s="96" t="s">
        <v>143</v>
      </c>
      <c r="I20" s="96"/>
      <c r="J20" s="97"/>
    </row>
    <row r="21" spans="1:12" ht="13.5" x14ac:dyDescent="0.25">
      <c r="A21" s="286"/>
      <c r="B21" s="287"/>
      <c r="C21" s="93"/>
      <c r="D21" s="93"/>
      <c r="E21" s="94"/>
      <c r="F21" s="94"/>
      <c r="G21" s="95"/>
      <c r="H21" s="96"/>
      <c r="I21" s="96"/>
      <c r="J21" s="97"/>
    </row>
    <row r="22" spans="1:12" ht="13.5" hidden="1" x14ac:dyDescent="0.25">
      <c r="A22" s="92"/>
      <c r="B22" s="80" t="str">
        <f>IFERROR(VLOOKUP(H22,[1]SEMIELABORADOS!$A$2:$M$6000,2,0),"")</f>
        <v/>
      </c>
      <c r="C22" s="93">
        <f t="shared" si="4"/>
        <v>0</v>
      </c>
      <c r="D22" s="93" t="str">
        <f>IFERROR(VLOOKUP(H22,[1]SEMIELABORADOS!$A$2:$M$6000,6,0),"")</f>
        <v/>
      </c>
      <c r="E22" s="94" t="str">
        <f>IFERROR(VLOOKUP(H22,[1]SEMIELABORADOS!$A$2:$H$65536,8,0),"")</f>
        <v/>
      </c>
      <c r="F22" s="94" t="str">
        <f t="shared" si="5"/>
        <v/>
      </c>
      <c r="G22" s="95" t="str">
        <f t="shared" si="3"/>
        <v/>
      </c>
      <c r="H22" s="96"/>
      <c r="I22" s="96"/>
      <c r="J22" s="97"/>
    </row>
    <row r="23" spans="1:12" ht="13.5" hidden="1" x14ac:dyDescent="0.25">
      <c r="A23" s="92"/>
      <c r="B23" s="80" t="str">
        <f>IFERROR(VLOOKUP(H23,[1]SEMIELABORADOS!$A$2:$M$6000,2,0),"")</f>
        <v/>
      </c>
      <c r="C23" s="93">
        <f t="shared" si="4"/>
        <v>0</v>
      </c>
      <c r="D23" s="93" t="str">
        <f>IFERROR(VLOOKUP(H23,[1]SEMIELABORADOS!$A$2:$M$6000,6,0),"")</f>
        <v/>
      </c>
      <c r="E23" s="94" t="str">
        <f>IFERROR(VLOOKUP(H23,[1]SEMIELABORADOS!$A$2:$H$65536,8,0),"")</f>
        <v/>
      </c>
      <c r="F23" s="94" t="str">
        <f t="shared" si="5"/>
        <v/>
      </c>
      <c r="G23" s="95" t="str">
        <f t="shared" si="3"/>
        <v/>
      </c>
      <c r="H23" s="96"/>
      <c r="I23" s="96"/>
      <c r="J23" s="97"/>
    </row>
    <row r="24" spans="1:12" ht="13.5" hidden="1" x14ac:dyDescent="0.25">
      <c r="A24" s="92"/>
      <c r="B24" s="80" t="str">
        <f>IFERROR(VLOOKUP(H24,[1]SEMIELABORADOS!$A$2:$M$6000,2,0),"")</f>
        <v/>
      </c>
      <c r="C24" s="93">
        <f t="shared" si="4"/>
        <v>0</v>
      </c>
      <c r="D24" s="93" t="str">
        <f>IFERROR(VLOOKUP(H24,[1]SEMIELABORADOS!$A$2:$M$6000,6,0),"")</f>
        <v/>
      </c>
      <c r="E24" s="94" t="str">
        <f>IFERROR(VLOOKUP(H24,[1]SEMIELABORADOS!$A$2:$H$65536,8,0),"")</f>
        <v/>
      </c>
      <c r="F24" s="94" t="str">
        <f t="shared" si="5"/>
        <v/>
      </c>
      <c r="G24" s="95" t="str">
        <f t="shared" si="3"/>
        <v/>
      </c>
      <c r="H24" s="96"/>
      <c r="I24" s="96"/>
      <c r="J24" s="97"/>
    </row>
    <row r="25" spans="1:12" ht="14.25" thickBot="1" x14ac:dyDescent="0.3">
      <c r="A25" s="92"/>
      <c r="C25" s="93"/>
      <c r="D25" s="93"/>
      <c r="E25" s="94"/>
      <c r="F25" s="94"/>
      <c r="G25" s="95"/>
      <c r="H25" s="96"/>
      <c r="I25" s="96"/>
      <c r="J25" s="97"/>
    </row>
    <row r="26" spans="1:12" ht="26.25" thickBot="1" x14ac:dyDescent="0.25">
      <c r="A26" s="87" t="s">
        <v>92</v>
      </c>
      <c r="B26" s="88" t="s">
        <v>25</v>
      </c>
      <c r="C26" s="88" t="s">
        <v>92</v>
      </c>
      <c r="D26" s="89" t="s">
        <v>94</v>
      </c>
      <c r="E26" s="89" t="s">
        <v>95</v>
      </c>
      <c r="F26" s="89" t="s">
        <v>96</v>
      </c>
      <c r="G26" s="89" t="s">
        <v>97</v>
      </c>
      <c r="H26" s="90" t="s">
        <v>98</v>
      </c>
      <c r="I26" s="91"/>
    </row>
    <row r="27" spans="1:12" ht="13.5" x14ac:dyDescent="0.25">
      <c r="A27" s="92">
        <v>1</v>
      </c>
      <c r="B27" s="98" t="str">
        <f>IFERROR(VLOOKUP(H27,'[1]Consolidado MP Planta'!$A$2:$M$823,3,0),"")</f>
        <v>ETIQUETA IMP. SPOON MEDIANA V-273 (UND)</v>
      </c>
      <c r="C27" s="93">
        <f t="shared" ref="C27:C37" si="6">+A27</f>
        <v>1</v>
      </c>
      <c r="D27" s="94" t="str">
        <f>IFERROR(VLOOKUP(H27,'[1]Consolidado MP Planta'!$A$2:$M$823,13,0),"")</f>
        <v>Und</v>
      </c>
      <c r="E27" s="94">
        <f>IFERROR(VLOOKUP(H27,'[1]Consolidado MP Planta'!$A$2:$M$823,12,0),"")</f>
        <v>32.49</v>
      </c>
      <c r="F27" s="94">
        <f t="shared" ref="F27:F37" si="7">IFERROR(C27*E27,"")</f>
        <v>32.49</v>
      </c>
      <c r="G27" s="95">
        <f t="shared" ref="G27:G37" si="8">IFERROR(F27/$F$71,"")</f>
        <v>1.1048600215566355E-2</v>
      </c>
      <c r="H27" s="99" t="s">
        <v>145</v>
      </c>
      <c r="I27" s="99"/>
      <c r="J27" s="97"/>
      <c r="K27" s="451"/>
      <c r="L27" s="451"/>
    </row>
    <row r="28" spans="1:12" ht="13.5" x14ac:dyDescent="0.25">
      <c r="A28" s="92">
        <v>60</v>
      </c>
      <c r="B28" s="98" t="str">
        <f>IFERROR(VLOOKUP(H28,'[1]Consolidado MP Planta'!$A$2:$M$823,3,0),"")</f>
        <v>CINTA ADHESIVA TRANSPARENT 2*100 M (UND)</v>
      </c>
      <c r="C28" s="93">
        <f>+A28</f>
        <v>60</v>
      </c>
      <c r="D28" s="94" t="str">
        <f>IFERROR(VLOOKUP(H28,'[1]Consolidado MP Planta'!$A$2:$M$823,13,0),"")</f>
        <v>Cm</v>
      </c>
      <c r="E28" s="94">
        <f>IFERROR(VLOOKUP(H28,'[1]Consolidado MP Planta'!$A$2:$M$823,12,0),"")</f>
        <v>0.14499999999999999</v>
      </c>
      <c r="F28" s="94">
        <f>IFERROR(C28*E28,"")</f>
        <v>8.6999999999999993</v>
      </c>
      <c r="G28" s="95">
        <f t="shared" si="8"/>
        <v>2.9585356071230307E-3</v>
      </c>
      <c r="H28" s="99" t="s">
        <v>146</v>
      </c>
      <c r="I28" s="99"/>
      <c r="J28" s="97"/>
      <c r="K28" s="78"/>
      <c r="L28" s="78"/>
    </row>
    <row r="29" spans="1:12" ht="13.5" x14ac:dyDescent="0.25">
      <c r="A29" s="92">
        <v>1</v>
      </c>
      <c r="B29" s="98" t="str">
        <f>IFERROR(VLOOKUP(H29,'[1]Consolidado MP Planta'!$A$2:$M$823,3,0),"")</f>
        <v>ORLA #9  DORADA (UND)</v>
      </c>
      <c r="C29" s="93">
        <f>+A29</f>
        <v>1</v>
      </c>
      <c r="D29" s="94" t="str">
        <f>IFERROR(VLOOKUP(H29,'[1]Consolidado MP Planta'!$A$2:$M$823,13,0),"")</f>
        <v>Und</v>
      </c>
      <c r="E29" s="94">
        <f>IFERROR(VLOOKUP(H29,'[1]Consolidado MP Planta'!$A$2:$M$823,12,0),"")</f>
        <v>105</v>
      </c>
      <c r="F29" s="94">
        <f>IFERROR(C29*E29,"")</f>
        <v>105</v>
      </c>
      <c r="G29" s="95">
        <f t="shared" si="8"/>
        <v>3.570646422389865E-2</v>
      </c>
      <c r="H29" s="99" t="s">
        <v>147</v>
      </c>
      <c r="I29" s="99"/>
      <c r="J29" s="97"/>
      <c r="K29" s="78"/>
      <c r="L29" s="78"/>
    </row>
    <row r="30" spans="1:12" ht="13.5" x14ac:dyDescent="0.25">
      <c r="A30" s="92">
        <v>1</v>
      </c>
      <c r="B30" s="98" t="str">
        <f>IFERROR(VLOOKUP(H30,'[1]Consolidado MP Planta'!$A$2:$M$823,3,0),"")</f>
        <v>QUEQUERA RED C/BASE ALTA 9" (CAJA:100 U)</v>
      </c>
      <c r="C30" s="93">
        <f>+A30</f>
        <v>1</v>
      </c>
      <c r="D30" s="94" t="str">
        <f>IFERROR(VLOOKUP(H30,'[1]Consolidado MP Planta'!$A$2:$M$823,13,0),"")</f>
        <v>Und</v>
      </c>
      <c r="E30" s="94">
        <f>IFERROR(VLOOKUP(H30,'[1]Consolidado MP Planta'!$A$2:$M$823,12,0),"")</f>
        <v>244.36</v>
      </c>
      <c r="F30" s="94">
        <f>IFERROR(C30*E30,"")</f>
        <v>244.36</v>
      </c>
      <c r="G30" s="95">
        <f t="shared" si="8"/>
        <v>8.3097443788113096E-2</v>
      </c>
      <c r="H30" s="99" t="s">
        <v>148</v>
      </c>
      <c r="I30" s="99"/>
      <c r="J30" s="97"/>
      <c r="K30" s="78"/>
      <c r="L30" s="78"/>
    </row>
    <row r="31" spans="1:12" ht="13.5" x14ac:dyDescent="0.25">
      <c r="A31" s="92">
        <v>1</v>
      </c>
      <c r="B31" s="98" t="str">
        <f>IFERROR(VLOOKUP(H31,'[1]Consolidado MP Planta'!$A$2:$M$823,3,0),"")</f>
        <v>ETIQUETA BLANCA 2 5/8X1 15/16 (UND)</v>
      </c>
      <c r="C31" s="93">
        <f>+A31</f>
        <v>1</v>
      </c>
      <c r="D31" s="94" t="str">
        <f>IFERROR(VLOOKUP(H31,'[1]Consolidado MP Planta'!$A$2:$M$823,13,0),"")</f>
        <v>Und</v>
      </c>
      <c r="E31" s="94">
        <f>IFERROR(VLOOKUP(H31,'[1]Consolidado MP Planta'!$A$2:$M$823,12,0),"")</f>
        <v>2.1280000000000001</v>
      </c>
      <c r="F31" s="94">
        <f>IFERROR(C31*E31,"")</f>
        <v>2.1280000000000001</v>
      </c>
      <c r="G31" s="95">
        <f t="shared" si="8"/>
        <v>7.2365100827101263E-4</v>
      </c>
      <c r="H31" s="99" t="s">
        <v>151</v>
      </c>
      <c r="I31" s="99"/>
      <c r="J31" s="97"/>
      <c r="K31" s="78"/>
      <c r="L31" s="78"/>
    </row>
    <row r="32" spans="1:12" ht="13.5" x14ac:dyDescent="0.25">
      <c r="A32" s="92">
        <v>1</v>
      </c>
      <c r="B32" s="98" t="str">
        <f>IFERROR(VLOOKUP(H32,'[1]Consolidado MP Planta'!$A$2:$M$823,3,0),"")</f>
        <v>ETIQUETA BLANCA R-153 (UND)</v>
      </c>
      <c r="C32" s="93">
        <f>+A32</f>
        <v>1</v>
      </c>
      <c r="D32" s="94" t="str">
        <f>IFERROR(VLOOKUP(H32,'[1]Consolidado MP Planta'!$A$2:$M$823,13,0),"")</f>
        <v>Und</v>
      </c>
      <c r="E32" s="94">
        <f>IFERROR(VLOOKUP(H32,'[1]Consolidado MP Planta'!$A$2:$M$823,12,0),"")</f>
        <v>0.39</v>
      </c>
      <c r="F32" s="94">
        <f>IFERROR(C32*E32,"")</f>
        <v>0.39</v>
      </c>
      <c r="G32" s="95">
        <f t="shared" si="8"/>
        <v>1.3262400997448071E-4</v>
      </c>
      <c r="H32" s="99" t="s">
        <v>149</v>
      </c>
      <c r="I32" s="99"/>
      <c r="J32" s="97"/>
      <c r="K32" s="78"/>
      <c r="L32" s="78"/>
    </row>
    <row r="33" spans="1:12" ht="13.5" x14ac:dyDescent="0.25">
      <c r="A33" s="92">
        <v>1</v>
      </c>
      <c r="B33" s="98" t="str">
        <f>IFERROR(VLOOKUP(H33,'[1]Consolidado MP Planta'!$A$2:$M$823,3,0),"")</f>
        <v>ETIQ.FECHA VENCIMIENTO AMARILLO (ROLLO)</v>
      </c>
      <c r="C33" s="93">
        <f t="shared" si="6"/>
        <v>1</v>
      </c>
      <c r="D33" s="94" t="str">
        <f>IFERROR(VLOOKUP(H33,'[1]Consolidado MP Planta'!$A$2:$M$823,13,0),"")</f>
        <v>Und</v>
      </c>
      <c r="E33" s="94">
        <f>IFERROR(VLOOKUP(H33,'[1]Consolidado MP Planta'!$A$2:$M$823,12,0),"")</f>
        <v>0.2</v>
      </c>
      <c r="F33" s="94">
        <f t="shared" si="7"/>
        <v>0.2</v>
      </c>
      <c r="G33" s="95">
        <f t="shared" si="8"/>
        <v>6.8012312807426011E-5</v>
      </c>
      <c r="H33" s="99" t="s">
        <v>150</v>
      </c>
      <c r="I33" s="99"/>
      <c r="J33" s="97"/>
      <c r="K33" s="451"/>
      <c r="L33" s="451"/>
    </row>
    <row r="34" spans="1:12" ht="13.5" hidden="1" x14ac:dyDescent="0.25">
      <c r="A34" s="92"/>
      <c r="B34" s="98" t="str">
        <f>IFERROR(VLOOKUP(H34,'[1]Consolidado MP Planta'!$A$2:$M$823,3,0),"")</f>
        <v/>
      </c>
      <c r="C34" s="93">
        <f t="shared" si="6"/>
        <v>0</v>
      </c>
      <c r="D34" s="94" t="str">
        <f>IFERROR(VLOOKUP(H34,'[1]Consolidado MP Planta'!$A$2:$M$823,13,0),"")</f>
        <v/>
      </c>
      <c r="E34" s="94" t="str">
        <f>IFERROR(VLOOKUP(H34,'[1]Consolidado MP Planta'!$A$2:$M$823,12,0),"")</f>
        <v/>
      </c>
      <c r="F34" s="94" t="str">
        <f t="shared" si="7"/>
        <v/>
      </c>
      <c r="G34" s="95" t="str">
        <f t="shared" si="8"/>
        <v/>
      </c>
      <c r="H34" s="99"/>
      <c r="I34" s="99"/>
      <c r="J34" s="97"/>
      <c r="K34" s="451"/>
      <c r="L34" s="451"/>
    </row>
    <row r="35" spans="1:12" ht="13.5" hidden="1" x14ac:dyDescent="0.25">
      <c r="A35" s="92"/>
      <c r="B35" s="98" t="str">
        <f>IFERROR(VLOOKUP(H35,'[1]Consolidado MP Planta'!$A$2:$M$823,3,0),"")</f>
        <v/>
      </c>
      <c r="C35" s="93">
        <f t="shared" si="6"/>
        <v>0</v>
      </c>
      <c r="D35" s="94" t="str">
        <f>IFERROR(VLOOKUP(H35,'[1]Consolidado MP Planta'!$A$2:$M$823,13,0),"")</f>
        <v/>
      </c>
      <c r="E35" s="94" t="str">
        <f>IFERROR(VLOOKUP(H35,'[1]Consolidado MP Planta'!$A$2:$M$823,12,0),"")</f>
        <v/>
      </c>
      <c r="F35" s="94" t="str">
        <f t="shared" si="7"/>
        <v/>
      </c>
      <c r="G35" s="95" t="str">
        <f t="shared" si="8"/>
        <v/>
      </c>
      <c r="H35" s="99"/>
      <c r="I35" s="99"/>
      <c r="J35" s="97"/>
      <c r="K35" s="451"/>
      <c r="L35" s="451"/>
    </row>
    <row r="36" spans="1:12" ht="13.5" hidden="1" x14ac:dyDescent="0.25">
      <c r="A36" s="92"/>
      <c r="B36" s="98" t="str">
        <f>IFERROR(VLOOKUP(H36,'[1]Consolidado MP Planta'!$A$2:$M$823,3,0),"")</f>
        <v/>
      </c>
      <c r="C36" s="93">
        <f t="shared" si="6"/>
        <v>0</v>
      </c>
      <c r="D36" s="94" t="str">
        <f>IFERROR(VLOOKUP(H36,'[1]Consolidado MP Planta'!$A$2:$M$823,13,0),"")</f>
        <v/>
      </c>
      <c r="E36" s="94" t="str">
        <f>IFERROR(VLOOKUP(H36,'[1]Consolidado MP Planta'!$A$2:$M$823,12,0),"")</f>
        <v/>
      </c>
      <c r="F36" s="94" t="str">
        <f t="shared" si="7"/>
        <v/>
      </c>
      <c r="G36" s="95" t="str">
        <f t="shared" si="8"/>
        <v/>
      </c>
      <c r="H36" s="99"/>
      <c r="I36" s="99"/>
      <c r="J36" s="97"/>
      <c r="K36" s="100"/>
      <c r="L36" s="101"/>
    </row>
    <row r="37" spans="1:12" ht="13.5" hidden="1" x14ac:dyDescent="0.25">
      <c r="A37" s="92"/>
      <c r="B37" s="98" t="str">
        <f>IFERROR(VLOOKUP(H37,'[1]Consolidado MP Planta'!$A$2:$M$823,3,0),"")</f>
        <v/>
      </c>
      <c r="C37" s="93">
        <f t="shared" si="6"/>
        <v>0</v>
      </c>
      <c r="D37" s="94" t="str">
        <f>IFERROR(VLOOKUP(H37,'[1]Consolidado MP Planta'!$A$2:$M$823,13,0),"")</f>
        <v/>
      </c>
      <c r="E37" s="94" t="str">
        <f>IFERROR(VLOOKUP(H37,'[1]Consolidado MP Planta'!$A$2:$M$823,12,0),"")</f>
        <v/>
      </c>
      <c r="F37" s="94" t="str">
        <f t="shared" si="7"/>
        <v/>
      </c>
      <c r="G37" s="95" t="str">
        <f t="shared" si="8"/>
        <v/>
      </c>
      <c r="H37" s="99"/>
      <c r="I37" s="99"/>
      <c r="J37" s="97"/>
    </row>
    <row r="38" spans="1:12" ht="14.25" thickBot="1" x14ac:dyDescent="0.3">
      <c r="A38" s="92"/>
      <c r="B38" s="98"/>
      <c r="C38" s="93"/>
      <c r="D38" s="94"/>
      <c r="E38" s="94"/>
      <c r="F38" s="94"/>
      <c r="G38" s="95"/>
      <c r="H38" s="99"/>
      <c r="I38" s="99"/>
      <c r="J38" s="97"/>
    </row>
    <row r="39" spans="1:12" ht="26.25" thickBot="1" x14ac:dyDescent="0.25">
      <c r="A39" s="87" t="s">
        <v>92</v>
      </c>
      <c r="B39" s="88" t="s">
        <v>100</v>
      </c>
      <c r="C39" s="88" t="s">
        <v>92</v>
      </c>
      <c r="D39" s="89" t="s">
        <v>94</v>
      </c>
      <c r="E39" s="89" t="s">
        <v>95</v>
      </c>
      <c r="F39" s="89" t="s">
        <v>96</v>
      </c>
      <c r="G39" s="89" t="s">
        <v>97</v>
      </c>
      <c r="H39" s="90" t="s">
        <v>98</v>
      </c>
      <c r="I39" s="99"/>
      <c r="J39" s="97"/>
    </row>
    <row r="40" spans="1:12" ht="13.5" x14ac:dyDescent="0.25">
      <c r="A40" s="92">
        <f t="shared" ref="A40:A46" si="9">+A17</f>
        <v>200</v>
      </c>
      <c r="B40" s="98" t="str">
        <f>IFERROR(VLOOKUP(H40,[1]SEMIELABORADOS!$A$2:$M$6000,2,0),"")</f>
        <v>BASE GALLETA P/CHEESE CAKE (KILO)</v>
      </c>
      <c r="C40" s="93">
        <f>+A40</f>
        <v>200</v>
      </c>
      <c r="D40" s="94" t="str">
        <f>IFERROR(VLOOKUP(H40,[1]SEMIELABORADOS!$A$2:$M$6000,6,0),"")</f>
        <v>Gramo</v>
      </c>
      <c r="E40" s="94">
        <f>IFERROR(VLOOKUP(H40,[1]SEMIELABORADOS!$A$2:$M$65536,10,0),"")</f>
        <v>1.1524699119903916E-3</v>
      </c>
      <c r="F40" s="94">
        <f>IFERROR(E40*C40,"")</f>
        <v>0.23049398239807831</v>
      </c>
      <c r="G40" s="95">
        <f t="shared" ref="G40:G46" si="10">IFERROR(F40/$F$71,"")</f>
        <v>7.8382144155437217E-5</v>
      </c>
      <c r="H40" s="99" t="s">
        <v>42</v>
      </c>
      <c r="I40" s="99"/>
      <c r="J40" s="97"/>
    </row>
    <row r="41" spans="1:12" ht="13.5" x14ac:dyDescent="0.25">
      <c r="A41" s="92">
        <f t="shared" si="9"/>
        <v>600</v>
      </c>
      <c r="B41" s="98" t="str">
        <f>IFERROR(VLOOKUP(H41,[1]SEMIELABORADOS!$A$2:$M$6000,2,0),"")</f>
        <v>RELLENO CHEESECAKE KILO</v>
      </c>
      <c r="C41" s="93">
        <f t="shared" ref="C41:C46" si="11">+A41</f>
        <v>600</v>
      </c>
      <c r="D41" s="94" t="str">
        <f>IFERROR(VLOOKUP(H41,[1]SEMIELABORADOS!$A$2:$M$6000,6,0),"")</f>
        <v>Gramo</v>
      </c>
      <c r="E41" s="94">
        <f>IFERROR(VLOOKUP(H41,[1]SEMIELABORADOS!$A$2:$M$65536,10,0),"")</f>
        <v>7.4358974358974352E-6</v>
      </c>
      <c r="F41" s="94">
        <f t="shared" ref="F41:F46" si="12">IFERROR(E41*C41,"")</f>
        <v>4.4615384615384612E-3</v>
      </c>
      <c r="G41" s="95">
        <f t="shared" si="10"/>
        <v>1.5171977472425799E-6</v>
      </c>
      <c r="H41" s="99" t="s">
        <v>44</v>
      </c>
      <c r="I41" s="99"/>
      <c r="J41" s="97"/>
    </row>
    <row r="42" spans="1:12" ht="13.5" x14ac:dyDescent="0.25">
      <c r="A42" s="92">
        <f t="shared" si="9"/>
        <v>90</v>
      </c>
      <c r="B42" s="98" t="s">
        <v>56</v>
      </c>
      <c r="C42" s="93">
        <f t="shared" si="11"/>
        <v>90</v>
      </c>
      <c r="D42" s="94" t="s">
        <v>142</v>
      </c>
      <c r="E42" s="94">
        <f>+'[3]COSTEO GANACHE'!$E$76</f>
        <v>3.2348958333333335E-3</v>
      </c>
      <c r="F42" s="94">
        <f t="shared" si="12"/>
        <v>0.29114062500000004</v>
      </c>
      <c r="G42" s="95">
        <f t="shared" si="10"/>
        <v>9.9005736292247568E-5</v>
      </c>
      <c r="H42" s="99" t="s">
        <v>55</v>
      </c>
      <c r="I42" s="99"/>
      <c r="J42" s="97"/>
    </row>
    <row r="43" spans="1:12" ht="13.5" x14ac:dyDescent="0.25">
      <c r="A43" s="92">
        <f t="shared" si="9"/>
        <v>0</v>
      </c>
      <c r="B43" s="98" t="str">
        <f>IFERROR(VLOOKUP(H43,[1]SEMIELABORADOS!$A$2:$M$6000,2,0),"")</f>
        <v>CREMA DULCE LECHE KILO</v>
      </c>
      <c r="C43" s="93">
        <f>+A43</f>
        <v>0</v>
      </c>
      <c r="D43" s="94" t="str">
        <f>IFERROR(VLOOKUP(H43,[1]SEMIELABORADOS!$A$2:$M$6000,6,0),"")</f>
        <v>Gramo</v>
      </c>
      <c r="E43" s="94">
        <f>IFERROR(VLOOKUP(H43,[1]SEMIELABORADOS!$A$2:$M$65536,10,0),"")</f>
        <v>8.5119999999999998E-5</v>
      </c>
      <c r="F43" s="94">
        <f>IFERROR(E43*C43,"")</f>
        <v>0</v>
      </c>
      <c r="G43" s="95">
        <f t="shared" si="10"/>
        <v>0</v>
      </c>
      <c r="H43" s="99" t="s">
        <v>143</v>
      </c>
      <c r="I43" s="99"/>
      <c r="J43" s="97"/>
    </row>
    <row r="44" spans="1:12" ht="13.5" x14ac:dyDescent="0.25">
      <c r="A44" s="92">
        <f t="shared" si="9"/>
        <v>0</v>
      </c>
      <c r="B44" s="98" t="s">
        <v>60</v>
      </c>
      <c r="C44" s="93">
        <f>+A44</f>
        <v>0</v>
      </c>
      <c r="D44" s="94" t="s">
        <v>142</v>
      </c>
      <c r="E44" s="94">
        <f>+'costeo brittle'!E76</f>
        <v>3.7837907200000007E-2</v>
      </c>
      <c r="F44" s="94">
        <f>IFERROR(E44*C44,"")</f>
        <v>0</v>
      </c>
      <c r="G44" s="95">
        <f t="shared" si="10"/>
        <v>0</v>
      </c>
      <c r="H44" s="99"/>
      <c r="I44" s="99"/>
      <c r="J44" s="97"/>
    </row>
    <row r="45" spans="1:12" ht="13.5" hidden="1" x14ac:dyDescent="0.25">
      <c r="A45" s="92">
        <f t="shared" si="9"/>
        <v>0</v>
      </c>
      <c r="B45" s="98" t="str">
        <f>IFERROR(VLOOKUP(H45,[1]SEMIELABORADOS!$A$2:$M$6000,2,0),"")</f>
        <v/>
      </c>
      <c r="C45" s="93">
        <f t="shared" si="11"/>
        <v>0</v>
      </c>
      <c r="D45" s="94" t="str">
        <f>IFERROR(VLOOKUP(H45,[1]SEMIELABORADOS!$A$2:$M$6000,6,0),"")</f>
        <v/>
      </c>
      <c r="E45" s="94" t="str">
        <f>IFERROR(VLOOKUP(H45,[1]SEMIELABORADOS!$A$2:$M$65536,10,0),"")</f>
        <v/>
      </c>
      <c r="F45" s="94" t="str">
        <f t="shared" si="12"/>
        <v/>
      </c>
      <c r="G45" s="95" t="str">
        <f t="shared" si="10"/>
        <v/>
      </c>
      <c r="H45" s="99"/>
      <c r="I45" s="99"/>
      <c r="J45" s="97"/>
    </row>
    <row r="46" spans="1:12" ht="13.5" hidden="1" x14ac:dyDescent="0.25">
      <c r="A46" s="92">
        <f t="shared" si="9"/>
        <v>0</v>
      </c>
      <c r="B46" s="98" t="str">
        <f>IFERROR(VLOOKUP(H46,[1]SEMIELABORADOS!$A$2:$M$6000,2,0),"")</f>
        <v/>
      </c>
      <c r="C46" s="93">
        <f t="shared" si="11"/>
        <v>0</v>
      </c>
      <c r="D46" s="94" t="str">
        <f>IFERROR(VLOOKUP(H46,[1]SEMIELABORADOS!$A$2:$M$6000,6,0),"")</f>
        <v/>
      </c>
      <c r="E46" s="94" t="str">
        <f>IFERROR(VLOOKUP(H46,[1]SEMIELABORADOS!$A$2:$M$65536,10,0),"")</f>
        <v/>
      </c>
      <c r="F46" s="94" t="str">
        <f t="shared" si="12"/>
        <v/>
      </c>
      <c r="G46" s="95" t="str">
        <f t="shared" si="10"/>
        <v/>
      </c>
      <c r="H46" s="99"/>
      <c r="I46" s="99"/>
      <c r="J46" s="97"/>
    </row>
    <row r="47" spans="1:12" ht="14.25" thickBot="1" x14ac:dyDescent="0.3">
      <c r="A47" s="92"/>
      <c r="B47" s="98"/>
      <c r="C47" s="93"/>
      <c r="D47" s="94"/>
      <c r="E47" s="94"/>
      <c r="F47" s="94"/>
      <c r="G47" s="95"/>
      <c r="H47" s="99"/>
      <c r="I47" s="99"/>
      <c r="J47" s="97"/>
    </row>
    <row r="48" spans="1:12" ht="26.25" thickBot="1" x14ac:dyDescent="0.25">
      <c r="A48" s="87" t="s">
        <v>92</v>
      </c>
      <c r="B48" s="88" t="s">
        <v>101</v>
      </c>
      <c r="C48" s="88" t="s">
        <v>92</v>
      </c>
      <c r="D48" s="89" t="s">
        <v>94</v>
      </c>
      <c r="E48" s="89" t="s">
        <v>95</v>
      </c>
      <c r="F48" s="89" t="s">
        <v>96</v>
      </c>
      <c r="G48" s="89" t="s">
        <v>97</v>
      </c>
      <c r="H48" s="90" t="s">
        <v>98</v>
      </c>
      <c r="I48" s="91"/>
      <c r="J48" s="97"/>
    </row>
    <row r="49" spans="1:17" ht="13.5" x14ac:dyDescent="0.25">
      <c r="A49" s="92">
        <f>+A40</f>
        <v>200</v>
      </c>
      <c r="B49" s="98" t="str">
        <f>IFERROR(VLOOKUP(H49,[1]SEMIELABORADOS!$A$2:$M$6000,2,0),"")</f>
        <v>BASE GALLETA P/CHEESE CAKE (KILO)</v>
      </c>
      <c r="C49" s="93">
        <f>+A49</f>
        <v>200</v>
      </c>
      <c r="D49" s="94" t="str">
        <f>IFERROR(VLOOKUP(H49,[1]SEMIELABORADOS!$A$2:$M$6000,6,0),"")</f>
        <v>Gramo</v>
      </c>
      <c r="E49" s="94">
        <f>IFERROR(VLOOKUP(H49,[1]SEMIELABORADOS!$A$2:$M$65536,12,0),"")</f>
        <v>0.20872229760513178</v>
      </c>
      <c r="F49" s="94">
        <f>IFERROR(E49*C49,"")</f>
        <v>41.744459521026357</v>
      </c>
      <c r="G49" s="95">
        <f>IFERROR(F49/$F$71,"")</f>
        <v>1.4195686194604885E-2</v>
      </c>
      <c r="H49" s="99" t="s">
        <v>42</v>
      </c>
      <c r="I49" s="91"/>
      <c r="J49" s="97"/>
    </row>
    <row r="50" spans="1:17" ht="13.5" x14ac:dyDescent="0.25">
      <c r="A50" s="92">
        <f t="shared" ref="A50:A55" si="13">+A41</f>
        <v>600</v>
      </c>
      <c r="B50" s="98" t="str">
        <f>IFERROR(VLOOKUP(H50,[1]SEMIELABORADOS!$A$2:$M$6000,2,0),"")</f>
        <v>RELLENO CHEESECAKE KILO</v>
      </c>
      <c r="C50" s="93">
        <f t="shared" ref="C50:C55" si="14">+A50</f>
        <v>600</v>
      </c>
      <c r="D50" s="94" t="str">
        <f>IFERROR(VLOOKUP(H50,[1]SEMIELABORADOS!$A$2:$M$6000,6,0),"")</f>
        <v>Gramo</v>
      </c>
      <c r="E50" s="94">
        <f>IFERROR(VLOOKUP(H50,[1]SEMIELABORADOS!$A$2:$M$65536,12,0),"")</f>
        <v>9.8350266666666672E-2</v>
      </c>
      <c r="F50" s="94">
        <f t="shared" ref="F50:F55" si="15">IFERROR(E50*C50,"")</f>
        <v>59.010160000000006</v>
      </c>
      <c r="G50" s="95">
        <f t="shared" ref="G50:G55" si="16">IFERROR(F50/$F$71,"")</f>
        <v>2.0067087303681289E-2</v>
      </c>
      <c r="H50" s="99" t="s">
        <v>44</v>
      </c>
      <c r="I50" s="91"/>
      <c r="J50" s="97"/>
      <c r="M50" s="102"/>
    </row>
    <row r="51" spans="1:17" ht="13.5" x14ac:dyDescent="0.25">
      <c r="A51" s="92">
        <f t="shared" si="13"/>
        <v>90</v>
      </c>
      <c r="B51" s="98" t="s">
        <v>56</v>
      </c>
      <c r="C51" s="93">
        <f t="shared" si="14"/>
        <v>90</v>
      </c>
      <c r="D51" s="94" t="s">
        <v>142</v>
      </c>
      <c r="E51" s="94">
        <f>+'[3]COSTEO GANACHE'!$E$74</f>
        <v>0.11458333333333333</v>
      </c>
      <c r="F51" s="94">
        <f t="shared" si="15"/>
        <v>10.3125</v>
      </c>
      <c r="G51" s="95">
        <f t="shared" si="16"/>
        <v>3.5068848791329032E-3</v>
      </c>
      <c r="H51" s="99" t="s">
        <v>55</v>
      </c>
      <c r="I51" s="91"/>
      <c r="J51" s="97"/>
    </row>
    <row r="52" spans="1:17" ht="13.5" x14ac:dyDescent="0.25">
      <c r="A52" s="92">
        <f t="shared" si="13"/>
        <v>0</v>
      </c>
      <c r="B52" s="98" t="str">
        <f>IFERROR(VLOOKUP(H52,[1]SEMIELABORADOS!$A$2:$M$6000,2,0),"")</f>
        <v>CREMA DULCE LECHE KILO</v>
      </c>
      <c r="C52" s="93">
        <f t="shared" si="14"/>
        <v>0</v>
      </c>
      <c r="D52" s="94" t="str">
        <f>IFERROR(VLOOKUP(H52,[1]SEMIELABORADOS!$A$2:$M$6000,6,0),"")</f>
        <v>Gramo</v>
      </c>
      <c r="E52" s="94">
        <f>IFERROR(VLOOKUP(H52,[1]SEMIELABORADOS!$A$2:$M$65536,12,0),"")</f>
        <v>1.1219999999999999E-2</v>
      </c>
      <c r="F52" s="94">
        <f t="shared" si="15"/>
        <v>0</v>
      </c>
      <c r="G52" s="95">
        <f t="shared" si="16"/>
        <v>0</v>
      </c>
      <c r="H52" s="99" t="s">
        <v>143</v>
      </c>
      <c r="I52" s="91"/>
      <c r="J52" s="97"/>
    </row>
    <row r="53" spans="1:17" ht="13.5" x14ac:dyDescent="0.25">
      <c r="A53" s="92">
        <f t="shared" si="13"/>
        <v>0</v>
      </c>
      <c r="B53" s="98" t="s">
        <v>60</v>
      </c>
      <c r="C53" s="93">
        <f t="shared" si="14"/>
        <v>0</v>
      </c>
      <c r="D53" s="94" t="s">
        <v>142</v>
      </c>
      <c r="E53" s="94">
        <f>+'costeo brittle'!E74</f>
        <v>0.56981320000000002</v>
      </c>
      <c r="F53" s="94">
        <f t="shared" si="15"/>
        <v>0</v>
      </c>
      <c r="G53" s="95">
        <f t="shared" si="16"/>
        <v>0</v>
      </c>
      <c r="H53" s="99"/>
      <c r="I53" s="91"/>
      <c r="J53" s="97"/>
    </row>
    <row r="54" spans="1:17" ht="13.5" hidden="1" x14ac:dyDescent="0.25">
      <c r="A54" s="92">
        <f t="shared" si="13"/>
        <v>0</v>
      </c>
      <c r="B54" s="98" t="str">
        <f>IFERROR(VLOOKUP(H54,[1]SEMIELABORADOS!$A$2:$M$6000,2,0),"")</f>
        <v/>
      </c>
      <c r="C54" s="93">
        <f t="shared" si="14"/>
        <v>0</v>
      </c>
      <c r="D54" s="94" t="str">
        <f>IFERROR(VLOOKUP(H54,[1]SEMIELABORADOS!$A$2:$M$6000,6,0),"")</f>
        <v/>
      </c>
      <c r="E54" s="94" t="str">
        <f>IFERROR(VLOOKUP(H54,[1]SEMIELABORADOS!$A$2:$M$65536,12,0),"")</f>
        <v/>
      </c>
      <c r="F54" s="94" t="str">
        <f t="shared" si="15"/>
        <v/>
      </c>
      <c r="G54" s="95" t="str">
        <f t="shared" si="16"/>
        <v/>
      </c>
      <c r="H54" s="99"/>
      <c r="I54" s="91"/>
      <c r="J54" s="97"/>
    </row>
    <row r="55" spans="1:17" ht="13.5" hidden="1" x14ac:dyDescent="0.25">
      <c r="A55" s="92">
        <f t="shared" si="13"/>
        <v>0</v>
      </c>
      <c r="B55" s="98" t="str">
        <f>IFERROR(VLOOKUP(H55,[1]SEMIELABORADOS!$A$2:$M$6000,2,0),"")</f>
        <v/>
      </c>
      <c r="C55" s="93">
        <f t="shared" si="14"/>
        <v>0</v>
      </c>
      <c r="D55" s="94" t="str">
        <f>IFERROR(VLOOKUP(H55,[1]SEMIELABORADOS!$A$2:$M$6000,6,0),"")</f>
        <v/>
      </c>
      <c r="E55" s="94" t="str">
        <f>IFERROR(VLOOKUP(H55,[1]SEMIELABORADOS!$A$2:$M$65536,12,0),"")</f>
        <v/>
      </c>
      <c r="F55" s="94" t="str">
        <f t="shared" si="15"/>
        <v/>
      </c>
      <c r="G55" s="95" t="str">
        <f t="shared" si="16"/>
        <v/>
      </c>
      <c r="H55" s="98"/>
      <c r="I55" s="91"/>
      <c r="J55" s="97"/>
    </row>
    <row r="56" spans="1:17" ht="13.5" x14ac:dyDescent="0.25">
      <c r="A56" s="92">
        <v>1</v>
      </c>
      <c r="B56" s="98" t="s">
        <v>102</v>
      </c>
      <c r="C56" s="93">
        <f>+A56</f>
        <v>1</v>
      </c>
      <c r="D56" s="93" t="s">
        <v>103</v>
      </c>
      <c r="E56" s="94">
        <f>+F70</f>
        <v>275</v>
      </c>
      <c r="F56" s="94">
        <f>IFERROR(C56*E56,"")</f>
        <v>275</v>
      </c>
      <c r="G56" s="95">
        <f>IFERROR(F56/$F$71,"")</f>
        <v>9.3516930110210755E-2</v>
      </c>
      <c r="H56" s="103"/>
      <c r="I56" s="103"/>
      <c r="J56" s="97"/>
    </row>
    <row r="57" spans="1:17" ht="14.25" thickBot="1" x14ac:dyDescent="0.3">
      <c r="A57" s="92"/>
      <c r="B57" s="98"/>
      <c r="C57" s="93"/>
      <c r="D57" s="93"/>
      <c r="E57" s="94"/>
      <c r="F57" s="94"/>
      <c r="G57" s="95"/>
      <c r="H57" s="103"/>
      <c r="I57" s="103"/>
      <c r="J57" s="97"/>
    </row>
    <row r="58" spans="1:17" ht="13.5" thickBot="1" x14ac:dyDescent="0.25">
      <c r="A58" s="104"/>
      <c r="B58" s="452" t="s">
        <v>104</v>
      </c>
      <c r="C58" s="452"/>
      <c r="D58" s="452"/>
      <c r="E58" s="452"/>
      <c r="F58" s="106">
        <f>SUM(F8:F14,F17:F24)</f>
        <v>2227.3038333149607</v>
      </c>
      <c r="G58" s="95">
        <f>+F58/$F$71</f>
        <v>0.75742042514298058</v>
      </c>
      <c r="H58" s="107">
        <f>+F58/$D$65</f>
        <v>2227.3038333149607</v>
      </c>
      <c r="I58" s="107"/>
      <c r="J58" s="108"/>
      <c r="K58" s="109"/>
      <c r="L58" s="109"/>
      <c r="M58" s="109"/>
      <c r="N58" s="109"/>
      <c r="O58" s="109"/>
      <c r="P58" s="109"/>
      <c r="Q58" s="110"/>
    </row>
    <row r="59" spans="1:17" x14ac:dyDescent="0.2">
      <c r="A59" s="104"/>
      <c r="B59" s="452" t="s">
        <v>105</v>
      </c>
      <c r="C59" s="452"/>
      <c r="D59" s="452"/>
      <c r="E59" s="452"/>
      <c r="F59" s="106">
        <f>SUM(F27:F37,F40:F46)</f>
        <v>393.79409614585961</v>
      </c>
      <c r="G59" s="95">
        <f>+F59/$F$71</f>
        <v>0.13391423624394896</v>
      </c>
      <c r="H59" s="107">
        <f>+F59/$D$65</f>
        <v>393.79409614585961</v>
      </c>
      <c r="I59" s="107"/>
      <c r="J59" s="111"/>
      <c r="K59" s="453" t="s">
        <v>106</v>
      </c>
      <c r="L59" s="454"/>
      <c r="M59" s="454"/>
      <c r="N59" s="454"/>
      <c r="O59" s="112">
        <f>+F60</f>
        <v>2621.0979294608205</v>
      </c>
      <c r="P59" s="112"/>
      <c r="Q59" s="113"/>
    </row>
    <row r="60" spans="1:17" x14ac:dyDescent="0.2">
      <c r="A60" s="104"/>
      <c r="B60" s="452" t="s">
        <v>107</v>
      </c>
      <c r="C60" s="452"/>
      <c r="D60" s="452"/>
      <c r="E60" s="452"/>
      <c r="F60" s="106">
        <f>+F58+F59</f>
        <v>2621.0979294608205</v>
      </c>
      <c r="G60" s="95">
        <f>+F60/$F$71</f>
        <v>0.89133466138692963</v>
      </c>
      <c r="H60" s="107">
        <f>+F60/$D$65</f>
        <v>2621.0979294608205</v>
      </c>
      <c r="I60" s="107"/>
      <c r="J60" s="114"/>
      <c r="K60" s="115"/>
      <c r="L60" s="455" t="s">
        <v>108</v>
      </c>
      <c r="M60" s="455"/>
      <c r="N60" s="455"/>
      <c r="O60" s="112">
        <v>508.47</v>
      </c>
      <c r="P60" s="112"/>
      <c r="Q60" s="113"/>
    </row>
    <row r="61" spans="1:17" ht="13.5" thickBot="1" x14ac:dyDescent="0.25">
      <c r="A61" s="104"/>
      <c r="B61" s="105"/>
      <c r="C61" s="452" t="s">
        <v>109</v>
      </c>
      <c r="D61" s="452"/>
      <c r="E61" s="452"/>
      <c r="F61" s="106">
        <f>SUM(F49:F56)</f>
        <v>386.06711952102637</v>
      </c>
      <c r="G61" s="95">
        <f>+F61/$F$71</f>
        <v>0.13128658848762984</v>
      </c>
      <c r="H61" s="107">
        <f>+F61/$D$65</f>
        <v>386.06711952102637</v>
      </c>
      <c r="I61" s="107"/>
      <c r="J61" s="114"/>
      <c r="K61" s="115"/>
      <c r="L61" s="115"/>
      <c r="M61" s="115" t="s">
        <v>110</v>
      </c>
      <c r="N61" s="116"/>
      <c r="O61" s="112">
        <f>O59*N61</f>
        <v>0</v>
      </c>
      <c r="P61" s="112"/>
      <c r="Q61" s="113"/>
    </row>
    <row r="62" spans="1:17" ht="13.5" thickBot="1" x14ac:dyDescent="0.25">
      <c r="A62" s="104"/>
      <c r="B62" s="117"/>
      <c r="C62" s="117"/>
      <c r="D62" s="117"/>
      <c r="E62" s="117"/>
      <c r="F62" s="118"/>
      <c r="G62" s="95"/>
      <c r="H62" s="119"/>
      <c r="I62" s="107"/>
      <c r="J62" s="114"/>
      <c r="K62" s="120"/>
      <c r="M62" s="121" t="s">
        <v>111</v>
      </c>
      <c r="N62" s="122"/>
      <c r="O62" s="123">
        <f>SUM(O59:O61)</f>
        <v>3129.5679294608208</v>
      </c>
      <c r="P62" s="124"/>
      <c r="Q62" s="113"/>
    </row>
    <row r="63" spans="1:17" x14ac:dyDescent="0.2">
      <c r="B63" s="456" t="s">
        <v>112</v>
      </c>
      <c r="C63" s="456"/>
      <c r="D63" s="125">
        <v>950</v>
      </c>
      <c r="E63" s="126"/>
      <c r="G63" s="95"/>
      <c r="H63" s="119"/>
      <c r="I63" s="127"/>
      <c r="J63" s="114"/>
      <c r="K63" s="120"/>
      <c r="L63" s="115"/>
      <c r="M63" s="115" t="s">
        <v>188</v>
      </c>
      <c r="N63" s="128"/>
      <c r="O63" s="112">
        <v>426.95</v>
      </c>
      <c r="P63" s="112"/>
      <c r="Q63" s="113"/>
    </row>
    <row r="64" spans="1:17" x14ac:dyDescent="0.2">
      <c r="B64" s="456" t="s">
        <v>114</v>
      </c>
      <c r="C64" s="456"/>
      <c r="D64" s="129">
        <v>950</v>
      </c>
      <c r="E64" s="126"/>
      <c r="G64" s="95"/>
      <c r="H64" s="119"/>
      <c r="I64" s="127"/>
      <c r="J64" s="114"/>
      <c r="K64" s="120"/>
      <c r="L64" s="115"/>
      <c r="M64" s="455" t="s">
        <v>111</v>
      </c>
      <c r="N64" s="455"/>
      <c r="O64" s="112">
        <f>SUM(O62:O63)</f>
        <v>3556.5179294608206</v>
      </c>
      <c r="P64" s="112"/>
      <c r="Q64" s="113"/>
    </row>
    <row r="65" spans="2:17" ht="13.5" thickBot="1" x14ac:dyDescent="0.25">
      <c r="B65" s="457" t="s">
        <v>115</v>
      </c>
      <c r="C65" s="457"/>
      <c r="D65" s="125">
        <f>+D63/D64</f>
        <v>1</v>
      </c>
      <c r="E65" s="126"/>
      <c r="F65" s="130"/>
      <c r="G65" s="95"/>
      <c r="H65" s="119"/>
      <c r="I65" s="127"/>
      <c r="J65" s="114"/>
      <c r="K65" s="120"/>
      <c r="L65" s="455" t="s">
        <v>116</v>
      </c>
      <c r="M65" s="455"/>
      <c r="N65" s="128">
        <v>0.1</v>
      </c>
      <c r="O65" s="112">
        <f>+O64*N65</f>
        <v>355.65179294608208</v>
      </c>
      <c r="P65" s="112"/>
      <c r="Q65" s="113"/>
    </row>
    <row r="66" spans="2:17" ht="13.5" thickBot="1" x14ac:dyDescent="0.25">
      <c r="B66" s="457" t="s">
        <v>117</v>
      </c>
      <c r="C66" s="457"/>
      <c r="D66" s="131" t="s">
        <v>152</v>
      </c>
      <c r="E66" s="126"/>
      <c r="F66" s="130"/>
      <c r="G66" s="95"/>
      <c r="H66" s="119"/>
      <c r="I66" s="127"/>
      <c r="J66" s="114"/>
      <c r="K66" s="458" t="s">
        <v>118</v>
      </c>
      <c r="L66" s="459"/>
      <c r="M66" s="459"/>
      <c r="N66" s="460"/>
      <c r="O66" s="123">
        <f>+O65+O64</f>
        <v>3912.1697224069026</v>
      </c>
      <c r="P66" s="132" t="s">
        <v>119</v>
      </c>
      <c r="Q66" s="113"/>
    </row>
    <row r="67" spans="2:17" ht="13.5" thickBot="1" x14ac:dyDescent="0.25">
      <c r="C67" s="104" t="s">
        <v>120</v>
      </c>
      <c r="D67" s="133"/>
      <c r="E67" s="78" t="s">
        <v>121</v>
      </c>
      <c r="F67" s="134" t="s">
        <v>122</v>
      </c>
      <c r="G67" s="95"/>
      <c r="H67" s="119"/>
      <c r="I67" s="127"/>
      <c r="J67" s="135"/>
      <c r="K67" s="136"/>
      <c r="L67" s="461" t="s">
        <v>123</v>
      </c>
      <c r="M67" s="461"/>
      <c r="N67" s="461"/>
      <c r="O67" s="137">
        <f>+O66/D65</f>
        <v>3912.1697224069026</v>
      </c>
      <c r="P67" s="138">
        <f>+O67/D64</f>
        <v>4.1180733920072656</v>
      </c>
      <c r="Q67" s="139"/>
    </row>
    <row r="68" spans="2:17" ht="13.5" thickBot="1" x14ac:dyDescent="0.25">
      <c r="B68" s="462" t="s">
        <v>107</v>
      </c>
      <c r="C68" s="462"/>
      <c r="D68" s="462"/>
      <c r="E68" s="140">
        <f>+F68/F68</f>
        <v>1</v>
      </c>
      <c r="F68" s="141">
        <f>SUM(F60)</f>
        <v>2621.0979294608205</v>
      </c>
      <c r="G68" s="95">
        <f>+F68/$F$71</f>
        <v>0.89133466138692963</v>
      </c>
      <c r="H68" s="119"/>
      <c r="I68" s="127"/>
      <c r="K68" s="463"/>
      <c r="L68" s="464"/>
      <c r="M68" s="464"/>
      <c r="N68" s="464"/>
      <c r="O68" s="142"/>
      <c r="P68" s="143"/>
    </row>
    <row r="69" spans="2:17" ht="13.5" thickBot="1" x14ac:dyDescent="0.25">
      <c r="B69" s="465" t="s">
        <v>124</v>
      </c>
      <c r="C69" s="465"/>
      <c r="D69" s="465"/>
      <c r="E69" s="144">
        <v>0.02</v>
      </c>
      <c r="F69" s="141">
        <f>+F58*E69</f>
        <v>44.546076666299214</v>
      </c>
      <c r="G69" s="95">
        <f>+F69/$F$71</f>
        <v>1.5148408502859614E-2</v>
      </c>
      <c r="H69" s="107"/>
      <c r="I69" s="127"/>
      <c r="J69" s="145"/>
      <c r="O69" s="146">
        <v>3556.52</v>
      </c>
      <c r="P69" s="105"/>
    </row>
    <row r="70" spans="2:17" ht="13.5" thickBot="1" x14ac:dyDescent="0.25">
      <c r="B70" s="467" t="s">
        <v>125</v>
      </c>
      <c r="C70" s="468"/>
      <c r="D70" s="147">
        <v>5</v>
      </c>
      <c r="E70" s="148">
        <v>55</v>
      </c>
      <c r="F70" s="141">
        <f>+E70*D70</f>
        <v>275</v>
      </c>
      <c r="G70" s="95">
        <f>+F70/$F$71</f>
        <v>9.3516930110210755E-2</v>
      </c>
      <c r="H70" s="107"/>
      <c r="I70" s="107"/>
      <c r="J70" s="97"/>
    </row>
    <row r="71" spans="2:17" ht="13.5" thickBot="1" x14ac:dyDescent="0.25">
      <c r="B71" s="469" t="s">
        <v>126</v>
      </c>
      <c r="C71" s="470"/>
      <c r="D71" s="470"/>
      <c r="E71" s="471"/>
      <c r="F71" s="118">
        <f>SUM(F68:F70)</f>
        <v>2940.6440061271196</v>
      </c>
      <c r="G71" s="95">
        <f>+F71/$F$71</f>
        <v>1</v>
      </c>
      <c r="H71" s="472"/>
      <c r="I71" s="107"/>
      <c r="J71" s="97"/>
      <c r="N71" s="80">
        <f>+O69*10%</f>
        <v>355.65200000000004</v>
      </c>
    </row>
    <row r="72" spans="2:17" x14ac:dyDescent="0.2">
      <c r="C72" s="102"/>
      <c r="D72" s="102"/>
      <c r="E72" s="150"/>
      <c r="F72" s="141"/>
      <c r="G72" s="95"/>
      <c r="H72" s="472"/>
      <c r="I72" s="149"/>
      <c r="J72" s="80"/>
      <c r="N72" s="361">
        <f>3556.52+N71</f>
        <v>3912.172</v>
      </c>
    </row>
    <row r="73" spans="2:17" ht="13.5" thickBot="1" x14ac:dyDescent="0.25">
      <c r="B73" s="473" t="s">
        <v>127</v>
      </c>
      <c r="C73" s="473"/>
      <c r="D73" s="473"/>
      <c r="E73" s="473"/>
      <c r="F73" s="473"/>
      <c r="G73" s="95"/>
      <c r="H73" s="152"/>
      <c r="I73" s="149"/>
      <c r="J73" s="80"/>
    </row>
    <row r="74" spans="2:17" ht="13.5" thickBot="1" x14ac:dyDescent="0.25">
      <c r="B74" s="153" t="s">
        <v>128</v>
      </c>
      <c r="C74" s="154">
        <f>+F58</f>
        <v>2227.3038333149607</v>
      </c>
      <c r="D74" s="154">
        <f>+D63</f>
        <v>950</v>
      </c>
      <c r="E74" s="155">
        <f>+C74/D74</f>
        <v>2.3445303508578532</v>
      </c>
      <c r="F74" s="95"/>
      <c r="G74" s="152"/>
      <c r="H74" s="97"/>
      <c r="I74" s="152"/>
      <c r="J74" s="80"/>
      <c r="N74" s="80" t="s">
        <v>213</v>
      </c>
    </row>
    <row r="75" spans="2:17" x14ac:dyDescent="0.2">
      <c r="B75" s="156"/>
      <c r="C75" s="157"/>
      <c r="D75" s="158"/>
      <c r="E75" s="141"/>
      <c r="F75" s="95"/>
      <c r="G75" s="152"/>
      <c r="H75" s="97"/>
      <c r="I75" s="97"/>
      <c r="J75" s="80"/>
    </row>
    <row r="76" spans="2:17" x14ac:dyDescent="0.2">
      <c r="B76" s="153" t="s">
        <v>129</v>
      </c>
      <c r="C76" s="154">
        <f>SUM(F68:F69)</f>
        <v>2665.6440061271196</v>
      </c>
      <c r="D76" s="154">
        <f>+D63</f>
        <v>950</v>
      </c>
      <c r="E76" s="159">
        <f>+C76/D76</f>
        <v>2.8059410590811784</v>
      </c>
      <c r="F76" s="95"/>
      <c r="G76" s="152"/>
      <c r="H76" s="97"/>
      <c r="I76" s="97"/>
      <c r="J76" s="80"/>
    </row>
    <row r="77" spans="2:17" x14ac:dyDescent="0.2">
      <c r="B77" s="153"/>
      <c r="C77" s="154"/>
      <c r="D77" s="154"/>
      <c r="E77" s="159"/>
      <c r="F77" s="95"/>
      <c r="G77" s="152"/>
      <c r="H77" s="97"/>
      <c r="I77" s="97"/>
      <c r="J77" s="80"/>
    </row>
    <row r="78" spans="2:17" ht="13.5" thickBot="1" x14ac:dyDescent="0.25">
      <c r="B78" s="153" t="s">
        <v>130</v>
      </c>
      <c r="C78" s="154">
        <f>+F70</f>
        <v>275</v>
      </c>
      <c r="D78" s="154">
        <f>+D63</f>
        <v>950</v>
      </c>
      <c r="E78" s="159">
        <f>+C78/D78</f>
        <v>0.28947368421052633</v>
      </c>
      <c r="F78" s="95"/>
      <c r="G78" s="152"/>
      <c r="H78" s="97"/>
      <c r="I78" s="97"/>
      <c r="J78" s="80"/>
    </row>
    <row r="79" spans="2:17" ht="13.5" thickBot="1" x14ac:dyDescent="0.25">
      <c r="B79" s="153" t="s">
        <v>131</v>
      </c>
      <c r="C79" s="154">
        <f>+F61</f>
        <v>386.06711952102637</v>
      </c>
      <c r="D79" s="154">
        <f>+D78</f>
        <v>950</v>
      </c>
      <c r="E79" s="155">
        <f>+C79/D79</f>
        <v>0.40638644160108039</v>
      </c>
      <c r="F79" s="95"/>
      <c r="G79" s="152"/>
      <c r="H79" s="97"/>
      <c r="I79" s="97"/>
      <c r="J79" s="80"/>
    </row>
    <row r="80" spans="2:17" ht="13.5" thickBot="1" x14ac:dyDescent="0.25">
      <c r="B80" s="117"/>
      <c r="C80" s="118"/>
      <c r="D80" s="118"/>
      <c r="E80" s="159"/>
      <c r="F80" s="95"/>
      <c r="G80" s="152"/>
      <c r="H80" s="97"/>
      <c r="I80" s="97"/>
      <c r="J80" s="80"/>
    </row>
    <row r="81" spans="1:10" ht="13.5" thickBot="1" x14ac:dyDescent="0.25">
      <c r="B81" s="153" t="s">
        <v>132</v>
      </c>
      <c r="C81" s="154">
        <f>+F59</f>
        <v>393.79409614585961</v>
      </c>
      <c r="D81" s="154">
        <f>+D79</f>
        <v>950</v>
      </c>
      <c r="E81" s="155">
        <f>+C81/D81</f>
        <v>0.414520101206168</v>
      </c>
      <c r="F81" s="95"/>
      <c r="G81" s="152"/>
      <c r="H81" s="97"/>
      <c r="I81" s="97"/>
      <c r="J81" s="97"/>
    </row>
    <row r="82" spans="1:10" ht="13.5" thickBot="1" x14ac:dyDescent="0.25">
      <c r="B82" s="117"/>
      <c r="C82" s="118"/>
      <c r="D82" s="118"/>
      <c r="E82" s="159"/>
      <c r="F82" s="95"/>
      <c r="G82" s="152"/>
      <c r="H82" s="97"/>
      <c r="I82" s="97"/>
    </row>
    <row r="83" spans="1:10" ht="13.5" thickBot="1" x14ac:dyDescent="0.25">
      <c r="B83" s="474" t="s">
        <v>133</v>
      </c>
      <c r="C83" s="475"/>
      <c r="D83" s="476"/>
      <c r="E83" s="155">
        <f>+E74+E79</f>
        <v>2.7509167924589337</v>
      </c>
      <c r="G83" s="95"/>
      <c r="H83" s="152"/>
      <c r="I83" s="97"/>
      <c r="J83" s="159"/>
    </row>
    <row r="84" spans="1:10" x14ac:dyDescent="0.2">
      <c r="I84" s="152"/>
      <c r="J84" s="80"/>
    </row>
    <row r="85" spans="1:10" ht="13.5" thickBot="1" x14ac:dyDescent="0.25">
      <c r="B85" s="473" t="s">
        <v>134</v>
      </c>
      <c r="C85" s="473"/>
      <c r="D85" s="473"/>
      <c r="E85" s="473"/>
      <c r="F85" s="473"/>
      <c r="G85" s="95"/>
      <c r="H85" s="152"/>
      <c r="J85" s="80"/>
    </row>
    <row r="86" spans="1:10" ht="13.5" thickBot="1" x14ac:dyDescent="0.25">
      <c r="B86" s="153" t="s">
        <v>128</v>
      </c>
      <c r="C86" s="154">
        <f>+C74</f>
        <v>2227.3038333149607</v>
      </c>
      <c r="D86" s="154">
        <f>+D65</f>
        <v>1</v>
      </c>
      <c r="E86" s="155">
        <f>+C86/D86</f>
        <v>2227.3038333149607</v>
      </c>
      <c r="F86" s="95"/>
      <c r="G86" s="152"/>
      <c r="H86" s="97"/>
      <c r="I86" s="152"/>
      <c r="J86" s="80"/>
    </row>
    <row r="87" spans="1:10" x14ac:dyDescent="0.2">
      <c r="B87" s="156"/>
      <c r="C87" s="157"/>
      <c r="D87" s="158"/>
      <c r="E87" s="141"/>
      <c r="F87" s="95"/>
      <c r="G87" s="152"/>
      <c r="H87" s="97"/>
      <c r="I87" s="97"/>
      <c r="J87" s="80"/>
    </row>
    <row r="88" spans="1:10" x14ac:dyDescent="0.2">
      <c r="B88" s="153" t="s">
        <v>129</v>
      </c>
      <c r="C88" s="154">
        <f>+C76</f>
        <v>2665.6440061271196</v>
      </c>
      <c r="D88" s="154">
        <f>+D65</f>
        <v>1</v>
      </c>
      <c r="E88" s="159">
        <f>+C88/D88</f>
        <v>2665.6440061271196</v>
      </c>
      <c r="F88" s="95"/>
      <c r="G88" s="152"/>
      <c r="H88" s="97"/>
      <c r="I88" s="97"/>
      <c r="J88" s="80"/>
    </row>
    <row r="89" spans="1:10" x14ac:dyDescent="0.2">
      <c r="B89" s="153"/>
      <c r="C89" s="154"/>
      <c r="D89" s="154"/>
      <c r="E89" s="159"/>
      <c r="F89" s="95"/>
      <c r="G89" s="152"/>
      <c r="H89" s="97"/>
      <c r="I89" s="97"/>
      <c r="J89" s="80"/>
    </row>
    <row r="90" spans="1:10" ht="13.5" thickBot="1" x14ac:dyDescent="0.25">
      <c r="B90" s="153" t="s">
        <v>131</v>
      </c>
      <c r="C90" s="154">
        <f>+C78</f>
        <v>275</v>
      </c>
      <c r="D90" s="154">
        <f>+D65</f>
        <v>1</v>
      </c>
      <c r="E90" s="159">
        <f>+C90/D90</f>
        <v>275</v>
      </c>
      <c r="F90" s="161"/>
      <c r="G90" s="151"/>
      <c r="H90" s="79"/>
      <c r="I90" s="97"/>
    </row>
    <row r="91" spans="1:10" ht="13.5" thickBot="1" x14ac:dyDescent="0.25">
      <c r="B91" s="153" t="s">
        <v>131</v>
      </c>
      <c r="C91" s="154">
        <f>+C79</f>
        <v>386.06711952102637</v>
      </c>
      <c r="D91" s="154">
        <f>+D90</f>
        <v>1</v>
      </c>
      <c r="E91" s="155">
        <f>+C91/D91</f>
        <v>386.06711952102637</v>
      </c>
      <c r="F91" s="160"/>
      <c r="G91" s="151"/>
      <c r="H91" s="79"/>
      <c r="I91" s="79"/>
    </row>
    <row r="92" spans="1:10" x14ac:dyDescent="0.2">
      <c r="I92" s="79"/>
    </row>
    <row r="93" spans="1:10" x14ac:dyDescent="0.2">
      <c r="A93" s="466"/>
      <c r="B93" s="466"/>
      <c r="C93" s="162"/>
      <c r="D93" s="162"/>
      <c r="E93" s="163"/>
      <c r="G93" s="164"/>
    </row>
    <row r="94" spans="1:10" x14ac:dyDescent="0.2">
      <c r="A94" s="98"/>
      <c r="B94" s="165"/>
      <c r="C94" s="166"/>
      <c r="D94" s="166"/>
      <c r="E94" s="167"/>
      <c r="G94" s="164"/>
    </row>
    <row r="95" spans="1:10" x14ac:dyDescent="0.2">
      <c r="A95" s="98"/>
      <c r="B95" s="165"/>
      <c r="C95" s="168"/>
      <c r="D95" s="168"/>
      <c r="E95" s="98"/>
      <c r="G95" s="164"/>
    </row>
    <row r="96" spans="1:10" x14ac:dyDescent="0.2">
      <c r="A96" s="98"/>
      <c r="B96" s="165"/>
      <c r="C96" s="169"/>
      <c r="D96" s="169"/>
      <c r="E96" s="98"/>
      <c r="G96" s="164"/>
    </row>
  </sheetData>
  <mergeCells count="31">
    <mergeCell ref="B68:D68"/>
    <mergeCell ref="K68:N68"/>
    <mergeCell ref="B69:D69"/>
    <mergeCell ref="A93:B93"/>
    <mergeCell ref="B70:C70"/>
    <mergeCell ref="B71:E71"/>
    <mergeCell ref="H71:H72"/>
    <mergeCell ref="B73:F73"/>
    <mergeCell ref="B83:D83"/>
    <mergeCell ref="B85:F85"/>
    <mergeCell ref="B65:C65"/>
    <mergeCell ref="L65:M65"/>
    <mergeCell ref="B66:C66"/>
    <mergeCell ref="K66:N66"/>
    <mergeCell ref="L67:N67"/>
    <mergeCell ref="B60:E60"/>
    <mergeCell ref="L60:N60"/>
    <mergeCell ref="C61:E61"/>
    <mergeCell ref="B63:C63"/>
    <mergeCell ref="B64:C64"/>
    <mergeCell ref="M64:N64"/>
    <mergeCell ref="K34:L34"/>
    <mergeCell ref="K35:L35"/>
    <mergeCell ref="B58:E58"/>
    <mergeCell ref="B59:E59"/>
    <mergeCell ref="K59:N59"/>
    <mergeCell ref="A4:H4"/>
    <mergeCell ref="A5:H5"/>
    <mergeCell ref="F6:G6"/>
    <mergeCell ref="K27:L27"/>
    <mergeCell ref="K33:L3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70F79-7BD0-426B-BA20-37A93018E321}">
  <dimension ref="A1:IV35"/>
  <sheetViews>
    <sheetView workbookViewId="0">
      <selection activeCell="A7" sqref="A7"/>
    </sheetView>
  </sheetViews>
  <sheetFormatPr baseColWidth="10" defaultRowHeight="12.75" x14ac:dyDescent="0.2"/>
  <cols>
    <col min="1" max="1" width="18.42578125" customWidth="1"/>
    <col min="2" max="2" width="32.28515625" customWidth="1"/>
    <col min="3" max="3" width="25.28515625" customWidth="1"/>
  </cols>
  <sheetData>
    <row r="1" spans="1:256" ht="18" x14ac:dyDescent="0.2">
      <c r="A1" s="578"/>
      <c r="B1" s="582" t="s">
        <v>22</v>
      </c>
      <c r="C1" s="582"/>
      <c r="D1" s="582"/>
      <c r="E1" s="582"/>
      <c r="F1" s="582"/>
      <c r="G1" s="362" t="s">
        <v>214</v>
      </c>
      <c r="H1" s="363"/>
      <c r="I1" s="288"/>
      <c r="J1" s="288"/>
      <c r="K1" s="288"/>
      <c r="L1" s="288"/>
      <c r="M1" s="288"/>
      <c r="N1" s="288"/>
      <c r="O1" s="288"/>
      <c r="P1" s="288"/>
      <c r="Q1" s="288"/>
      <c r="R1" s="288"/>
      <c r="S1" s="288"/>
      <c r="T1" s="288"/>
      <c r="U1" s="288"/>
      <c r="V1" s="288"/>
      <c r="W1" s="288"/>
      <c r="X1" s="288"/>
      <c r="Y1" s="288"/>
      <c r="Z1" s="288"/>
      <c r="AA1" s="288"/>
      <c r="AB1" s="288"/>
      <c r="AC1" s="288"/>
      <c r="AD1" s="288"/>
      <c r="AE1" s="288"/>
      <c r="AF1" s="288"/>
      <c r="AG1" s="288"/>
      <c r="AH1" s="288"/>
      <c r="AI1" s="288"/>
      <c r="AJ1" s="288"/>
      <c r="AK1" s="288"/>
      <c r="AL1" s="288"/>
      <c r="AM1" s="288"/>
      <c r="AN1" s="288"/>
      <c r="AO1" s="288"/>
      <c r="AP1" s="288"/>
      <c r="AQ1" s="288"/>
      <c r="AR1" s="288"/>
      <c r="AS1" s="288"/>
      <c r="AT1" s="288"/>
      <c r="AU1" s="288"/>
      <c r="AV1" s="288"/>
      <c r="AW1" s="288"/>
      <c r="AX1" s="288"/>
      <c r="AY1" s="288"/>
      <c r="AZ1" s="288"/>
      <c r="BA1" s="288"/>
      <c r="BB1" s="288"/>
      <c r="BC1" s="288"/>
      <c r="BD1" s="288"/>
      <c r="BE1" s="288"/>
      <c r="BF1" s="288"/>
      <c r="BG1" s="288"/>
      <c r="BH1" s="288"/>
      <c r="BI1" s="288"/>
      <c r="BJ1" s="288"/>
      <c r="BK1" s="288"/>
      <c r="BL1" s="288"/>
      <c r="BM1" s="288"/>
      <c r="BN1" s="288"/>
      <c r="BO1" s="288"/>
      <c r="BP1" s="288"/>
      <c r="BQ1" s="288"/>
      <c r="BR1" s="288"/>
      <c r="BS1" s="288"/>
      <c r="BT1" s="288"/>
      <c r="BU1" s="288"/>
      <c r="BV1" s="288"/>
      <c r="BW1" s="288"/>
      <c r="BX1" s="288"/>
      <c r="BY1" s="288"/>
      <c r="BZ1" s="288"/>
      <c r="CA1" s="288"/>
      <c r="CB1" s="288"/>
      <c r="CC1" s="288"/>
      <c r="CD1" s="288"/>
      <c r="CE1" s="288"/>
      <c r="CF1" s="288"/>
      <c r="CG1" s="288"/>
      <c r="CH1" s="288"/>
      <c r="CI1" s="288"/>
      <c r="CJ1" s="288"/>
      <c r="CK1" s="288"/>
      <c r="CL1" s="288"/>
      <c r="CM1" s="288"/>
      <c r="CN1" s="288"/>
      <c r="CO1" s="288"/>
      <c r="CP1" s="288"/>
      <c r="CQ1" s="288"/>
      <c r="CR1" s="288"/>
      <c r="CS1" s="288"/>
      <c r="CT1" s="288"/>
      <c r="CU1" s="288"/>
      <c r="CV1" s="288"/>
      <c r="CW1" s="288"/>
      <c r="CX1" s="288"/>
      <c r="CY1" s="288"/>
      <c r="CZ1" s="288"/>
      <c r="DA1" s="288"/>
      <c r="DB1" s="288"/>
      <c r="DC1" s="288"/>
      <c r="DD1" s="288"/>
      <c r="DE1" s="288"/>
      <c r="DF1" s="288"/>
      <c r="DG1" s="288"/>
      <c r="DH1" s="288"/>
      <c r="DI1" s="288"/>
      <c r="DJ1" s="288"/>
      <c r="DK1" s="288"/>
      <c r="DL1" s="288"/>
      <c r="DM1" s="288"/>
      <c r="DN1" s="288"/>
      <c r="DO1" s="288"/>
      <c r="DP1" s="288"/>
      <c r="DQ1" s="288"/>
      <c r="DR1" s="288"/>
      <c r="DS1" s="288"/>
      <c r="DT1" s="288"/>
      <c r="DU1" s="288"/>
      <c r="DV1" s="288"/>
      <c r="DW1" s="288"/>
      <c r="DX1" s="288"/>
      <c r="DY1" s="288"/>
      <c r="DZ1" s="288"/>
      <c r="EA1" s="288"/>
      <c r="EB1" s="288"/>
      <c r="EC1" s="288"/>
      <c r="ED1" s="288"/>
      <c r="EE1" s="288"/>
      <c r="EF1" s="288"/>
      <c r="EG1" s="288"/>
      <c r="EH1" s="288"/>
      <c r="EI1" s="288"/>
      <c r="EJ1" s="288"/>
      <c r="EK1" s="288"/>
      <c r="EL1" s="288"/>
      <c r="EM1" s="288"/>
      <c r="EN1" s="288"/>
      <c r="EO1" s="288"/>
      <c r="EP1" s="288"/>
      <c r="EQ1" s="288"/>
      <c r="ER1" s="288"/>
      <c r="ES1" s="288"/>
      <c r="ET1" s="288"/>
      <c r="EU1" s="288"/>
      <c r="EV1" s="288"/>
      <c r="EW1" s="288"/>
      <c r="EX1" s="288"/>
      <c r="EY1" s="288"/>
      <c r="EZ1" s="288"/>
      <c r="FA1" s="288"/>
      <c r="FB1" s="288"/>
      <c r="FC1" s="288"/>
      <c r="FD1" s="288"/>
      <c r="FE1" s="288"/>
      <c r="FF1" s="288"/>
      <c r="FG1" s="288"/>
      <c r="FH1" s="288"/>
      <c r="FI1" s="288"/>
      <c r="FJ1" s="288"/>
      <c r="FK1" s="288"/>
      <c r="FL1" s="288"/>
      <c r="FM1" s="288"/>
      <c r="FN1" s="288"/>
      <c r="FO1" s="288"/>
      <c r="FP1" s="288"/>
      <c r="FQ1" s="288"/>
      <c r="FR1" s="288"/>
      <c r="FS1" s="288"/>
      <c r="FT1" s="288"/>
      <c r="FU1" s="288"/>
      <c r="FV1" s="288"/>
      <c r="FW1" s="288"/>
      <c r="FX1" s="288"/>
      <c r="FY1" s="288"/>
      <c r="FZ1" s="288"/>
      <c r="GA1" s="288"/>
      <c r="GB1" s="288"/>
      <c r="GC1" s="288"/>
      <c r="GD1" s="288"/>
      <c r="GE1" s="288"/>
      <c r="GF1" s="288"/>
      <c r="GG1" s="288"/>
      <c r="GH1" s="288"/>
      <c r="GI1" s="288"/>
      <c r="GJ1" s="288"/>
      <c r="GK1" s="288"/>
      <c r="GL1" s="288"/>
      <c r="GM1" s="288"/>
      <c r="GN1" s="288"/>
      <c r="GO1" s="288"/>
      <c r="GP1" s="288"/>
      <c r="GQ1" s="288"/>
      <c r="GR1" s="288"/>
      <c r="GS1" s="288"/>
      <c r="GT1" s="288"/>
      <c r="GU1" s="288"/>
      <c r="GV1" s="288"/>
      <c r="GW1" s="288"/>
      <c r="GX1" s="288"/>
      <c r="GY1" s="288"/>
      <c r="GZ1" s="288"/>
      <c r="HA1" s="288"/>
      <c r="HB1" s="288"/>
      <c r="HC1" s="288"/>
      <c r="HD1" s="288"/>
      <c r="HE1" s="288"/>
      <c r="HF1" s="288"/>
      <c r="HG1" s="288"/>
      <c r="HH1" s="288"/>
      <c r="HI1" s="288"/>
      <c r="HJ1" s="288"/>
      <c r="HK1" s="288"/>
      <c r="HL1" s="288"/>
      <c r="HM1" s="288"/>
      <c r="HN1" s="288"/>
      <c r="HO1" s="288"/>
      <c r="HP1" s="288"/>
      <c r="HQ1" s="288"/>
      <c r="HR1" s="288"/>
      <c r="HS1" s="288"/>
      <c r="HT1" s="288"/>
      <c r="HU1" s="288"/>
      <c r="HV1" s="288"/>
      <c r="HW1" s="288"/>
      <c r="HX1" s="288"/>
      <c r="HY1" s="288"/>
      <c r="HZ1" s="288"/>
      <c r="IA1" s="288"/>
      <c r="IB1" s="288"/>
      <c r="IC1" s="288"/>
      <c r="ID1" s="288"/>
      <c r="IE1" s="288"/>
      <c r="IF1" s="288"/>
      <c r="IG1" s="288"/>
      <c r="IH1" s="288"/>
      <c r="II1" s="288"/>
      <c r="IJ1" s="288"/>
      <c r="IK1" s="288"/>
      <c r="IL1" s="288"/>
      <c r="IM1" s="288"/>
      <c r="IN1" s="288"/>
      <c r="IO1" s="288"/>
      <c r="IP1" s="288"/>
      <c r="IQ1" s="288"/>
      <c r="IR1" s="288"/>
      <c r="IS1" s="288"/>
      <c r="IT1" s="288"/>
      <c r="IU1" s="288"/>
      <c r="IV1" s="288"/>
    </row>
    <row r="2" spans="1:256" ht="18" x14ac:dyDescent="0.2">
      <c r="A2" s="579"/>
      <c r="B2" s="583" t="s">
        <v>215</v>
      </c>
      <c r="C2" s="583"/>
      <c r="D2" s="583"/>
      <c r="E2" s="583"/>
      <c r="F2" s="583"/>
      <c r="G2" s="364" t="s">
        <v>216</v>
      </c>
      <c r="H2" s="365"/>
      <c r="I2" s="288"/>
      <c r="J2" s="288"/>
      <c r="K2" s="288"/>
      <c r="L2" s="288"/>
      <c r="M2" s="288"/>
      <c r="N2" s="288"/>
      <c r="O2" s="288"/>
      <c r="P2" s="288"/>
      <c r="Q2" s="288"/>
      <c r="R2" s="288"/>
      <c r="S2" s="288"/>
      <c r="T2" s="288"/>
      <c r="U2" s="288"/>
      <c r="V2" s="288"/>
      <c r="W2" s="288"/>
      <c r="X2" s="288"/>
      <c r="Y2" s="288"/>
      <c r="Z2" s="288"/>
      <c r="AA2" s="288"/>
      <c r="AB2" s="288"/>
      <c r="AC2" s="288"/>
      <c r="AD2" s="288"/>
      <c r="AE2" s="288"/>
      <c r="AF2" s="288"/>
      <c r="AG2" s="288"/>
      <c r="AH2" s="288"/>
      <c r="AI2" s="288"/>
      <c r="AJ2" s="288"/>
      <c r="AK2" s="288"/>
      <c r="AL2" s="288"/>
      <c r="AM2" s="288"/>
      <c r="AN2" s="288"/>
      <c r="AO2" s="288"/>
      <c r="AP2" s="288"/>
      <c r="AQ2" s="288"/>
      <c r="AR2" s="288"/>
      <c r="AS2" s="288"/>
      <c r="AT2" s="288"/>
      <c r="AU2" s="288"/>
      <c r="AV2" s="288"/>
      <c r="AW2" s="288"/>
      <c r="AX2" s="288"/>
      <c r="AY2" s="288"/>
      <c r="AZ2" s="288"/>
      <c r="BA2" s="288"/>
      <c r="BB2" s="288"/>
      <c r="BC2" s="288"/>
      <c r="BD2" s="288"/>
      <c r="BE2" s="288"/>
      <c r="BF2" s="288"/>
      <c r="BG2" s="288"/>
      <c r="BH2" s="288"/>
      <c r="BI2" s="288"/>
      <c r="BJ2" s="288"/>
      <c r="BK2" s="288"/>
      <c r="BL2" s="288"/>
      <c r="BM2" s="288"/>
      <c r="BN2" s="288"/>
      <c r="BO2" s="288"/>
      <c r="BP2" s="288"/>
      <c r="BQ2" s="288"/>
      <c r="BR2" s="288"/>
      <c r="BS2" s="288"/>
      <c r="BT2" s="288"/>
      <c r="BU2" s="288"/>
      <c r="BV2" s="288"/>
      <c r="BW2" s="288"/>
      <c r="BX2" s="288"/>
      <c r="BY2" s="288"/>
      <c r="BZ2" s="288"/>
      <c r="CA2" s="288"/>
      <c r="CB2" s="288"/>
      <c r="CC2" s="288"/>
      <c r="CD2" s="288"/>
      <c r="CE2" s="288"/>
      <c r="CF2" s="288"/>
      <c r="CG2" s="288"/>
      <c r="CH2" s="288"/>
      <c r="CI2" s="288"/>
      <c r="CJ2" s="288"/>
      <c r="CK2" s="288"/>
      <c r="CL2" s="288"/>
      <c r="CM2" s="288"/>
      <c r="CN2" s="288"/>
      <c r="CO2" s="288"/>
      <c r="CP2" s="288"/>
      <c r="CQ2" s="288"/>
      <c r="CR2" s="288"/>
      <c r="CS2" s="288"/>
      <c r="CT2" s="288"/>
      <c r="CU2" s="288"/>
      <c r="CV2" s="288"/>
      <c r="CW2" s="288"/>
      <c r="CX2" s="288"/>
      <c r="CY2" s="288"/>
      <c r="CZ2" s="288"/>
      <c r="DA2" s="288"/>
      <c r="DB2" s="288"/>
      <c r="DC2" s="288"/>
      <c r="DD2" s="288"/>
      <c r="DE2" s="288"/>
      <c r="DF2" s="288"/>
      <c r="DG2" s="288"/>
      <c r="DH2" s="288"/>
      <c r="DI2" s="288"/>
      <c r="DJ2" s="288"/>
      <c r="DK2" s="288"/>
      <c r="DL2" s="288"/>
      <c r="DM2" s="288"/>
      <c r="DN2" s="288"/>
      <c r="DO2" s="288"/>
      <c r="DP2" s="288"/>
      <c r="DQ2" s="288"/>
      <c r="DR2" s="288"/>
      <c r="DS2" s="288"/>
      <c r="DT2" s="288"/>
      <c r="DU2" s="288"/>
      <c r="DV2" s="288"/>
      <c r="DW2" s="288"/>
      <c r="DX2" s="288"/>
      <c r="DY2" s="288"/>
      <c r="DZ2" s="288"/>
      <c r="EA2" s="288"/>
      <c r="EB2" s="288"/>
      <c r="EC2" s="288"/>
      <c r="ED2" s="288"/>
      <c r="EE2" s="288"/>
      <c r="EF2" s="288"/>
      <c r="EG2" s="288"/>
      <c r="EH2" s="288"/>
      <c r="EI2" s="288"/>
      <c r="EJ2" s="288"/>
      <c r="EK2" s="288"/>
      <c r="EL2" s="288"/>
      <c r="EM2" s="288"/>
      <c r="EN2" s="288"/>
      <c r="EO2" s="288"/>
      <c r="EP2" s="288"/>
      <c r="EQ2" s="288"/>
      <c r="ER2" s="288"/>
      <c r="ES2" s="288"/>
      <c r="ET2" s="288"/>
      <c r="EU2" s="288"/>
      <c r="EV2" s="288"/>
      <c r="EW2" s="288"/>
      <c r="EX2" s="288"/>
      <c r="EY2" s="288"/>
      <c r="EZ2" s="288"/>
      <c r="FA2" s="288"/>
      <c r="FB2" s="288"/>
      <c r="FC2" s="288"/>
      <c r="FD2" s="288"/>
      <c r="FE2" s="288"/>
      <c r="FF2" s="288"/>
      <c r="FG2" s="288"/>
      <c r="FH2" s="288"/>
      <c r="FI2" s="288"/>
      <c r="FJ2" s="288"/>
      <c r="FK2" s="288"/>
      <c r="FL2" s="288"/>
      <c r="FM2" s="288"/>
      <c r="FN2" s="288"/>
      <c r="FO2" s="288"/>
      <c r="FP2" s="288"/>
      <c r="FQ2" s="288"/>
      <c r="FR2" s="288"/>
      <c r="FS2" s="288"/>
      <c r="FT2" s="288"/>
      <c r="FU2" s="288"/>
      <c r="FV2" s="288"/>
      <c r="FW2" s="288"/>
      <c r="FX2" s="288"/>
      <c r="FY2" s="288"/>
      <c r="FZ2" s="288"/>
      <c r="GA2" s="288"/>
      <c r="GB2" s="288"/>
      <c r="GC2" s="288"/>
      <c r="GD2" s="288"/>
      <c r="GE2" s="288"/>
      <c r="GF2" s="288"/>
      <c r="GG2" s="288"/>
      <c r="GH2" s="288"/>
      <c r="GI2" s="288"/>
      <c r="GJ2" s="288"/>
      <c r="GK2" s="288"/>
      <c r="GL2" s="288"/>
      <c r="GM2" s="288"/>
      <c r="GN2" s="288"/>
      <c r="GO2" s="288"/>
      <c r="GP2" s="288"/>
      <c r="GQ2" s="288"/>
      <c r="GR2" s="288"/>
      <c r="GS2" s="288"/>
      <c r="GT2" s="288"/>
      <c r="GU2" s="288"/>
      <c r="GV2" s="288"/>
      <c r="GW2" s="288"/>
      <c r="GX2" s="288"/>
      <c r="GY2" s="288"/>
      <c r="GZ2" s="288"/>
      <c r="HA2" s="288"/>
      <c r="HB2" s="288"/>
      <c r="HC2" s="288"/>
      <c r="HD2" s="288"/>
      <c r="HE2" s="288"/>
      <c r="HF2" s="288"/>
      <c r="HG2" s="288"/>
      <c r="HH2" s="288"/>
      <c r="HI2" s="288"/>
      <c r="HJ2" s="288"/>
      <c r="HK2" s="288"/>
      <c r="HL2" s="288"/>
      <c r="HM2" s="288"/>
      <c r="HN2" s="288"/>
      <c r="HO2" s="288"/>
      <c r="HP2" s="288"/>
      <c r="HQ2" s="288"/>
      <c r="HR2" s="288"/>
      <c r="HS2" s="288"/>
      <c r="HT2" s="288"/>
      <c r="HU2" s="288"/>
      <c r="HV2" s="288"/>
      <c r="HW2" s="288"/>
      <c r="HX2" s="288"/>
      <c r="HY2" s="288"/>
      <c r="HZ2" s="288"/>
      <c r="IA2" s="288"/>
      <c r="IB2" s="288"/>
      <c r="IC2" s="288"/>
      <c r="ID2" s="288"/>
      <c r="IE2" s="288"/>
      <c r="IF2" s="288"/>
      <c r="IG2" s="288"/>
      <c r="IH2" s="288"/>
      <c r="II2" s="288"/>
      <c r="IJ2" s="288"/>
      <c r="IK2" s="288"/>
      <c r="IL2" s="288"/>
      <c r="IM2" s="288"/>
      <c r="IN2" s="288"/>
      <c r="IO2" s="288"/>
      <c r="IP2" s="288"/>
      <c r="IQ2" s="288"/>
      <c r="IR2" s="288"/>
      <c r="IS2" s="288"/>
      <c r="IT2" s="288"/>
      <c r="IU2" s="288"/>
      <c r="IV2" s="288"/>
    </row>
    <row r="3" spans="1:256" ht="40.5" x14ac:dyDescent="0.25">
      <c r="A3" s="580"/>
      <c r="B3" s="584" t="s">
        <v>217</v>
      </c>
      <c r="C3" s="584"/>
      <c r="D3" s="584"/>
      <c r="E3" s="584"/>
      <c r="F3" s="584"/>
      <c r="G3" s="366" t="s">
        <v>218</v>
      </c>
      <c r="H3" s="367"/>
      <c r="I3" s="368"/>
      <c r="J3" s="368"/>
      <c r="K3" s="368"/>
      <c r="L3" s="368"/>
      <c r="M3" s="368"/>
      <c r="N3" s="368"/>
      <c r="O3" s="368"/>
      <c r="P3" s="368"/>
      <c r="Q3" s="368"/>
      <c r="R3" s="368"/>
      <c r="S3" s="368"/>
      <c r="T3" s="368"/>
      <c r="U3" s="368"/>
      <c r="V3" s="368"/>
      <c r="W3" s="368"/>
      <c r="X3" s="368"/>
      <c r="Y3" s="368"/>
      <c r="Z3" s="368"/>
      <c r="AA3" s="368"/>
      <c r="AB3" s="368"/>
      <c r="AC3" s="368"/>
      <c r="AD3" s="368"/>
      <c r="AE3" s="368"/>
      <c r="AF3" s="368"/>
      <c r="AG3" s="368"/>
      <c r="AH3" s="368"/>
      <c r="AI3" s="368"/>
      <c r="AJ3" s="368"/>
      <c r="AK3" s="368"/>
      <c r="AL3" s="368"/>
      <c r="AM3" s="368"/>
      <c r="AN3" s="368"/>
      <c r="AO3" s="368"/>
      <c r="AP3" s="368"/>
      <c r="AQ3" s="368"/>
      <c r="AR3" s="368"/>
      <c r="AS3" s="368"/>
      <c r="AT3" s="368"/>
      <c r="AU3" s="368"/>
      <c r="AV3" s="368"/>
      <c r="AW3" s="368"/>
      <c r="AX3" s="368"/>
      <c r="AY3" s="368"/>
      <c r="AZ3" s="368"/>
      <c r="BA3" s="368"/>
      <c r="BB3" s="368"/>
      <c r="BC3" s="368"/>
      <c r="BD3" s="368"/>
      <c r="BE3" s="368"/>
      <c r="BF3" s="368"/>
      <c r="BG3" s="368"/>
      <c r="BH3" s="368"/>
      <c r="BI3" s="368"/>
      <c r="BJ3" s="368"/>
      <c r="BK3" s="368"/>
      <c r="BL3" s="368"/>
      <c r="BM3" s="368"/>
      <c r="BN3" s="368"/>
      <c r="BO3" s="368"/>
      <c r="BP3" s="368"/>
      <c r="BQ3" s="368"/>
      <c r="BR3" s="368"/>
      <c r="BS3" s="368"/>
      <c r="BT3" s="368"/>
      <c r="BU3" s="368"/>
      <c r="BV3" s="368"/>
      <c r="BW3" s="368"/>
      <c r="BX3" s="368"/>
      <c r="BY3" s="368"/>
      <c r="BZ3" s="368"/>
      <c r="CA3" s="368"/>
      <c r="CB3" s="368"/>
      <c r="CC3" s="368"/>
      <c r="CD3" s="368"/>
      <c r="CE3" s="368"/>
      <c r="CF3" s="368"/>
      <c r="CG3" s="368"/>
      <c r="CH3" s="368"/>
      <c r="CI3" s="368"/>
      <c r="CJ3" s="368"/>
      <c r="CK3" s="368"/>
      <c r="CL3" s="368"/>
      <c r="CM3" s="368"/>
      <c r="CN3" s="368"/>
      <c r="CO3" s="368"/>
      <c r="CP3" s="368"/>
      <c r="CQ3" s="368"/>
      <c r="CR3" s="368"/>
      <c r="CS3" s="368"/>
      <c r="CT3" s="368"/>
      <c r="CU3" s="368"/>
      <c r="CV3" s="368"/>
      <c r="CW3" s="368"/>
      <c r="CX3" s="368"/>
      <c r="CY3" s="368"/>
      <c r="CZ3" s="368"/>
      <c r="DA3" s="368"/>
      <c r="DB3" s="368"/>
      <c r="DC3" s="368"/>
      <c r="DD3" s="368"/>
      <c r="DE3" s="368"/>
      <c r="DF3" s="368"/>
      <c r="DG3" s="368"/>
      <c r="DH3" s="368"/>
      <c r="DI3" s="368"/>
      <c r="DJ3" s="368"/>
      <c r="DK3" s="368"/>
      <c r="DL3" s="368"/>
      <c r="DM3" s="368"/>
      <c r="DN3" s="368"/>
      <c r="DO3" s="368"/>
      <c r="DP3" s="368"/>
      <c r="DQ3" s="368"/>
      <c r="DR3" s="368"/>
      <c r="DS3" s="368"/>
      <c r="DT3" s="368"/>
      <c r="DU3" s="368"/>
      <c r="DV3" s="368"/>
      <c r="DW3" s="368"/>
      <c r="DX3" s="368"/>
      <c r="DY3" s="368"/>
      <c r="DZ3" s="368"/>
      <c r="EA3" s="368"/>
      <c r="EB3" s="368"/>
      <c r="EC3" s="368"/>
      <c r="ED3" s="368"/>
      <c r="EE3" s="368"/>
      <c r="EF3" s="368"/>
      <c r="EG3" s="368"/>
      <c r="EH3" s="368"/>
      <c r="EI3" s="368"/>
      <c r="EJ3" s="368"/>
      <c r="EK3" s="368"/>
      <c r="EL3" s="368"/>
      <c r="EM3" s="368"/>
      <c r="EN3" s="368"/>
      <c r="EO3" s="368"/>
      <c r="EP3" s="368"/>
      <c r="EQ3" s="368"/>
      <c r="ER3" s="368"/>
      <c r="ES3" s="368"/>
      <c r="ET3" s="368"/>
      <c r="EU3" s="368"/>
      <c r="EV3" s="368"/>
      <c r="EW3" s="368"/>
      <c r="EX3" s="368"/>
      <c r="EY3" s="368"/>
      <c r="EZ3" s="368"/>
      <c r="FA3" s="368"/>
      <c r="FB3" s="368"/>
      <c r="FC3" s="368"/>
      <c r="FD3" s="368"/>
      <c r="FE3" s="368"/>
      <c r="FF3" s="368"/>
      <c r="FG3" s="368"/>
      <c r="FH3" s="368"/>
      <c r="FI3" s="368"/>
      <c r="FJ3" s="368"/>
      <c r="FK3" s="368"/>
      <c r="FL3" s="368"/>
      <c r="FM3" s="368"/>
      <c r="FN3" s="368"/>
      <c r="FO3" s="368"/>
      <c r="FP3" s="368"/>
      <c r="FQ3" s="368"/>
      <c r="FR3" s="368"/>
      <c r="FS3" s="368"/>
      <c r="FT3" s="368"/>
      <c r="FU3" s="368"/>
      <c r="FV3" s="368"/>
      <c r="FW3" s="368"/>
      <c r="FX3" s="368"/>
      <c r="FY3" s="368"/>
      <c r="FZ3" s="368"/>
      <c r="GA3" s="368"/>
      <c r="GB3" s="368"/>
      <c r="GC3" s="368"/>
      <c r="GD3" s="368"/>
      <c r="GE3" s="368"/>
      <c r="GF3" s="368"/>
      <c r="GG3" s="368"/>
      <c r="GH3" s="368"/>
      <c r="GI3" s="368"/>
      <c r="GJ3" s="368"/>
      <c r="GK3" s="368"/>
      <c r="GL3" s="368"/>
      <c r="GM3" s="368"/>
      <c r="GN3" s="368"/>
      <c r="GO3" s="368"/>
      <c r="GP3" s="368"/>
      <c r="GQ3" s="368"/>
      <c r="GR3" s="368"/>
      <c r="GS3" s="368"/>
      <c r="GT3" s="368"/>
      <c r="GU3" s="368"/>
      <c r="GV3" s="368"/>
      <c r="GW3" s="368"/>
      <c r="GX3" s="368"/>
      <c r="GY3" s="368"/>
      <c r="GZ3" s="368"/>
      <c r="HA3" s="368"/>
      <c r="HB3" s="368"/>
      <c r="HC3" s="368"/>
      <c r="HD3" s="368"/>
      <c r="HE3" s="368"/>
      <c r="HF3" s="368"/>
      <c r="HG3" s="368"/>
      <c r="HH3" s="368"/>
      <c r="HI3" s="368"/>
      <c r="HJ3" s="368"/>
      <c r="HK3" s="368"/>
      <c r="HL3" s="368"/>
      <c r="HM3" s="368"/>
      <c r="HN3" s="368"/>
      <c r="HO3" s="368"/>
      <c r="HP3" s="368"/>
      <c r="HQ3" s="368"/>
      <c r="HR3" s="368"/>
      <c r="HS3" s="368"/>
      <c r="HT3" s="368"/>
      <c r="HU3" s="368"/>
      <c r="HV3" s="368"/>
      <c r="HW3" s="368"/>
      <c r="HX3" s="368"/>
      <c r="HY3" s="368"/>
      <c r="HZ3" s="368"/>
      <c r="IA3" s="368"/>
      <c r="IB3" s="368"/>
      <c r="IC3" s="368"/>
      <c r="ID3" s="368"/>
      <c r="IE3" s="368"/>
      <c r="IF3" s="368"/>
      <c r="IG3" s="368"/>
      <c r="IH3" s="368"/>
      <c r="II3" s="368"/>
      <c r="IJ3" s="368"/>
      <c r="IK3" s="368"/>
      <c r="IL3" s="368"/>
      <c r="IM3" s="368"/>
      <c r="IN3" s="368"/>
      <c r="IO3" s="368"/>
      <c r="IP3" s="368"/>
      <c r="IQ3" s="368"/>
      <c r="IR3" s="368"/>
      <c r="IS3" s="368"/>
      <c r="IT3" s="368"/>
      <c r="IU3" s="368"/>
      <c r="IV3" s="368"/>
    </row>
    <row r="4" spans="1:256" ht="15" thickBot="1" x14ac:dyDescent="0.25">
      <c r="A4" s="581"/>
      <c r="B4" s="585" t="s">
        <v>219</v>
      </c>
      <c r="C4" s="586"/>
      <c r="D4" s="587" t="s">
        <v>220</v>
      </c>
      <c r="E4" s="588"/>
      <c r="F4" s="369" t="s">
        <v>221</v>
      </c>
      <c r="G4" s="574" t="s">
        <v>222</v>
      </c>
      <c r="H4" s="575"/>
      <c r="I4" s="288"/>
      <c r="J4" s="288"/>
      <c r="K4" s="288"/>
      <c r="L4" s="288"/>
      <c r="M4" s="288"/>
      <c r="N4" s="288"/>
      <c r="O4" s="288"/>
      <c r="P4" s="288"/>
      <c r="Q4" s="288"/>
      <c r="R4" s="288"/>
      <c r="S4" s="288"/>
      <c r="T4" s="288"/>
      <c r="U4" s="288"/>
      <c r="V4" s="288"/>
      <c r="W4" s="288"/>
      <c r="X4" s="288"/>
      <c r="Y4" s="288"/>
      <c r="Z4" s="288"/>
      <c r="AA4" s="288"/>
      <c r="AB4" s="288"/>
      <c r="AC4" s="288"/>
      <c r="AD4" s="288"/>
      <c r="AE4" s="288"/>
      <c r="AF4" s="288"/>
      <c r="AG4" s="288"/>
      <c r="AH4" s="288"/>
      <c r="AI4" s="288"/>
      <c r="AJ4" s="288"/>
      <c r="AK4" s="288"/>
      <c r="AL4" s="288"/>
      <c r="AM4" s="288"/>
      <c r="AN4" s="288"/>
      <c r="AO4" s="288"/>
      <c r="AP4" s="288"/>
      <c r="AQ4" s="288"/>
      <c r="AR4" s="288"/>
      <c r="AS4" s="288"/>
      <c r="AT4" s="288"/>
      <c r="AU4" s="288"/>
      <c r="AV4" s="288"/>
      <c r="AW4" s="288"/>
      <c r="AX4" s="288"/>
      <c r="AY4" s="288"/>
      <c r="AZ4" s="288"/>
      <c r="BA4" s="288"/>
      <c r="BB4" s="288"/>
      <c r="BC4" s="288"/>
      <c r="BD4" s="288"/>
      <c r="BE4" s="288"/>
      <c r="BF4" s="288"/>
      <c r="BG4" s="288"/>
      <c r="BH4" s="288"/>
      <c r="BI4" s="288"/>
      <c r="BJ4" s="288"/>
      <c r="BK4" s="288"/>
      <c r="BL4" s="288"/>
      <c r="BM4" s="288"/>
      <c r="BN4" s="288"/>
      <c r="BO4" s="288"/>
      <c r="BP4" s="288"/>
      <c r="BQ4" s="288"/>
      <c r="BR4" s="288"/>
      <c r="BS4" s="288"/>
      <c r="BT4" s="288"/>
      <c r="BU4" s="288"/>
      <c r="BV4" s="288"/>
      <c r="BW4" s="288"/>
      <c r="BX4" s="288"/>
      <c r="BY4" s="288"/>
      <c r="BZ4" s="288"/>
      <c r="CA4" s="288"/>
      <c r="CB4" s="288"/>
      <c r="CC4" s="288"/>
      <c r="CD4" s="288"/>
      <c r="CE4" s="288"/>
      <c r="CF4" s="288"/>
      <c r="CG4" s="288"/>
      <c r="CH4" s="288"/>
      <c r="CI4" s="288"/>
      <c r="CJ4" s="288"/>
      <c r="CK4" s="288"/>
      <c r="CL4" s="288"/>
      <c r="CM4" s="288"/>
      <c r="CN4" s="288"/>
      <c r="CO4" s="288"/>
      <c r="CP4" s="288"/>
      <c r="CQ4" s="288"/>
      <c r="CR4" s="288"/>
      <c r="CS4" s="288"/>
      <c r="CT4" s="288"/>
      <c r="CU4" s="288"/>
      <c r="CV4" s="288"/>
      <c r="CW4" s="288"/>
      <c r="CX4" s="288"/>
      <c r="CY4" s="288"/>
      <c r="CZ4" s="288"/>
      <c r="DA4" s="288"/>
      <c r="DB4" s="288"/>
      <c r="DC4" s="288"/>
      <c r="DD4" s="288"/>
      <c r="DE4" s="288"/>
      <c r="DF4" s="288"/>
      <c r="DG4" s="288"/>
      <c r="DH4" s="288"/>
      <c r="DI4" s="288"/>
      <c r="DJ4" s="288"/>
      <c r="DK4" s="288"/>
      <c r="DL4" s="288"/>
      <c r="DM4" s="288"/>
      <c r="DN4" s="288"/>
      <c r="DO4" s="288"/>
      <c r="DP4" s="288"/>
      <c r="DQ4" s="288"/>
      <c r="DR4" s="288"/>
      <c r="DS4" s="288"/>
      <c r="DT4" s="288"/>
      <c r="DU4" s="288"/>
      <c r="DV4" s="288"/>
      <c r="DW4" s="288"/>
      <c r="DX4" s="288"/>
      <c r="DY4" s="288"/>
      <c r="DZ4" s="288"/>
      <c r="EA4" s="288"/>
      <c r="EB4" s="288"/>
      <c r="EC4" s="288"/>
      <c r="ED4" s="288"/>
      <c r="EE4" s="288"/>
      <c r="EF4" s="288"/>
      <c r="EG4" s="288"/>
      <c r="EH4" s="288"/>
      <c r="EI4" s="288"/>
      <c r="EJ4" s="288"/>
      <c r="EK4" s="288"/>
      <c r="EL4" s="288"/>
      <c r="EM4" s="288"/>
      <c r="EN4" s="288"/>
      <c r="EO4" s="288"/>
      <c r="EP4" s="288"/>
      <c r="EQ4" s="288"/>
      <c r="ER4" s="288"/>
      <c r="ES4" s="288"/>
      <c r="ET4" s="288"/>
      <c r="EU4" s="288"/>
      <c r="EV4" s="288"/>
      <c r="EW4" s="288"/>
      <c r="EX4" s="288"/>
      <c r="EY4" s="288"/>
      <c r="EZ4" s="288"/>
      <c r="FA4" s="288"/>
      <c r="FB4" s="288"/>
      <c r="FC4" s="288"/>
      <c r="FD4" s="288"/>
      <c r="FE4" s="288"/>
      <c r="FF4" s="288"/>
      <c r="FG4" s="288"/>
      <c r="FH4" s="288"/>
      <c r="FI4" s="288"/>
      <c r="FJ4" s="288"/>
      <c r="FK4" s="288"/>
      <c r="FL4" s="288"/>
      <c r="FM4" s="288"/>
      <c r="FN4" s="288"/>
      <c r="FO4" s="288"/>
      <c r="FP4" s="288"/>
      <c r="FQ4" s="288"/>
      <c r="FR4" s="288"/>
      <c r="FS4" s="288"/>
      <c r="FT4" s="288"/>
      <c r="FU4" s="288"/>
      <c r="FV4" s="288"/>
      <c r="FW4" s="288"/>
      <c r="FX4" s="288"/>
      <c r="FY4" s="288"/>
      <c r="FZ4" s="288"/>
      <c r="GA4" s="288"/>
      <c r="GB4" s="288"/>
      <c r="GC4" s="288"/>
      <c r="GD4" s="288"/>
      <c r="GE4" s="288"/>
      <c r="GF4" s="288"/>
      <c r="GG4" s="288"/>
      <c r="GH4" s="288"/>
      <c r="GI4" s="288"/>
      <c r="GJ4" s="288"/>
      <c r="GK4" s="288"/>
      <c r="GL4" s="288"/>
      <c r="GM4" s="288"/>
      <c r="GN4" s="288"/>
      <c r="GO4" s="288"/>
      <c r="GP4" s="288"/>
      <c r="GQ4" s="288"/>
      <c r="GR4" s="288"/>
      <c r="GS4" s="288"/>
      <c r="GT4" s="288"/>
      <c r="GU4" s="288"/>
      <c r="GV4" s="288"/>
      <c r="GW4" s="288"/>
      <c r="GX4" s="288"/>
      <c r="GY4" s="288"/>
      <c r="GZ4" s="288"/>
      <c r="HA4" s="288"/>
      <c r="HB4" s="288"/>
      <c r="HC4" s="288"/>
      <c r="HD4" s="288"/>
      <c r="HE4" s="288"/>
      <c r="HF4" s="288"/>
      <c r="HG4" s="288"/>
      <c r="HH4" s="288"/>
      <c r="HI4" s="288"/>
      <c r="HJ4" s="288"/>
      <c r="HK4" s="288"/>
      <c r="HL4" s="288"/>
      <c r="HM4" s="288"/>
      <c r="HN4" s="288"/>
      <c r="HO4" s="288"/>
      <c r="HP4" s="288"/>
      <c r="HQ4" s="288"/>
      <c r="HR4" s="288"/>
      <c r="HS4" s="288"/>
      <c r="HT4" s="288"/>
      <c r="HU4" s="288"/>
      <c r="HV4" s="288"/>
      <c r="HW4" s="288"/>
      <c r="HX4" s="288"/>
      <c r="HY4" s="288"/>
      <c r="HZ4" s="288"/>
      <c r="IA4" s="288"/>
      <c r="IB4" s="288"/>
      <c r="IC4" s="288"/>
      <c r="ID4" s="288"/>
      <c r="IE4" s="288"/>
      <c r="IF4" s="288"/>
      <c r="IG4" s="288"/>
      <c r="IH4" s="288"/>
      <c r="II4" s="288"/>
      <c r="IJ4" s="288"/>
      <c r="IK4" s="288"/>
      <c r="IL4" s="288"/>
      <c r="IM4" s="288"/>
      <c r="IN4" s="288"/>
      <c r="IO4" s="288"/>
      <c r="IP4" s="288"/>
      <c r="IQ4" s="288"/>
      <c r="IR4" s="288"/>
      <c r="IS4" s="288"/>
      <c r="IT4" s="288"/>
      <c r="IU4" s="288"/>
      <c r="IV4" s="288"/>
    </row>
    <row r="5" spans="1:256" ht="18" thickBot="1" x14ac:dyDescent="0.35">
      <c r="A5" s="370"/>
      <c r="B5" s="371"/>
      <c r="C5" s="371"/>
      <c r="D5" s="371"/>
      <c r="E5" s="372"/>
      <c r="F5" s="373"/>
      <c r="G5" s="373"/>
      <c r="H5" s="374"/>
      <c r="I5" s="288"/>
      <c r="J5" s="288"/>
      <c r="K5" s="288"/>
      <c r="L5" s="288"/>
      <c r="M5" s="288"/>
      <c r="N5" s="288"/>
      <c r="O5" s="288"/>
      <c r="P5" s="288"/>
      <c r="Q5" s="288"/>
      <c r="R5" s="288"/>
      <c r="S5" s="288"/>
      <c r="T5" s="288"/>
      <c r="U5" s="288"/>
      <c r="V5" s="288"/>
      <c r="W5" s="288"/>
      <c r="X5" s="288"/>
      <c r="Y5" s="288"/>
      <c r="Z5" s="288"/>
      <c r="AA5" s="288"/>
      <c r="AB5" s="288"/>
      <c r="AC5" s="288"/>
      <c r="AD5" s="288"/>
      <c r="AE5" s="288"/>
      <c r="AF5" s="288"/>
      <c r="AG5" s="288"/>
      <c r="AH5" s="288"/>
      <c r="AI5" s="288"/>
      <c r="AJ5" s="288"/>
      <c r="AK5" s="288"/>
      <c r="AL5" s="288"/>
      <c r="AM5" s="288"/>
      <c r="AN5" s="288"/>
      <c r="AO5" s="288"/>
      <c r="AP5" s="288"/>
      <c r="AQ5" s="288"/>
      <c r="AR5" s="288"/>
      <c r="AS5" s="288"/>
      <c r="AT5" s="288"/>
      <c r="AU5" s="288"/>
      <c r="AV5" s="288"/>
      <c r="AW5" s="288"/>
      <c r="AX5" s="288"/>
      <c r="AY5" s="288"/>
      <c r="AZ5" s="288"/>
      <c r="BA5" s="288"/>
      <c r="BB5" s="288"/>
      <c r="BC5" s="288"/>
      <c r="BD5" s="288"/>
      <c r="BE5" s="288"/>
      <c r="BF5" s="288"/>
      <c r="BG5" s="288"/>
      <c r="BH5" s="288"/>
      <c r="BI5" s="288"/>
      <c r="BJ5" s="288"/>
      <c r="BK5" s="288"/>
      <c r="BL5" s="288"/>
      <c r="BM5" s="288"/>
      <c r="BN5" s="288"/>
      <c r="BO5" s="288"/>
      <c r="BP5" s="288"/>
      <c r="BQ5" s="288"/>
      <c r="BR5" s="288"/>
      <c r="BS5" s="288"/>
      <c r="BT5" s="288"/>
      <c r="BU5" s="288"/>
      <c r="BV5" s="288"/>
      <c r="BW5" s="288"/>
      <c r="BX5" s="288"/>
      <c r="BY5" s="288"/>
      <c r="BZ5" s="288"/>
      <c r="CA5" s="288"/>
      <c r="CB5" s="288"/>
      <c r="CC5" s="288"/>
      <c r="CD5" s="288"/>
      <c r="CE5" s="288"/>
      <c r="CF5" s="288"/>
      <c r="CG5" s="288"/>
      <c r="CH5" s="288"/>
      <c r="CI5" s="288"/>
      <c r="CJ5" s="288"/>
      <c r="CK5" s="288"/>
      <c r="CL5" s="288"/>
      <c r="CM5" s="288"/>
      <c r="CN5" s="288"/>
      <c r="CO5" s="288"/>
      <c r="CP5" s="288"/>
      <c r="CQ5" s="288"/>
      <c r="CR5" s="288"/>
      <c r="CS5" s="288"/>
      <c r="CT5" s="288"/>
      <c r="CU5" s="288"/>
      <c r="CV5" s="288"/>
      <c r="CW5" s="288"/>
      <c r="CX5" s="288"/>
      <c r="CY5" s="288"/>
      <c r="CZ5" s="288"/>
      <c r="DA5" s="288"/>
      <c r="DB5" s="288"/>
      <c r="DC5" s="288"/>
      <c r="DD5" s="288"/>
      <c r="DE5" s="288"/>
      <c r="DF5" s="288"/>
      <c r="DG5" s="288"/>
      <c r="DH5" s="288"/>
      <c r="DI5" s="288"/>
      <c r="DJ5" s="288"/>
      <c r="DK5" s="288"/>
      <c r="DL5" s="288"/>
      <c r="DM5" s="288"/>
      <c r="DN5" s="288"/>
      <c r="DO5" s="288"/>
      <c r="DP5" s="288"/>
      <c r="DQ5" s="288"/>
      <c r="DR5" s="288"/>
      <c r="DS5" s="288"/>
      <c r="DT5" s="288"/>
      <c r="DU5" s="288"/>
      <c r="DV5" s="288"/>
      <c r="DW5" s="288"/>
      <c r="DX5" s="288"/>
      <c r="DY5" s="288"/>
      <c r="DZ5" s="288"/>
      <c r="EA5" s="288"/>
      <c r="EB5" s="288"/>
      <c r="EC5" s="288"/>
      <c r="ED5" s="288"/>
      <c r="EE5" s="288"/>
      <c r="EF5" s="288"/>
      <c r="EG5" s="288"/>
      <c r="EH5" s="288"/>
      <c r="EI5" s="288"/>
      <c r="EJ5" s="288"/>
      <c r="EK5" s="288"/>
      <c r="EL5" s="288"/>
      <c r="EM5" s="288"/>
      <c r="EN5" s="288"/>
      <c r="EO5" s="288"/>
      <c r="EP5" s="288"/>
      <c r="EQ5" s="288"/>
      <c r="ER5" s="288"/>
      <c r="ES5" s="288"/>
      <c r="ET5" s="288"/>
      <c r="EU5" s="288"/>
      <c r="EV5" s="288"/>
      <c r="EW5" s="288"/>
      <c r="EX5" s="288"/>
      <c r="EY5" s="288"/>
      <c r="EZ5" s="288"/>
      <c r="FA5" s="288"/>
      <c r="FB5" s="288"/>
      <c r="FC5" s="288"/>
      <c r="FD5" s="288"/>
      <c r="FE5" s="288"/>
      <c r="FF5" s="288"/>
      <c r="FG5" s="288"/>
      <c r="FH5" s="288"/>
      <c r="FI5" s="288"/>
      <c r="FJ5" s="288"/>
      <c r="FK5" s="288"/>
      <c r="FL5" s="288"/>
      <c r="FM5" s="288"/>
      <c r="FN5" s="288"/>
      <c r="FO5" s="288"/>
      <c r="FP5" s="288"/>
      <c r="FQ5" s="288"/>
      <c r="FR5" s="288"/>
      <c r="FS5" s="288"/>
      <c r="FT5" s="288"/>
      <c r="FU5" s="288"/>
      <c r="FV5" s="288"/>
      <c r="FW5" s="288"/>
      <c r="FX5" s="288"/>
      <c r="FY5" s="288"/>
      <c r="FZ5" s="288"/>
      <c r="GA5" s="288"/>
      <c r="GB5" s="288"/>
      <c r="GC5" s="288"/>
      <c r="GD5" s="288"/>
      <c r="GE5" s="288"/>
      <c r="GF5" s="288"/>
      <c r="GG5" s="288"/>
      <c r="GH5" s="288"/>
      <c r="GI5" s="288"/>
      <c r="GJ5" s="288"/>
      <c r="GK5" s="288"/>
      <c r="GL5" s="288"/>
      <c r="GM5" s="288"/>
      <c r="GN5" s="288"/>
      <c r="GO5" s="288"/>
      <c r="GP5" s="288"/>
      <c r="GQ5" s="288"/>
      <c r="GR5" s="288"/>
      <c r="GS5" s="288"/>
      <c r="GT5" s="288"/>
      <c r="GU5" s="288"/>
      <c r="GV5" s="288"/>
      <c r="GW5" s="288"/>
      <c r="GX5" s="288"/>
      <c r="GY5" s="288"/>
      <c r="GZ5" s="288"/>
      <c r="HA5" s="288"/>
      <c r="HB5" s="288"/>
      <c r="HC5" s="288"/>
      <c r="HD5" s="288"/>
      <c r="HE5" s="288"/>
      <c r="HF5" s="288"/>
      <c r="HG5" s="288"/>
      <c r="HH5" s="288"/>
      <c r="HI5" s="288"/>
      <c r="HJ5" s="288"/>
      <c r="HK5" s="288"/>
      <c r="HL5" s="288"/>
      <c r="HM5" s="288"/>
      <c r="HN5" s="288"/>
      <c r="HO5" s="288"/>
      <c r="HP5" s="288"/>
      <c r="HQ5" s="288"/>
      <c r="HR5" s="288"/>
      <c r="HS5" s="288"/>
      <c r="HT5" s="288"/>
      <c r="HU5" s="288"/>
      <c r="HV5" s="288"/>
      <c r="HW5" s="288"/>
      <c r="HX5" s="288"/>
      <c r="HY5" s="288"/>
      <c r="HZ5" s="288"/>
      <c r="IA5" s="288"/>
      <c r="IB5" s="288"/>
      <c r="IC5" s="288"/>
      <c r="ID5" s="288"/>
      <c r="IE5" s="288"/>
      <c r="IF5" s="288"/>
      <c r="IG5" s="288"/>
      <c r="IH5" s="288"/>
      <c r="II5" s="288"/>
      <c r="IJ5" s="288"/>
      <c r="IK5" s="288"/>
      <c r="IL5" s="288"/>
      <c r="IM5" s="288"/>
      <c r="IN5" s="288"/>
      <c r="IO5" s="288"/>
      <c r="IP5" s="288"/>
      <c r="IQ5" s="288"/>
      <c r="IR5" s="288"/>
      <c r="IS5" s="288"/>
      <c r="IT5" s="288"/>
      <c r="IU5" s="288"/>
      <c r="IV5" s="288"/>
    </row>
    <row r="6" spans="1:256" ht="39" thickBot="1" x14ac:dyDescent="0.25">
      <c r="A6" s="375" t="s">
        <v>1</v>
      </c>
      <c r="B6" s="376" t="s">
        <v>223</v>
      </c>
      <c r="C6" s="377" t="s">
        <v>224</v>
      </c>
      <c r="D6" s="378" t="s">
        <v>225</v>
      </c>
      <c r="E6" s="379" t="s">
        <v>226</v>
      </c>
      <c r="F6" s="380" t="s">
        <v>227</v>
      </c>
      <c r="G6" s="576" t="s">
        <v>228</v>
      </c>
      <c r="H6" s="577"/>
      <c r="I6" s="288"/>
      <c r="J6" s="288"/>
      <c r="K6" s="288"/>
      <c r="L6" s="288"/>
      <c r="M6" s="288"/>
      <c r="N6" s="288"/>
      <c r="O6" s="288"/>
      <c r="P6" s="288"/>
      <c r="Q6" s="288"/>
      <c r="R6" s="288"/>
      <c r="S6" s="288"/>
      <c r="T6" s="288"/>
      <c r="U6" s="288"/>
      <c r="V6" s="288"/>
      <c r="W6" s="288"/>
      <c r="X6" s="288"/>
      <c r="Y6" s="288"/>
      <c r="Z6" s="288"/>
      <c r="AA6" s="288"/>
      <c r="AB6" s="288"/>
      <c r="AC6" s="288"/>
      <c r="AD6" s="288"/>
      <c r="AE6" s="288"/>
      <c r="AF6" s="288"/>
      <c r="AG6" s="288"/>
      <c r="AH6" s="288"/>
      <c r="AI6" s="288"/>
      <c r="AJ6" s="288"/>
      <c r="AK6" s="288"/>
      <c r="AL6" s="288"/>
      <c r="AM6" s="288"/>
      <c r="AN6" s="288"/>
      <c r="AO6" s="288"/>
      <c r="AP6" s="288"/>
      <c r="AQ6" s="288"/>
      <c r="AR6" s="288"/>
      <c r="AS6" s="288"/>
      <c r="AT6" s="288"/>
      <c r="AU6" s="288"/>
      <c r="AV6" s="288"/>
      <c r="AW6" s="288"/>
      <c r="AX6" s="288"/>
      <c r="AY6" s="288"/>
      <c r="AZ6" s="288"/>
      <c r="BA6" s="288"/>
      <c r="BB6" s="288"/>
      <c r="BC6" s="288"/>
      <c r="BD6" s="288"/>
      <c r="BE6" s="288"/>
      <c r="BF6" s="288"/>
      <c r="BG6" s="288"/>
      <c r="BH6" s="288"/>
      <c r="BI6" s="288"/>
      <c r="BJ6" s="288"/>
      <c r="BK6" s="288"/>
      <c r="BL6" s="288"/>
      <c r="BM6" s="288"/>
      <c r="BN6" s="288"/>
      <c r="BO6" s="288"/>
      <c r="BP6" s="288"/>
      <c r="BQ6" s="288"/>
      <c r="BR6" s="288"/>
      <c r="BS6" s="288"/>
      <c r="BT6" s="288"/>
      <c r="BU6" s="288"/>
      <c r="BV6" s="288"/>
      <c r="BW6" s="288"/>
      <c r="BX6" s="288"/>
      <c r="BY6" s="288"/>
      <c r="BZ6" s="288"/>
      <c r="CA6" s="288"/>
      <c r="CB6" s="288"/>
      <c r="CC6" s="288"/>
      <c r="CD6" s="288"/>
      <c r="CE6" s="288"/>
      <c r="CF6" s="288"/>
      <c r="CG6" s="288"/>
      <c r="CH6" s="288"/>
      <c r="CI6" s="288"/>
      <c r="CJ6" s="288"/>
      <c r="CK6" s="288"/>
      <c r="CL6" s="288"/>
      <c r="CM6" s="288"/>
      <c r="CN6" s="288"/>
      <c r="CO6" s="288"/>
      <c r="CP6" s="288"/>
      <c r="CQ6" s="288"/>
      <c r="CR6" s="288"/>
      <c r="CS6" s="288"/>
      <c r="CT6" s="288"/>
      <c r="CU6" s="288"/>
      <c r="CV6" s="288"/>
      <c r="CW6" s="288"/>
      <c r="CX6" s="288"/>
      <c r="CY6" s="288"/>
      <c r="CZ6" s="288"/>
      <c r="DA6" s="288"/>
      <c r="DB6" s="288"/>
      <c r="DC6" s="288"/>
      <c r="DD6" s="288"/>
      <c r="DE6" s="288"/>
      <c r="DF6" s="288"/>
      <c r="DG6" s="288"/>
      <c r="DH6" s="288"/>
      <c r="DI6" s="288"/>
      <c r="DJ6" s="288"/>
      <c r="DK6" s="288"/>
      <c r="DL6" s="288"/>
      <c r="DM6" s="288"/>
      <c r="DN6" s="288"/>
      <c r="DO6" s="288"/>
      <c r="DP6" s="288"/>
      <c r="DQ6" s="288"/>
      <c r="DR6" s="288"/>
      <c r="DS6" s="288"/>
      <c r="DT6" s="288"/>
      <c r="DU6" s="288"/>
      <c r="DV6" s="288"/>
      <c r="DW6" s="288"/>
      <c r="DX6" s="288"/>
      <c r="DY6" s="288"/>
      <c r="DZ6" s="288"/>
      <c r="EA6" s="288"/>
      <c r="EB6" s="288"/>
      <c r="EC6" s="288"/>
      <c r="ED6" s="288"/>
      <c r="EE6" s="288"/>
      <c r="EF6" s="288"/>
      <c r="EG6" s="288"/>
      <c r="EH6" s="288"/>
      <c r="EI6" s="288"/>
      <c r="EJ6" s="288"/>
      <c r="EK6" s="288"/>
      <c r="EL6" s="288"/>
      <c r="EM6" s="288"/>
      <c r="EN6" s="288"/>
      <c r="EO6" s="288"/>
      <c r="EP6" s="288"/>
      <c r="EQ6" s="288"/>
      <c r="ER6" s="288"/>
      <c r="ES6" s="288"/>
      <c r="ET6" s="288"/>
      <c r="EU6" s="288"/>
      <c r="EV6" s="288"/>
      <c r="EW6" s="288"/>
      <c r="EX6" s="288"/>
      <c r="EY6" s="288"/>
      <c r="EZ6" s="288"/>
      <c r="FA6" s="288"/>
      <c r="FB6" s="288"/>
      <c r="FC6" s="288"/>
      <c r="FD6" s="288"/>
      <c r="FE6" s="288"/>
      <c r="FF6" s="288"/>
      <c r="FG6" s="288"/>
      <c r="FH6" s="288"/>
      <c r="FI6" s="288"/>
      <c r="FJ6" s="288"/>
      <c r="FK6" s="288"/>
      <c r="FL6" s="288"/>
      <c r="FM6" s="288"/>
      <c r="FN6" s="288"/>
      <c r="FO6" s="288"/>
      <c r="FP6" s="288"/>
      <c r="FQ6" s="288"/>
      <c r="FR6" s="288"/>
      <c r="FS6" s="288"/>
      <c r="FT6" s="288"/>
      <c r="FU6" s="288"/>
      <c r="FV6" s="288"/>
      <c r="FW6" s="288"/>
      <c r="FX6" s="288"/>
      <c r="FY6" s="288"/>
      <c r="FZ6" s="288"/>
      <c r="GA6" s="288"/>
      <c r="GB6" s="288"/>
      <c r="GC6" s="288"/>
      <c r="GD6" s="288"/>
      <c r="GE6" s="288"/>
      <c r="GF6" s="288"/>
      <c r="GG6" s="288"/>
      <c r="GH6" s="288"/>
      <c r="GI6" s="288"/>
      <c r="GJ6" s="288"/>
      <c r="GK6" s="288"/>
      <c r="GL6" s="288"/>
      <c r="GM6" s="288"/>
      <c r="GN6" s="288"/>
      <c r="GO6" s="288"/>
      <c r="GP6" s="288"/>
      <c r="GQ6" s="288"/>
      <c r="GR6" s="288"/>
      <c r="GS6" s="288"/>
      <c r="GT6" s="288"/>
      <c r="GU6" s="288"/>
      <c r="GV6" s="288"/>
      <c r="GW6" s="288"/>
      <c r="GX6" s="288"/>
      <c r="GY6" s="288"/>
      <c r="GZ6" s="288"/>
      <c r="HA6" s="288"/>
      <c r="HB6" s="288"/>
      <c r="HC6" s="288"/>
      <c r="HD6" s="288"/>
      <c r="HE6" s="288"/>
      <c r="HF6" s="288"/>
      <c r="HG6" s="288"/>
      <c r="HH6" s="288"/>
      <c r="HI6" s="288"/>
      <c r="HJ6" s="288"/>
      <c r="HK6" s="288"/>
      <c r="HL6" s="288"/>
      <c r="HM6" s="288"/>
      <c r="HN6" s="288"/>
      <c r="HO6" s="288"/>
      <c r="HP6" s="288"/>
      <c r="HQ6" s="288"/>
      <c r="HR6" s="288"/>
      <c r="HS6" s="288"/>
      <c r="HT6" s="288"/>
      <c r="HU6" s="288"/>
      <c r="HV6" s="288"/>
      <c r="HW6" s="288"/>
      <c r="HX6" s="288"/>
      <c r="HY6" s="288"/>
      <c r="HZ6" s="288"/>
      <c r="IA6" s="288"/>
      <c r="IB6" s="288"/>
      <c r="IC6" s="288"/>
      <c r="ID6" s="288"/>
      <c r="IE6" s="288"/>
      <c r="IF6" s="288"/>
      <c r="IG6" s="288"/>
      <c r="IH6" s="288"/>
      <c r="II6" s="288"/>
      <c r="IJ6" s="288"/>
      <c r="IK6" s="288"/>
      <c r="IL6" s="288"/>
      <c r="IM6" s="288"/>
      <c r="IN6" s="288"/>
      <c r="IO6" s="288"/>
      <c r="IP6" s="288"/>
      <c r="IQ6" s="288"/>
      <c r="IR6" s="288"/>
      <c r="IS6" s="288"/>
      <c r="IT6" s="288"/>
      <c r="IU6" s="288"/>
      <c r="IV6" s="288"/>
    </row>
    <row r="7" spans="1:256" ht="16.5" thickBot="1" x14ac:dyDescent="0.3">
      <c r="A7" s="381"/>
      <c r="B7" s="382" t="s">
        <v>229</v>
      </c>
      <c r="C7" s="383"/>
      <c r="D7" s="384" t="s">
        <v>230</v>
      </c>
      <c r="E7" s="385" t="s">
        <v>231</v>
      </c>
      <c r="F7" s="386" t="s">
        <v>232</v>
      </c>
      <c r="G7" s="566" t="s">
        <v>233</v>
      </c>
      <c r="H7" s="567"/>
      <c r="I7" s="387"/>
      <c r="J7" s="387"/>
      <c r="K7" s="387"/>
      <c r="L7" s="387"/>
      <c r="M7" s="387"/>
      <c r="N7" s="387"/>
      <c r="O7" s="387"/>
      <c r="P7" s="387"/>
      <c r="Q7" s="387"/>
      <c r="R7" s="387"/>
      <c r="S7" s="387"/>
      <c r="T7" s="387"/>
      <c r="U7" s="387"/>
      <c r="V7" s="387"/>
      <c r="W7" s="387"/>
      <c r="X7" s="387"/>
      <c r="Y7" s="387"/>
      <c r="Z7" s="387"/>
      <c r="AA7" s="387"/>
      <c r="AB7" s="387"/>
      <c r="AC7" s="387"/>
      <c r="AD7" s="387"/>
      <c r="AE7" s="387"/>
      <c r="AF7" s="387"/>
      <c r="AG7" s="387"/>
      <c r="AH7" s="387"/>
      <c r="AI7" s="387"/>
      <c r="AJ7" s="387"/>
      <c r="AK7" s="387"/>
      <c r="AL7" s="387"/>
      <c r="AM7" s="387"/>
      <c r="AN7" s="387"/>
      <c r="AO7" s="387"/>
      <c r="AP7" s="387"/>
      <c r="AQ7" s="387"/>
      <c r="AR7" s="387"/>
      <c r="AS7" s="387"/>
      <c r="AT7" s="387"/>
      <c r="AU7" s="387"/>
      <c r="AV7" s="387"/>
      <c r="AW7" s="387"/>
      <c r="AX7" s="387"/>
      <c r="AY7" s="387"/>
      <c r="AZ7" s="387"/>
      <c r="BA7" s="387"/>
      <c r="BB7" s="387"/>
      <c r="BC7" s="387"/>
      <c r="BD7" s="387"/>
      <c r="BE7" s="387"/>
      <c r="BF7" s="387"/>
      <c r="BG7" s="387"/>
      <c r="BH7" s="387"/>
      <c r="BI7" s="387"/>
      <c r="BJ7" s="387"/>
      <c r="BK7" s="387"/>
      <c r="BL7" s="387"/>
      <c r="BM7" s="387"/>
      <c r="BN7" s="387"/>
      <c r="BO7" s="387"/>
      <c r="BP7" s="387"/>
      <c r="BQ7" s="387"/>
      <c r="BR7" s="387"/>
      <c r="BS7" s="387"/>
      <c r="BT7" s="387"/>
      <c r="BU7" s="387"/>
      <c r="BV7" s="387"/>
      <c r="BW7" s="387"/>
      <c r="BX7" s="387"/>
      <c r="BY7" s="387"/>
      <c r="BZ7" s="387"/>
      <c r="CA7" s="387"/>
      <c r="CB7" s="387"/>
      <c r="CC7" s="387"/>
      <c r="CD7" s="387"/>
      <c r="CE7" s="387"/>
      <c r="CF7" s="387"/>
      <c r="CG7" s="387"/>
      <c r="CH7" s="387"/>
      <c r="CI7" s="387"/>
      <c r="CJ7" s="387"/>
      <c r="CK7" s="387"/>
      <c r="CL7" s="387"/>
      <c r="CM7" s="387"/>
      <c r="CN7" s="387"/>
      <c r="CO7" s="387"/>
      <c r="CP7" s="387"/>
      <c r="CQ7" s="387"/>
      <c r="CR7" s="387"/>
      <c r="CS7" s="387"/>
      <c r="CT7" s="387"/>
      <c r="CU7" s="387"/>
      <c r="CV7" s="387"/>
      <c r="CW7" s="387"/>
      <c r="CX7" s="387"/>
      <c r="CY7" s="387"/>
      <c r="CZ7" s="387"/>
      <c r="DA7" s="387"/>
      <c r="DB7" s="387"/>
      <c r="DC7" s="387"/>
      <c r="DD7" s="387"/>
      <c r="DE7" s="387"/>
      <c r="DF7" s="387"/>
      <c r="DG7" s="387"/>
      <c r="DH7" s="387"/>
      <c r="DI7" s="387"/>
      <c r="DJ7" s="387"/>
      <c r="DK7" s="387"/>
      <c r="DL7" s="387"/>
      <c r="DM7" s="387"/>
      <c r="DN7" s="387"/>
      <c r="DO7" s="387"/>
      <c r="DP7" s="387"/>
      <c r="DQ7" s="387"/>
      <c r="DR7" s="387"/>
      <c r="DS7" s="387"/>
      <c r="DT7" s="387"/>
      <c r="DU7" s="387"/>
      <c r="DV7" s="387"/>
      <c r="DW7" s="387"/>
      <c r="DX7" s="387"/>
      <c r="DY7" s="387"/>
      <c r="DZ7" s="387"/>
      <c r="EA7" s="387"/>
      <c r="EB7" s="387"/>
      <c r="EC7" s="387"/>
      <c r="ED7" s="387"/>
      <c r="EE7" s="387"/>
      <c r="EF7" s="387"/>
      <c r="EG7" s="387"/>
      <c r="EH7" s="387"/>
      <c r="EI7" s="387"/>
      <c r="EJ7" s="387"/>
      <c r="EK7" s="387"/>
      <c r="EL7" s="387"/>
      <c r="EM7" s="387"/>
      <c r="EN7" s="387"/>
      <c r="EO7" s="387"/>
      <c r="EP7" s="387"/>
      <c r="EQ7" s="387"/>
      <c r="ER7" s="387"/>
      <c r="ES7" s="387"/>
      <c r="ET7" s="387"/>
      <c r="EU7" s="387"/>
      <c r="EV7" s="387"/>
      <c r="EW7" s="387"/>
      <c r="EX7" s="387"/>
      <c r="EY7" s="387"/>
      <c r="EZ7" s="387"/>
      <c r="FA7" s="387"/>
      <c r="FB7" s="387"/>
      <c r="FC7" s="387"/>
      <c r="FD7" s="387"/>
      <c r="FE7" s="387"/>
      <c r="FF7" s="387"/>
      <c r="FG7" s="387"/>
      <c r="FH7" s="387"/>
      <c r="FI7" s="387"/>
      <c r="FJ7" s="387"/>
      <c r="FK7" s="387"/>
      <c r="FL7" s="387"/>
      <c r="FM7" s="387"/>
      <c r="FN7" s="387"/>
      <c r="FO7" s="387"/>
      <c r="FP7" s="387"/>
      <c r="FQ7" s="387"/>
      <c r="FR7" s="387"/>
      <c r="FS7" s="387"/>
      <c r="FT7" s="387"/>
      <c r="FU7" s="387"/>
      <c r="FV7" s="387"/>
      <c r="FW7" s="387"/>
      <c r="FX7" s="387"/>
      <c r="FY7" s="387"/>
      <c r="FZ7" s="387"/>
      <c r="GA7" s="387"/>
      <c r="GB7" s="387"/>
      <c r="GC7" s="387"/>
      <c r="GD7" s="387"/>
      <c r="GE7" s="387"/>
      <c r="GF7" s="387"/>
      <c r="GG7" s="387"/>
      <c r="GH7" s="387"/>
      <c r="GI7" s="387"/>
      <c r="GJ7" s="387"/>
      <c r="GK7" s="387"/>
      <c r="GL7" s="387"/>
      <c r="GM7" s="387"/>
      <c r="GN7" s="387"/>
      <c r="GO7" s="387"/>
      <c r="GP7" s="387"/>
      <c r="GQ7" s="387"/>
      <c r="GR7" s="387"/>
      <c r="GS7" s="387"/>
      <c r="GT7" s="387"/>
      <c r="GU7" s="387"/>
      <c r="GV7" s="387"/>
      <c r="GW7" s="387"/>
      <c r="GX7" s="387"/>
      <c r="GY7" s="387"/>
      <c r="GZ7" s="387"/>
      <c r="HA7" s="387"/>
      <c r="HB7" s="387"/>
      <c r="HC7" s="387"/>
      <c r="HD7" s="387"/>
      <c r="HE7" s="387"/>
      <c r="HF7" s="387"/>
      <c r="HG7" s="387"/>
      <c r="HH7" s="387"/>
      <c r="HI7" s="387"/>
      <c r="HJ7" s="387"/>
      <c r="HK7" s="387"/>
      <c r="HL7" s="387"/>
      <c r="HM7" s="387"/>
      <c r="HN7" s="387"/>
      <c r="HO7" s="387"/>
      <c r="HP7" s="387"/>
      <c r="HQ7" s="387"/>
      <c r="HR7" s="387"/>
      <c r="HS7" s="387"/>
      <c r="HT7" s="387"/>
      <c r="HU7" s="387"/>
      <c r="HV7" s="387"/>
      <c r="HW7" s="387"/>
      <c r="HX7" s="387"/>
      <c r="HY7" s="387"/>
      <c r="HZ7" s="387"/>
      <c r="IA7" s="387"/>
      <c r="IB7" s="387"/>
      <c r="IC7" s="387"/>
      <c r="ID7" s="387"/>
      <c r="IE7" s="387"/>
      <c r="IF7" s="387"/>
      <c r="IG7" s="387"/>
      <c r="IH7" s="387"/>
      <c r="II7" s="387"/>
      <c r="IJ7" s="387"/>
      <c r="IK7" s="387"/>
      <c r="IL7" s="387"/>
      <c r="IM7" s="387"/>
      <c r="IN7" s="387"/>
      <c r="IO7" s="387"/>
      <c r="IP7" s="387"/>
      <c r="IQ7" s="387"/>
      <c r="IR7" s="387"/>
      <c r="IS7" s="387"/>
      <c r="IT7" s="387"/>
      <c r="IU7" s="387"/>
      <c r="IV7" s="387"/>
    </row>
    <row r="8" spans="1:256" ht="25.5" x14ac:dyDescent="0.25">
      <c r="A8" s="388"/>
      <c r="B8" s="389" t="s">
        <v>234</v>
      </c>
      <c r="C8" s="389"/>
      <c r="D8" s="390" t="s">
        <v>235</v>
      </c>
      <c r="E8" s="385" t="s">
        <v>231</v>
      </c>
      <c r="F8" s="386" t="s">
        <v>232</v>
      </c>
      <c r="G8" s="566" t="s">
        <v>233</v>
      </c>
      <c r="H8" s="567"/>
      <c r="I8" s="387"/>
      <c r="J8" s="387"/>
      <c r="K8" s="387"/>
      <c r="L8" s="387"/>
      <c r="M8" s="387"/>
      <c r="N8" s="387"/>
      <c r="O8" s="387"/>
      <c r="P8" s="387"/>
      <c r="Q8" s="387"/>
      <c r="R8" s="387"/>
      <c r="S8" s="387"/>
      <c r="T8" s="387"/>
      <c r="U8" s="387"/>
      <c r="V8" s="387"/>
      <c r="W8" s="387"/>
      <c r="X8" s="387"/>
      <c r="Y8" s="387"/>
      <c r="Z8" s="387"/>
      <c r="AA8" s="387"/>
      <c r="AB8" s="387"/>
      <c r="AC8" s="387"/>
      <c r="AD8" s="387"/>
      <c r="AE8" s="387"/>
      <c r="AF8" s="387"/>
      <c r="AG8" s="387"/>
      <c r="AH8" s="387"/>
      <c r="AI8" s="387"/>
      <c r="AJ8" s="387"/>
      <c r="AK8" s="387"/>
      <c r="AL8" s="387"/>
      <c r="AM8" s="387"/>
      <c r="AN8" s="387"/>
      <c r="AO8" s="387"/>
      <c r="AP8" s="387"/>
      <c r="AQ8" s="387"/>
      <c r="AR8" s="387"/>
      <c r="AS8" s="387"/>
      <c r="AT8" s="387"/>
      <c r="AU8" s="387"/>
      <c r="AV8" s="387"/>
      <c r="AW8" s="387"/>
      <c r="AX8" s="387"/>
      <c r="AY8" s="387"/>
      <c r="AZ8" s="387"/>
      <c r="BA8" s="387"/>
      <c r="BB8" s="387"/>
      <c r="BC8" s="387"/>
      <c r="BD8" s="387"/>
      <c r="BE8" s="387"/>
      <c r="BF8" s="387"/>
      <c r="BG8" s="387"/>
      <c r="BH8" s="387"/>
      <c r="BI8" s="387"/>
      <c r="BJ8" s="387"/>
      <c r="BK8" s="387"/>
      <c r="BL8" s="387"/>
      <c r="BM8" s="387"/>
      <c r="BN8" s="387"/>
      <c r="BO8" s="387"/>
      <c r="BP8" s="387"/>
      <c r="BQ8" s="387"/>
      <c r="BR8" s="387"/>
      <c r="BS8" s="387"/>
      <c r="BT8" s="387"/>
      <c r="BU8" s="387"/>
      <c r="BV8" s="387"/>
      <c r="BW8" s="387"/>
      <c r="BX8" s="387"/>
      <c r="BY8" s="387"/>
      <c r="BZ8" s="387"/>
      <c r="CA8" s="387"/>
      <c r="CB8" s="387"/>
      <c r="CC8" s="387"/>
      <c r="CD8" s="387"/>
      <c r="CE8" s="387"/>
      <c r="CF8" s="387"/>
      <c r="CG8" s="387"/>
      <c r="CH8" s="387"/>
      <c r="CI8" s="387"/>
      <c r="CJ8" s="387"/>
      <c r="CK8" s="387"/>
      <c r="CL8" s="387"/>
      <c r="CM8" s="387"/>
      <c r="CN8" s="387"/>
      <c r="CO8" s="387"/>
      <c r="CP8" s="387"/>
      <c r="CQ8" s="387"/>
      <c r="CR8" s="387"/>
      <c r="CS8" s="387"/>
      <c r="CT8" s="387"/>
      <c r="CU8" s="387"/>
      <c r="CV8" s="387"/>
      <c r="CW8" s="387"/>
      <c r="CX8" s="387"/>
      <c r="CY8" s="387"/>
      <c r="CZ8" s="387"/>
      <c r="DA8" s="387"/>
      <c r="DB8" s="387"/>
      <c r="DC8" s="387"/>
      <c r="DD8" s="387"/>
      <c r="DE8" s="387"/>
      <c r="DF8" s="387"/>
      <c r="DG8" s="387"/>
      <c r="DH8" s="387"/>
      <c r="DI8" s="387"/>
      <c r="DJ8" s="387"/>
      <c r="DK8" s="387"/>
      <c r="DL8" s="387"/>
      <c r="DM8" s="387"/>
      <c r="DN8" s="387"/>
      <c r="DO8" s="387"/>
      <c r="DP8" s="387"/>
      <c r="DQ8" s="387"/>
      <c r="DR8" s="387"/>
      <c r="DS8" s="387"/>
      <c r="DT8" s="387"/>
      <c r="DU8" s="387"/>
      <c r="DV8" s="387"/>
      <c r="DW8" s="387"/>
      <c r="DX8" s="387"/>
      <c r="DY8" s="387"/>
      <c r="DZ8" s="387"/>
      <c r="EA8" s="387"/>
      <c r="EB8" s="387"/>
      <c r="EC8" s="387"/>
      <c r="ED8" s="387"/>
      <c r="EE8" s="387"/>
      <c r="EF8" s="387"/>
      <c r="EG8" s="387"/>
      <c r="EH8" s="387"/>
      <c r="EI8" s="387"/>
      <c r="EJ8" s="387"/>
      <c r="EK8" s="387"/>
      <c r="EL8" s="387"/>
      <c r="EM8" s="387"/>
      <c r="EN8" s="387"/>
      <c r="EO8" s="387"/>
      <c r="EP8" s="387"/>
      <c r="EQ8" s="387"/>
      <c r="ER8" s="387"/>
      <c r="ES8" s="387"/>
      <c r="ET8" s="387"/>
      <c r="EU8" s="387"/>
      <c r="EV8" s="387"/>
      <c r="EW8" s="387"/>
      <c r="EX8" s="387"/>
      <c r="EY8" s="387"/>
      <c r="EZ8" s="387"/>
      <c r="FA8" s="387"/>
      <c r="FB8" s="387"/>
      <c r="FC8" s="387"/>
      <c r="FD8" s="387"/>
      <c r="FE8" s="387"/>
      <c r="FF8" s="387"/>
      <c r="FG8" s="387"/>
      <c r="FH8" s="387"/>
      <c r="FI8" s="387"/>
      <c r="FJ8" s="387"/>
      <c r="FK8" s="387"/>
      <c r="FL8" s="387"/>
      <c r="FM8" s="387"/>
      <c r="FN8" s="387"/>
      <c r="FO8" s="387"/>
      <c r="FP8" s="387"/>
      <c r="FQ8" s="387"/>
      <c r="FR8" s="387"/>
      <c r="FS8" s="387"/>
      <c r="FT8" s="387"/>
      <c r="FU8" s="387"/>
      <c r="FV8" s="387"/>
      <c r="FW8" s="387"/>
      <c r="FX8" s="387"/>
      <c r="FY8" s="387"/>
      <c r="FZ8" s="387"/>
      <c r="GA8" s="387"/>
      <c r="GB8" s="387"/>
      <c r="GC8" s="387"/>
      <c r="GD8" s="387"/>
      <c r="GE8" s="387"/>
      <c r="GF8" s="387"/>
      <c r="GG8" s="387"/>
      <c r="GH8" s="387"/>
      <c r="GI8" s="387"/>
      <c r="GJ8" s="387"/>
      <c r="GK8" s="387"/>
      <c r="GL8" s="387"/>
      <c r="GM8" s="387"/>
      <c r="GN8" s="387"/>
      <c r="GO8" s="387"/>
      <c r="GP8" s="387"/>
      <c r="GQ8" s="387"/>
      <c r="GR8" s="387"/>
      <c r="GS8" s="387"/>
      <c r="GT8" s="387"/>
      <c r="GU8" s="387"/>
      <c r="GV8" s="387"/>
      <c r="GW8" s="387"/>
      <c r="GX8" s="387"/>
      <c r="GY8" s="387"/>
      <c r="GZ8" s="387"/>
      <c r="HA8" s="387"/>
      <c r="HB8" s="387"/>
      <c r="HC8" s="387"/>
      <c r="HD8" s="387"/>
      <c r="HE8" s="387"/>
      <c r="HF8" s="387"/>
      <c r="HG8" s="387"/>
      <c r="HH8" s="387"/>
      <c r="HI8" s="387"/>
      <c r="HJ8" s="387"/>
      <c r="HK8" s="387"/>
      <c r="HL8" s="387"/>
      <c r="HM8" s="387"/>
      <c r="HN8" s="387"/>
      <c r="HO8" s="387"/>
      <c r="HP8" s="387"/>
      <c r="HQ8" s="387"/>
      <c r="HR8" s="387"/>
      <c r="HS8" s="387"/>
      <c r="HT8" s="387"/>
      <c r="HU8" s="387"/>
      <c r="HV8" s="387"/>
      <c r="HW8" s="387"/>
      <c r="HX8" s="387"/>
      <c r="HY8" s="387"/>
      <c r="HZ8" s="387"/>
      <c r="IA8" s="387"/>
      <c r="IB8" s="387"/>
      <c r="IC8" s="387"/>
      <c r="ID8" s="387"/>
      <c r="IE8" s="387"/>
      <c r="IF8" s="387"/>
      <c r="IG8" s="387"/>
      <c r="IH8" s="387"/>
      <c r="II8" s="387"/>
      <c r="IJ8" s="387"/>
      <c r="IK8" s="387"/>
      <c r="IL8" s="387"/>
      <c r="IM8" s="387"/>
      <c r="IN8" s="387"/>
      <c r="IO8" s="387"/>
      <c r="IP8" s="387"/>
      <c r="IQ8" s="387"/>
      <c r="IR8" s="387"/>
      <c r="IS8" s="387"/>
      <c r="IT8" s="387"/>
      <c r="IU8" s="387"/>
      <c r="IV8" s="387"/>
    </row>
    <row r="9" spans="1:256" ht="15.75" x14ac:dyDescent="0.25">
      <c r="A9" s="388"/>
      <c r="B9" s="389"/>
      <c r="C9" s="389"/>
      <c r="D9" s="393"/>
      <c r="E9" s="391"/>
      <c r="F9" s="394"/>
      <c r="G9" s="568"/>
      <c r="H9" s="569"/>
      <c r="I9" s="387"/>
      <c r="J9" s="387"/>
      <c r="K9" s="387"/>
      <c r="L9" s="387"/>
      <c r="M9" s="387"/>
      <c r="N9" s="387"/>
      <c r="O9" s="387"/>
      <c r="P9" s="387"/>
      <c r="Q9" s="387"/>
      <c r="R9" s="387"/>
      <c r="S9" s="387"/>
      <c r="T9" s="387"/>
      <c r="U9" s="387"/>
      <c r="V9" s="387"/>
      <c r="W9" s="387"/>
      <c r="X9" s="387"/>
      <c r="Y9" s="387"/>
      <c r="Z9" s="387"/>
      <c r="AA9" s="387"/>
      <c r="AB9" s="387"/>
      <c r="AC9" s="387"/>
      <c r="AD9" s="387"/>
      <c r="AE9" s="387"/>
      <c r="AF9" s="387"/>
      <c r="AG9" s="387"/>
      <c r="AH9" s="387"/>
      <c r="AI9" s="387"/>
      <c r="AJ9" s="387"/>
      <c r="AK9" s="387"/>
      <c r="AL9" s="387"/>
      <c r="AM9" s="387"/>
      <c r="AN9" s="387"/>
      <c r="AO9" s="387"/>
      <c r="AP9" s="387"/>
      <c r="AQ9" s="387"/>
      <c r="AR9" s="387"/>
      <c r="AS9" s="387"/>
      <c r="AT9" s="387"/>
      <c r="AU9" s="387"/>
      <c r="AV9" s="387"/>
      <c r="AW9" s="387"/>
      <c r="AX9" s="387"/>
      <c r="AY9" s="387"/>
      <c r="AZ9" s="387"/>
      <c r="BA9" s="387"/>
      <c r="BB9" s="387"/>
      <c r="BC9" s="387"/>
      <c r="BD9" s="387"/>
      <c r="BE9" s="387"/>
      <c r="BF9" s="387"/>
      <c r="BG9" s="387"/>
      <c r="BH9" s="387"/>
      <c r="BI9" s="387"/>
      <c r="BJ9" s="387"/>
      <c r="BK9" s="387"/>
      <c r="BL9" s="387"/>
      <c r="BM9" s="387"/>
      <c r="BN9" s="387"/>
      <c r="BO9" s="387"/>
      <c r="BP9" s="387"/>
      <c r="BQ9" s="387"/>
      <c r="BR9" s="387"/>
      <c r="BS9" s="387"/>
      <c r="BT9" s="387"/>
      <c r="BU9" s="387"/>
      <c r="BV9" s="387"/>
      <c r="BW9" s="387"/>
      <c r="BX9" s="387"/>
      <c r="BY9" s="387"/>
      <c r="BZ9" s="387"/>
      <c r="CA9" s="387"/>
      <c r="CB9" s="387"/>
      <c r="CC9" s="387"/>
      <c r="CD9" s="387"/>
      <c r="CE9" s="387"/>
      <c r="CF9" s="387"/>
      <c r="CG9" s="387"/>
      <c r="CH9" s="387"/>
      <c r="CI9" s="387"/>
      <c r="CJ9" s="387"/>
      <c r="CK9" s="387"/>
      <c r="CL9" s="387"/>
      <c r="CM9" s="387"/>
      <c r="CN9" s="387"/>
      <c r="CO9" s="387"/>
      <c r="CP9" s="387"/>
      <c r="CQ9" s="387"/>
      <c r="CR9" s="387"/>
      <c r="CS9" s="387"/>
      <c r="CT9" s="387"/>
      <c r="CU9" s="387"/>
      <c r="CV9" s="387"/>
      <c r="CW9" s="387"/>
      <c r="CX9" s="387"/>
      <c r="CY9" s="387"/>
      <c r="CZ9" s="387"/>
      <c r="DA9" s="387"/>
      <c r="DB9" s="387"/>
      <c r="DC9" s="387"/>
      <c r="DD9" s="387"/>
      <c r="DE9" s="387"/>
      <c r="DF9" s="387"/>
      <c r="DG9" s="387"/>
      <c r="DH9" s="387"/>
      <c r="DI9" s="387"/>
      <c r="DJ9" s="387"/>
      <c r="DK9" s="387"/>
      <c r="DL9" s="387"/>
      <c r="DM9" s="387"/>
      <c r="DN9" s="387"/>
      <c r="DO9" s="387"/>
      <c r="DP9" s="387"/>
      <c r="DQ9" s="387"/>
      <c r="DR9" s="387"/>
      <c r="DS9" s="387"/>
      <c r="DT9" s="387"/>
      <c r="DU9" s="387"/>
      <c r="DV9" s="387"/>
      <c r="DW9" s="387"/>
      <c r="DX9" s="387"/>
      <c r="DY9" s="387"/>
      <c r="DZ9" s="387"/>
      <c r="EA9" s="387"/>
      <c r="EB9" s="387"/>
      <c r="EC9" s="387"/>
      <c r="ED9" s="387"/>
      <c r="EE9" s="387"/>
      <c r="EF9" s="387"/>
      <c r="EG9" s="387"/>
      <c r="EH9" s="387"/>
      <c r="EI9" s="387"/>
      <c r="EJ9" s="387"/>
      <c r="EK9" s="387"/>
      <c r="EL9" s="387"/>
      <c r="EM9" s="387"/>
      <c r="EN9" s="387"/>
      <c r="EO9" s="387"/>
      <c r="EP9" s="387"/>
      <c r="EQ9" s="387"/>
      <c r="ER9" s="387"/>
      <c r="ES9" s="387"/>
      <c r="ET9" s="387"/>
      <c r="EU9" s="387"/>
      <c r="EV9" s="387"/>
      <c r="EW9" s="387"/>
      <c r="EX9" s="387"/>
      <c r="EY9" s="387"/>
      <c r="EZ9" s="387"/>
      <c r="FA9" s="387"/>
      <c r="FB9" s="387"/>
      <c r="FC9" s="387"/>
      <c r="FD9" s="387"/>
      <c r="FE9" s="387"/>
      <c r="FF9" s="387"/>
      <c r="FG9" s="387"/>
      <c r="FH9" s="387"/>
      <c r="FI9" s="387"/>
      <c r="FJ9" s="387"/>
      <c r="FK9" s="387"/>
      <c r="FL9" s="387"/>
      <c r="FM9" s="387"/>
      <c r="FN9" s="387"/>
      <c r="FO9" s="387"/>
      <c r="FP9" s="387"/>
      <c r="FQ9" s="387"/>
      <c r="FR9" s="387"/>
      <c r="FS9" s="387"/>
      <c r="FT9" s="387"/>
      <c r="FU9" s="387"/>
      <c r="FV9" s="387"/>
      <c r="FW9" s="387"/>
      <c r="FX9" s="387"/>
      <c r="FY9" s="387"/>
      <c r="FZ9" s="387"/>
      <c r="GA9" s="387"/>
      <c r="GB9" s="387"/>
      <c r="GC9" s="387"/>
      <c r="GD9" s="387"/>
      <c r="GE9" s="387"/>
      <c r="GF9" s="387"/>
      <c r="GG9" s="387"/>
      <c r="GH9" s="387"/>
      <c r="GI9" s="387"/>
      <c r="GJ9" s="387"/>
      <c r="GK9" s="387"/>
      <c r="GL9" s="387"/>
      <c r="GM9" s="387"/>
      <c r="GN9" s="387"/>
      <c r="GO9" s="387"/>
      <c r="GP9" s="387"/>
      <c r="GQ9" s="387"/>
      <c r="GR9" s="387"/>
      <c r="GS9" s="387"/>
      <c r="GT9" s="387"/>
      <c r="GU9" s="387"/>
      <c r="GV9" s="387"/>
      <c r="GW9" s="387"/>
      <c r="GX9" s="387"/>
      <c r="GY9" s="387"/>
      <c r="GZ9" s="387"/>
      <c r="HA9" s="387"/>
      <c r="HB9" s="387"/>
      <c r="HC9" s="387"/>
      <c r="HD9" s="387"/>
      <c r="HE9" s="387"/>
      <c r="HF9" s="387"/>
      <c r="HG9" s="387"/>
      <c r="HH9" s="387"/>
      <c r="HI9" s="387"/>
      <c r="HJ9" s="387"/>
      <c r="HK9" s="387"/>
      <c r="HL9" s="387"/>
      <c r="HM9" s="387"/>
      <c r="HN9" s="387"/>
      <c r="HO9" s="387"/>
      <c r="HP9" s="387"/>
      <c r="HQ9" s="387"/>
      <c r="HR9" s="387"/>
      <c r="HS9" s="387"/>
      <c r="HT9" s="387"/>
      <c r="HU9" s="387"/>
      <c r="HV9" s="387"/>
      <c r="HW9" s="387"/>
      <c r="HX9" s="387"/>
      <c r="HY9" s="387"/>
      <c r="HZ9" s="387"/>
      <c r="IA9" s="387"/>
      <c r="IB9" s="387"/>
      <c r="IC9" s="387"/>
      <c r="ID9" s="387"/>
      <c r="IE9" s="387"/>
      <c r="IF9" s="387"/>
      <c r="IG9" s="387"/>
      <c r="IH9" s="387"/>
      <c r="II9" s="387"/>
      <c r="IJ9" s="387"/>
      <c r="IK9" s="387"/>
      <c r="IL9" s="387"/>
      <c r="IM9" s="387"/>
      <c r="IN9" s="387"/>
      <c r="IO9" s="387"/>
      <c r="IP9" s="387"/>
      <c r="IQ9" s="387"/>
      <c r="IR9" s="387"/>
      <c r="IS9" s="387"/>
      <c r="IT9" s="387"/>
      <c r="IU9" s="387"/>
      <c r="IV9" s="387"/>
    </row>
    <row r="10" spans="1:256" ht="15.75" x14ac:dyDescent="0.25">
      <c r="A10" s="388"/>
      <c r="B10" s="389"/>
      <c r="C10" s="389"/>
      <c r="D10" s="395"/>
      <c r="E10" s="391"/>
      <c r="F10" s="394"/>
      <c r="G10" s="568"/>
      <c r="H10" s="569"/>
      <c r="I10" s="387"/>
      <c r="J10" s="387"/>
      <c r="K10" s="387"/>
      <c r="L10" s="387"/>
      <c r="M10" s="387"/>
      <c r="N10" s="387"/>
      <c r="O10" s="387"/>
      <c r="P10" s="387"/>
      <c r="Q10" s="387"/>
      <c r="R10" s="387"/>
      <c r="S10" s="387"/>
      <c r="T10" s="387"/>
      <c r="U10" s="387"/>
      <c r="V10" s="387"/>
      <c r="W10" s="387"/>
      <c r="X10" s="387"/>
      <c r="Y10" s="387"/>
      <c r="Z10" s="387"/>
      <c r="AA10" s="387"/>
      <c r="AB10" s="387"/>
      <c r="AC10" s="387"/>
      <c r="AD10" s="387"/>
      <c r="AE10" s="387"/>
      <c r="AF10" s="387"/>
      <c r="AG10" s="387"/>
      <c r="AH10" s="387"/>
      <c r="AI10" s="387"/>
      <c r="AJ10" s="387"/>
      <c r="AK10" s="387"/>
      <c r="AL10" s="387"/>
      <c r="AM10" s="387"/>
      <c r="AN10" s="387"/>
      <c r="AO10" s="387"/>
      <c r="AP10" s="387"/>
      <c r="AQ10" s="387"/>
      <c r="AR10" s="387"/>
      <c r="AS10" s="387"/>
      <c r="AT10" s="387"/>
      <c r="AU10" s="387"/>
      <c r="AV10" s="387"/>
      <c r="AW10" s="387"/>
      <c r="AX10" s="387"/>
      <c r="AY10" s="387"/>
      <c r="AZ10" s="387"/>
      <c r="BA10" s="387"/>
      <c r="BB10" s="387"/>
      <c r="BC10" s="387"/>
      <c r="BD10" s="387"/>
      <c r="BE10" s="387"/>
      <c r="BF10" s="387"/>
      <c r="BG10" s="387"/>
      <c r="BH10" s="387"/>
      <c r="BI10" s="387"/>
      <c r="BJ10" s="387"/>
      <c r="BK10" s="387"/>
      <c r="BL10" s="387"/>
      <c r="BM10" s="387"/>
      <c r="BN10" s="387"/>
      <c r="BO10" s="387"/>
      <c r="BP10" s="387"/>
      <c r="BQ10" s="387"/>
      <c r="BR10" s="387"/>
      <c r="BS10" s="387"/>
      <c r="BT10" s="387"/>
      <c r="BU10" s="387"/>
      <c r="BV10" s="387"/>
      <c r="BW10" s="387"/>
      <c r="BX10" s="387"/>
      <c r="BY10" s="387"/>
      <c r="BZ10" s="387"/>
      <c r="CA10" s="387"/>
      <c r="CB10" s="387"/>
      <c r="CC10" s="387"/>
      <c r="CD10" s="387"/>
      <c r="CE10" s="387"/>
      <c r="CF10" s="387"/>
      <c r="CG10" s="387"/>
      <c r="CH10" s="387"/>
      <c r="CI10" s="387"/>
      <c r="CJ10" s="387"/>
      <c r="CK10" s="387"/>
      <c r="CL10" s="387"/>
      <c r="CM10" s="387"/>
      <c r="CN10" s="387"/>
      <c r="CO10" s="387"/>
      <c r="CP10" s="387"/>
      <c r="CQ10" s="387"/>
      <c r="CR10" s="387"/>
      <c r="CS10" s="387"/>
      <c r="CT10" s="387"/>
      <c r="CU10" s="387"/>
      <c r="CV10" s="387"/>
      <c r="CW10" s="387"/>
      <c r="CX10" s="387"/>
      <c r="CY10" s="387"/>
      <c r="CZ10" s="387"/>
      <c r="DA10" s="387"/>
      <c r="DB10" s="387"/>
      <c r="DC10" s="387"/>
      <c r="DD10" s="387"/>
      <c r="DE10" s="387"/>
      <c r="DF10" s="387"/>
      <c r="DG10" s="387"/>
      <c r="DH10" s="387"/>
      <c r="DI10" s="387"/>
      <c r="DJ10" s="387"/>
      <c r="DK10" s="387"/>
      <c r="DL10" s="387"/>
      <c r="DM10" s="387"/>
      <c r="DN10" s="387"/>
      <c r="DO10" s="387"/>
      <c r="DP10" s="387"/>
      <c r="DQ10" s="387"/>
      <c r="DR10" s="387"/>
      <c r="DS10" s="387"/>
      <c r="DT10" s="387"/>
      <c r="DU10" s="387"/>
      <c r="DV10" s="387"/>
      <c r="DW10" s="387"/>
      <c r="DX10" s="387"/>
      <c r="DY10" s="387"/>
      <c r="DZ10" s="387"/>
      <c r="EA10" s="387"/>
      <c r="EB10" s="387"/>
      <c r="EC10" s="387"/>
      <c r="ED10" s="387"/>
      <c r="EE10" s="387"/>
      <c r="EF10" s="387"/>
      <c r="EG10" s="387"/>
      <c r="EH10" s="387"/>
      <c r="EI10" s="387"/>
      <c r="EJ10" s="387"/>
      <c r="EK10" s="387"/>
      <c r="EL10" s="387"/>
      <c r="EM10" s="387"/>
      <c r="EN10" s="387"/>
      <c r="EO10" s="387"/>
      <c r="EP10" s="387"/>
      <c r="EQ10" s="387"/>
      <c r="ER10" s="387"/>
      <c r="ES10" s="387"/>
      <c r="ET10" s="387"/>
      <c r="EU10" s="387"/>
      <c r="EV10" s="387"/>
      <c r="EW10" s="387"/>
      <c r="EX10" s="387"/>
      <c r="EY10" s="387"/>
      <c r="EZ10" s="387"/>
      <c r="FA10" s="387"/>
      <c r="FB10" s="387"/>
      <c r="FC10" s="387"/>
      <c r="FD10" s="387"/>
      <c r="FE10" s="387"/>
      <c r="FF10" s="387"/>
      <c r="FG10" s="387"/>
      <c r="FH10" s="387"/>
      <c r="FI10" s="387"/>
      <c r="FJ10" s="387"/>
      <c r="FK10" s="387"/>
      <c r="FL10" s="387"/>
      <c r="FM10" s="387"/>
      <c r="FN10" s="387"/>
      <c r="FO10" s="387"/>
      <c r="FP10" s="387"/>
      <c r="FQ10" s="387"/>
      <c r="FR10" s="387"/>
      <c r="FS10" s="387"/>
      <c r="FT10" s="387"/>
      <c r="FU10" s="387"/>
      <c r="FV10" s="387"/>
      <c r="FW10" s="387"/>
      <c r="FX10" s="387"/>
      <c r="FY10" s="387"/>
      <c r="FZ10" s="387"/>
      <c r="GA10" s="387"/>
      <c r="GB10" s="387"/>
      <c r="GC10" s="387"/>
      <c r="GD10" s="387"/>
      <c r="GE10" s="387"/>
      <c r="GF10" s="387"/>
      <c r="GG10" s="387"/>
      <c r="GH10" s="387"/>
      <c r="GI10" s="387"/>
      <c r="GJ10" s="387"/>
      <c r="GK10" s="387"/>
      <c r="GL10" s="387"/>
      <c r="GM10" s="387"/>
      <c r="GN10" s="387"/>
      <c r="GO10" s="387"/>
      <c r="GP10" s="387"/>
      <c r="GQ10" s="387"/>
      <c r="GR10" s="387"/>
      <c r="GS10" s="387"/>
      <c r="GT10" s="387"/>
      <c r="GU10" s="387"/>
      <c r="GV10" s="387"/>
      <c r="GW10" s="387"/>
      <c r="GX10" s="387"/>
      <c r="GY10" s="387"/>
      <c r="GZ10" s="387"/>
      <c r="HA10" s="387"/>
      <c r="HB10" s="387"/>
      <c r="HC10" s="387"/>
      <c r="HD10" s="387"/>
      <c r="HE10" s="387"/>
      <c r="HF10" s="387"/>
      <c r="HG10" s="387"/>
      <c r="HH10" s="387"/>
      <c r="HI10" s="387"/>
      <c r="HJ10" s="387"/>
      <c r="HK10" s="387"/>
      <c r="HL10" s="387"/>
      <c r="HM10" s="387"/>
      <c r="HN10" s="387"/>
      <c r="HO10" s="387"/>
      <c r="HP10" s="387"/>
      <c r="HQ10" s="387"/>
      <c r="HR10" s="387"/>
      <c r="HS10" s="387"/>
      <c r="HT10" s="387"/>
      <c r="HU10" s="387"/>
      <c r="HV10" s="387"/>
      <c r="HW10" s="387"/>
      <c r="HX10" s="387"/>
      <c r="HY10" s="387"/>
      <c r="HZ10" s="387"/>
      <c r="IA10" s="387"/>
      <c r="IB10" s="387"/>
      <c r="IC10" s="387"/>
      <c r="ID10" s="387"/>
      <c r="IE10" s="387"/>
      <c r="IF10" s="387"/>
      <c r="IG10" s="387"/>
      <c r="IH10" s="387"/>
      <c r="II10" s="387"/>
      <c r="IJ10" s="387"/>
      <c r="IK10" s="387"/>
      <c r="IL10" s="387"/>
      <c r="IM10" s="387"/>
      <c r="IN10" s="387"/>
      <c r="IO10" s="387"/>
      <c r="IP10" s="387"/>
      <c r="IQ10" s="387"/>
      <c r="IR10" s="387"/>
      <c r="IS10" s="387"/>
      <c r="IT10" s="387"/>
      <c r="IU10" s="387"/>
      <c r="IV10" s="387"/>
    </row>
    <row r="11" spans="1:256" ht="15.75" x14ac:dyDescent="0.25">
      <c r="A11" s="388"/>
      <c r="B11" s="389"/>
      <c r="C11" s="389"/>
      <c r="D11" s="396"/>
      <c r="E11" s="391"/>
      <c r="F11" s="392"/>
      <c r="G11" s="568"/>
      <c r="H11" s="569"/>
      <c r="I11" s="387"/>
      <c r="J11" s="387"/>
      <c r="K11" s="387"/>
      <c r="L11" s="387"/>
      <c r="M11" s="387"/>
      <c r="N11" s="387"/>
      <c r="O11" s="387"/>
      <c r="P11" s="387"/>
      <c r="Q11" s="387"/>
      <c r="R11" s="387"/>
      <c r="S11" s="387"/>
      <c r="T11" s="387"/>
      <c r="U11" s="387"/>
      <c r="V11" s="387"/>
      <c r="W11" s="387"/>
      <c r="X11" s="387"/>
      <c r="Y11" s="387"/>
      <c r="Z11" s="387"/>
      <c r="AA11" s="387"/>
      <c r="AB11" s="387"/>
      <c r="AC11" s="387"/>
      <c r="AD11" s="387"/>
      <c r="AE11" s="387"/>
      <c r="AF11" s="387"/>
      <c r="AG11" s="387"/>
      <c r="AH11" s="387"/>
      <c r="AI11" s="387"/>
      <c r="AJ11" s="387"/>
      <c r="AK11" s="387"/>
      <c r="AL11" s="387"/>
      <c r="AM11" s="387"/>
      <c r="AN11" s="387"/>
      <c r="AO11" s="387"/>
      <c r="AP11" s="387"/>
      <c r="AQ11" s="387"/>
      <c r="AR11" s="387"/>
      <c r="AS11" s="387"/>
      <c r="AT11" s="387"/>
      <c r="AU11" s="387"/>
      <c r="AV11" s="387"/>
      <c r="AW11" s="387"/>
      <c r="AX11" s="387"/>
      <c r="AY11" s="387"/>
      <c r="AZ11" s="387"/>
      <c r="BA11" s="387"/>
      <c r="BB11" s="387"/>
      <c r="BC11" s="387"/>
      <c r="BD11" s="387"/>
      <c r="BE11" s="387"/>
      <c r="BF11" s="387"/>
      <c r="BG11" s="387"/>
      <c r="BH11" s="387"/>
      <c r="BI11" s="387"/>
      <c r="BJ11" s="387"/>
      <c r="BK11" s="387"/>
      <c r="BL11" s="387"/>
      <c r="BM11" s="387"/>
      <c r="BN11" s="387"/>
      <c r="BO11" s="387"/>
      <c r="BP11" s="387"/>
      <c r="BQ11" s="387"/>
      <c r="BR11" s="387"/>
      <c r="BS11" s="387"/>
      <c r="BT11" s="387"/>
      <c r="BU11" s="387"/>
      <c r="BV11" s="387"/>
      <c r="BW11" s="387"/>
      <c r="BX11" s="387"/>
      <c r="BY11" s="387"/>
      <c r="BZ11" s="387"/>
      <c r="CA11" s="387"/>
      <c r="CB11" s="387"/>
      <c r="CC11" s="387"/>
      <c r="CD11" s="387"/>
      <c r="CE11" s="387"/>
      <c r="CF11" s="387"/>
      <c r="CG11" s="387"/>
      <c r="CH11" s="387"/>
      <c r="CI11" s="387"/>
      <c r="CJ11" s="387"/>
      <c r="CK11" s="387"/>
      <c r="CL11" s="387"/>
      <c r="CM11" s="387"/>
      <c r="CN11" s="387"/>
      <c r="CO11" s="387"/>
      <c r="CP11" s="387"/>
      <c r="CQ11" s="387"/>
      <c r="CR11" s="387"/>
      <c r="CS11" s="387"/>
      <c r="CT11" s="387"/>
      <c r="CU11" s="387"/>
      <c r="CV11" s="387"/>
      <c r="CW11" s="387"/>
      <c r="CX11" s="387"/>
      <c r="CY11" s="387"/>
      <c r="CZ11" s="387"/>
      <c r="DA11" s="387"/>
      <c r="DB11" s="387"/>
      <c r="DC11" s="387"/>
      <c r="DD11" s="387"/>
      <c r="DE11" s="387"/>
      <c r="DF11" s="387"/>
      <c r="DG11" s="387"/>
      <c r="DH11" s="387"/>
      <c r="DI11" s="387"/>
      <c r="DJ11" s="387"/>
      <c r="DK11" s="387"/>
      <c r="DL11" s="387"/>
      <c r="DM11" s="387"/>
      <c r="DN11" s="387"/>
      <c r="DO11" s="387"/>
      <c r="DP11" s="387"/>
      <c r="DQ11" s="387"/>
      <c r="DR11" s="387"/>
      <c r="DS11" s="387"/>
      <c r="DT11" s="387"/>
      <c r="DU11" s="387"/>
      <c r="DV11" s="387"/>
      <c r="DW11" s="387"/>
      <c r="DX11" s="387"/>
      <c r="DY11" s="387"/>
      <c r="DZ11" s="387"/>
      <c r="EA11" s="387"/>
      <c r="EB11" s="387"/>
      <c r="EC11" s="387"/>
      <c r="ED11" s="387"/>
      <c r="EE11" s="387"/>
      <c r="EF11" s="387"/>
      <c r="EG11" s="387"/>
      <c r="EH11" s="387"/>
      <c r="EI11" s="387"/>
      <c r="EJ11" s="387"/>
      <c r="EK11" s="387"/>
      <c r="EL11" s="387"/>
      <c r="EM11" s="387"/>
      <c r="EN11" s="387"/>
      <c r="EO11" s="387"/>
      <c r="EP11" s="387"/>
      <c r="EQ11" s="387"/>
      <c r="ER11" s="387"/>
      <c r="ES11" s="387"/>
      <c r="ET11" s="387"/>
      <c r="EU11" s="387"/>
      <c r="EV11" s="387"/>
      <c r="EW11" s="387"/>
      <c r="EX11" s="387"/>
      <c r="EY11" s="387"/>
      <c r="EZ11" s="387"/>
      <c r="FA11" s="387"/>
      <c r="FB11" s="387"/>
      <c r="FC11" s="387"/>
      <c r="FD11" s="387"/>
      <c r="FE11" s="387"/>
      <c r="FF11" s="387"/>
      <c r="FG11" s="387"/>
      <c r="FH11" s="387"/>
      <c r="FI11" s="387"/>
      <c r="FJ11" s="387"/>
      <c r="FK11" s="387"/>
      <c r="FL11" s="387"/>
      <c r="FM11" s="387"/>
      <c r="FN11" s="387"/>
      <c r="FO11" s="387"/>
      <c r="FP11" s="387"/>
      <c r="FQ11" s="387"/>
      <c r="FR11" s="387"/>
      <c r="FS11" s="387"/>
      <c r="FT11" s="387"/>
      <c r="FU11" s="387"/>
      <c r="FV11" s="387"/>
      <c r="FW11" s="387"/>
      <c r="FX11" s="387"/>
      <c r="FY11" s="387"/>
      <c r="FZ11" s="387"/>
      <c r="GA11" s="387"/>
      <c r="GB11" s="387"/>
      <c r="GC11" s="387"/>
      <c r="GD11" s="387"/>
      <c r="GE11" s="387"/>
      <c r="GF11" s="387"/>
      <c r="GG11" s="387"/>
      <c r="GH11" s="387"/>
      <c r="GI11" s="387"/>
      <c r="GJ11" s="387"/>
      <c r="GK11" s="387"/>
      <c r="GL11" s="387"/>
      <c r="GM11" s="387"/>
      <c r="GN11" s="387"/>
      <c r="GO11" s="387"/>
      <c r="GP11" s="387"/>
      <c r="GQ11" s="387"/>
      <c r="GR11" s="387"/>
      <c r="GS11" s="387"/>
      <c r="GT11" s="387"/>
      <c r="GU11" s="387"/>
      <c r="GV11" s="387"/>
      <c r="GW11" s="387"/>
      <c r="GX11" s="387"/>
      <c r="GY11" s="387"/>
      <c r="GZ11" s="387"/>
      <c r="HA11" s="387"/>
      <c r="HB11" s="387"/>
      <c r="HC11" s="387"/>
      <c r="HD11" s="387"/>
      <c r="HE11" s="387"/>
      <c r="HF11" s="387"/>
      <c r="HG11" s="387"/>
      <c r="HH11" s="387"/>
      <c r="HI11" s="387"/>
      <c r="HJ11" s="387"/>
      <c r="HK11" s="387"/>
      <c r="HL11" s="387"/>
      <c r="HM11" s="387"/>
      <c r="HN11" s="387"/>
      <c r="HO11" s="387"/>
      <c r="HP11" s="387"/>
      <c r="HQ11" s="387"/>
      <c r="HR11" s="387"/>
      <c r="HS11" s="387"/>
      <c r="HT11" s="387"/>
      <c r="HU11" s="387"/>
      <c r="HV11" s="387"/>
      <c r="HW11" s="387"/>
      <c r="HX11" s="387"/>
      <c r="HY11" s="387"/>
      <c r="HZ11" s="387"/>
      <c r="IA11" s="387"/>
      <c r="IB11" s="387"/>
      <c r="IC11" s="387"/>
      <c r="ID11" s="387"/>
      <c r="IE11" s="387"/>
      <c r="IF11" s="387"/>
      <c r="IG11" s="387"/>
      <c r="IH11" s="387"/>
      <c r="II11" s="387"/>
      <c r="IJ11" s="387"/>
      <c r="IK11" s="387"/>
      <c r="IL11" s="387"/>
      <c r="IM11" s="387"/>
      <c r="IN11" s="387"/>
      <c r="IO11" s="387"/>
      <c r="IP11" s="387"/>
      <c r="IQ11" s="387"/>
      <c r="IR11" s="387"/>
      <c r="IS11" s="387"/>
      <c r="IT11" s="387"/>
      <c r="IU11" s="387"/>
      <c r="IV11" s="387"/>
    </row>
    <row r="12" spans="1:256" ht="15.75" x14ac:dyDescent="0.25">
      <c r="A12" s="388"/>
      <c r="B12" s="389"/>
      <c r="C12" s="389"/>
      <c r="D12" s="396"/>
      <c r="E12" s="391"/>
      <c r="F12" s="392"/>
      <c r="G12" s="568"/>
      <c r="H12" s="569"/>
      <c r="I12" s="387"/>
      <c r="J12" s="387"/>
      <c r="K12" s="387"/>
      <c r="L12" s="387"/>
      <c r="M12" s="387"/>
      <c r="N12" s="387"/>
      <c r="O12" s="387"/>
      <c r="P12" s="387"/>
      <c r="Q12" s="387"/>
      <c r="R12" s="387"/>
      <c r="S12" s="387"/>
      <c r="T12" s="387"/>
      <c r="U12" s="387"/>
      <c r="V12" s="387"/>
      <c r="W12" s="387"/>
      <c r="X12" s="387"/>
      <c r="Y12" s="387"/>
      <c r="Z12" s="387"/>
      <c r="AA12" s="387"/>
      <c r="AB12" s="387"/>
      <c r="AC12" s="387"/>
      <c r="AD12" s="387"/>
      <c r="AE12" s="387"/>
      <c r="AF12" s="387"/>
      <c r="AG12" s="387"/>
      <c r="AH12" s="387"/>
      <c r="AI12" s="387"/>
      <c r="AJ12" s="387"/>
      <c r="AK12" s="387"/>
      <c r="AL12" s="387"/>
      <c r="AM12" s="387"/>
      <c r="AN12" s="387"/>
      <c r="AO12" s="387"/>
      <c r="AP12" s="387"/>
      <c r="AQ12" s="387"/>
      <c r="AR12" s="387"/>
      <c r="AS12" s="387"/>
      <c r="AT12" s="387"/>
      <c r="AU12" s="387"/>
      <c r="AV12" s="387"/>
      <c r="AW12" s="387"/>
      <c r="AX12" s="387"/>
      <c r="AY12" s="387"/>
      <c r="AZ12" s="387"/>
      <c r="BA12" s="387"/>
      <c r="BB12" s="387"/>
      <c r="BC12" s="387"/>
      <c r="BD12" s="387"/>
      <c r="BE12" s="387"/>
      <c r="BF12" s="387"/>
      <c r="BG12" s="387"/>
      <c r="BH12" s="387"/>
      <c r="BI12" s="387"/>
      <c r="BJ12" s="387"/>
      <c r="BK12" s="387"/>
      <c r="BL12" s="387"/>
      <c r="BM12" s="387"/>
      <c r="BN12" s="387"/>
      <c r="BO12" s="387"/>
      <c r="BP12" s="387"/>
      <c r="BQ12" s="387"/>
      <c r="BR12" s="387"/>
      <c r="BS12" s="387"/>
      <c r="BT12" s="387"/>
      <c r="BU12" s="387"/>
      <c r="BV12" s="387"/>
      <c r="BW12" s="387"/>
      <c r="BX12" s="387"/>
      <c r="BY12" s="387"/>
      <c r="BZ12" s="387"/>
      <c r="CA12" s="387"/>
      <c r="CB12" s="387"/>
      <c r="CC12" s="387"/>
      <c r="CD12" s="387"/>
      <c r="CE12" s="387"/>
      <c r="CF12" s="387"/>
      <c r="CG12" s="387"/>
      <c r="CH12" s="387"/>
      <c r="CI12" s="387"/>
      <c r="CJ12" s="387"/>
      <c r="CK12" s="387"/>
      <c r="CL12" s="387"/>
      <c r="CM12" s="387"/>
      <c r="CN12" s="387"/>
      <c r="CO12" s="387"/>
      <c r="CP12" s="387"/>
      <c r="CQ12" s="387"/>
      <c r="CR12" s="387"/>
      <c r="CS12" s="387"/>
      <c r="CT12" s="387"/>
      <c r="CU12" s="387"/>
      <c r="CV12" s="387"/>
      <c r="CW12" s="387"/>
      <c r="CX12" s="387"/>
      <c r="CY12" s="387"/>
      <c r="CZ12" s="387"/>
      <c r="DA12" s="387"/>
      <c r="DB12" s="387"/>
      <c r="DC12" s="387"/>
      <c r="DD12" s="387"/>
      <c r="DE12" s="387"/>
      <c r="DF12" s="387"/>
      <c r="DG12" s="387"/>
      <c r="DH12" s="387"/>
      <c r="DI12" s="387"/>
      <c r="DJ12" s="387"/>
      <c r="DK12" s="387"/>
      <c r="DL12" s="387"/>
      <c r="DM12" s="387"/>
      <c r="DN12" s="387"/>
      <c r="DO12" s="387"/>
      <c r="DP12" s="387"/>
      <c r="DQ12" s="387"/>
      <c r="DR12" s="387"/>
      <c r="DS12" s="387"/>
      <c r="DT12" s="387"/>
      <c r="DU12" s="387"/>
      <c r="DV12" s="387"/>
      <c r="DW12" s="387"/>
      <c r="DX12" s="387"/>
      <c r="DY12" s="387"/>
      <c r="DZ12" s="387"/>
      <c r="EA12" s="387"/>
      <c r="EB12" s="387"/>
      <c r="EC12" s="387"/>
      <c r="ED12" s="387"/>
      <c r="EE12" s="387"/>
      <c r="EF12" s="387"/>
      <c r="EG12" s="387"/>
      <c r="EH12" s="387"/>
      <c r="EI12" s="387"/>
      <c r="EJ12" s="387"/>
      <c r="EK12" s="387"/>
      <c r="EL12" s="387"/>
      <c r="EM12" s="387"/>
      <c r="EN12" s="387"/>
      <c r="EO12" s="387"/>
      <c r="EP12" s="387"/>
      <c r="EQ12" s="387"/>
      <c r="ER12" s="387"/>
      <c r="ES12" s="387"/>
      <c r="ET12" s="387"/>
      <c r="EU12" s="387"/>
      <c r="EV12" s="387"/>
      <c r="EW12" s="387"/>
      <c r="EX12" s="387"/>
      <c r="EY12" s="387"/>
      <c r="EZ12" s="387"/>
      <c r="FA12" s="387"/>
      <c r="FB12" s="387"/>
      <c r="FC12" s="387"/>
      <c r="FD12" s="387"/>
      <c r="FE12" s="387"/>
      <c r="FF12" s="387"/>
      <c r="FG12" s="387"/>
      <c r="FH12" s="387"/>
      <c r="FI12" s="387"/>
      <c r="FJ12" s="387"/>
      <c r="FK12" s="387"/>
      <c r="FL12" s="387"/>
      <c r="FM12" s="387"/>
      <c r="FN12" s="387"/>
      <c r="FO12" s="387"/>
      <c r="FP12" s="387"/>
      <c r="FQ12" s="387"/>
      <c r="FR12" s="387"/>
      <c r="FS12" s="387"/>
      <c r="FT12" s="387"/>
      <c r="FU12" s="387"/>
      <c r="FV12" s="387"/>
      <c r="FW12" s="387"/>
      <c r="FX12" s="387"/>
      <c r="FY12" s="387"/>
      <c r="FZ12" s="387"/>
      <c r="GA12" s="387"/>
      <c r="GB12" s="387"/>
      <c r="GC12" s="387"/>
      <c r="GD12" s="387"/>
      <c r="GE12" s="387"/>
      <c r="GF12" s="387"/>
      <c r="GG12" s="387"/>
      <c r="GH12" s="387"/>
      <c r="GI12" s="387"/>
      <c r="GJ12" s="387"/>
      <c r="GK12" s="387"/>
      <c r="GL12" s="387"/>
      <c r="GM12" s="387"/>
      <c r="GN12" s="387"/>
      <c r="GO12" s="387"/>
      <c r="GP12" s="387"/>
      <c r="GQ12" s="387"/>
      <c r="GR12" s="387"/>
      <c r="GS12" s="387"/>
      <c r="GT12" s="387"/>
      <c r="GU12" s="387"/>
      <c r="GV12" s="387"/>
      <c r="GW12" s="387"/>
      <c r="GX12" s="387"/>
      <c r="GY12" s="387"/>
      <c r="GZ12" s="387"/>
      <c r="HA12" s="387"/>
      <c r="HB12" s="387"/>
      <c r="HC12" s="387"/>
      <c r="HD12" s="387"/>
      <c r="HE12" s="387"/>
      <c r="HF12" s="387"/>
      <c r="HG12" s="387"/>
      <c r="HH12" s="387"/>
      <c r="HI12" s="387"/>
      <c r="HJ12" s="387"/>
      <c r="HK12" s="387"/>
      <c r="HL12" s="387"/>
      <c r="HM12" s="387"/>
      <c r="HN12" s="387"/>
      <c r="HO12" s="387"/>
      <c r="HP12" s="387"/>
      <c r="HQ12" s="387"/>
      <c r="HR12" s="387"/>
      <c r="HS12" s="387"/>
      <c r="HT12" s="387"/>
      <c r="HU12" s="387"/>
      <c r="HV12" s="387"/>
      <c r="HW12" s="387"/>
      <c r="HX12" s="387"/>
      <c r="HY12" s="387"/>
      <c r="HZ12" s="387"/>
      <c r="IA12" s="387"/>
      <c r="IB12" s="387"/>
      <c r="IC12" s="387"/>
      <c r="ID12" s="387"/>
      <c r="IE12" s="387"/>
      <c r="IF12" s="387"/>
      <c r="IG12" s="387"/>
      <c r="IH12" s="387"/>
      <c r="II12" s="387"/>
      <c r="IJ12" s="387"/>
      <c r="IK12" s="387"/>
      <c r="IL12" s="387"/>
      <c r="IM12" s="387"/>
      <c r="IN12" s="387"/>
      <c r="IO12" s="387"/>
      <c r="IP12" s="387"/>
      <c r="IQ12" s="387"/>
      <c r="IR12" s="387"/>
      <c r="IS12" s="387"/>
      <c r="IT12" s="387"/>
      <c r="IU12" s="387"/>
      <c r="IV12" s="387"/>
    </row>
    <row r="13" spans="1:256" ht="15" x14ac:dyDescent="0.2">
      <c r="A13" s="308">
        <v>702182</v>
      </c>
      <c r="B13" s="307" t="s">
        <v>75</v>
      </c>
      <c r="C13" s="46"/>
      <c r="D13" s="46">
        <v>1</v>
      </c>
      <c r="E13" s="46" t="s">
        <v>37</v>
      </c>
      <c r="F13" s="391" t="s">
        <v>103</v>
      </c>
      <c r="G13" s="568" t="s">
        <v>103</v>
      </c>
      <c r="H13" s="569"/>
      <c r="I13" s="288"/>
      <c r="J13" s="288"/>
      <c r="K13" s="288"/>
      <c r="L13" s="288"/>
      <c r="M13" s="288"/>
      <c r="N13" s="288"/>
      <c r="O13" s="288"/>
      <c r="P13" s="288"/>
      <c r="Q13" s="288"/>
      <c r="R13" s="288"/>
      <c r="S13" s="288"/>
      <c r="T13" s="288"/>
      <c r="U13" s="288"/>
      <c r="V13" s="288"/>
      <c r="W13" s="288"/>
      <c r="X13" s="288"/>
      <c r="Y13" s="288"/>
      <c r="Z13" s="288"/>
      <c r="AA13" s="288"/>
      <c r="AB13" s="288"/>
      <c r="AC13" s="288"/>
      <c r="AD13" s="288"/>
      <c r="AE13" s="288"/>
      <c r="AF13" s="288"/>
      <c r="AG13" s="288"/>
      <c r="AH13" s="288"/>
      <c r="AI13" s="288"/>
      <c r="AJ13" s="288"/>
      <c r="AK13" s="288"/>
      <c r="AL13" s="288"/>
      <c r="AM13" s="288"/>
      <c r="AN13" s="288"/>
      <c r="AO13" s="288"/>
      <c r="AP13" s="288"/>
      <c r="AQ13" s="288"/>
      <c r="AR13" s="288"/>
      <c r="AS13" s="288"/>
      <c r="AT13" s="288"/>
      <c r="AU13" s="288"/>
      <c r="AV13" s="288"/>
      <c r="AW13" s="288"/>
      <c r="AX13" s="288"/>
      <c r="AY13" s="288"/>
      <c r="AZ13" s="288"/>
      <c r="BA13" s="288"/>
      <c r="BB13" s="288"/>
      <c r="BC13" s="288"/>
      <c r="BD13" s="288"/>
      <c r="BE13" s="288"/>
      <c r="BF13" s="288"/>
      <c r="BG13" s="288"/>
      <c r="BH13" s="288"/>
      <c r="BI13" s="288"/>
      <c r="BJ13" s="288"/>
      <c r="BK13" s="288"/>
      <c r="BL13" s="288"/>
      <c r="BM13" s="288"/>
      <c r="BN13" s="288"/>
      <c r="BO13" s="288"/>
      <c r="BP13" s="288"/>
      <c r="BQ13" s="288"/>
      <c r="BR13" s="288"/>
      <c r="BS13" s="288"/>
      <c r="BT13" s="288"/>
      <c r="BU13" s="288"/>
      <c r="BV13" s="288"/>
      <c r="BW13" s="288"/>
      <c r="BX13" s="288"/>
      <c r="BY13" s="288"/>
      <c r="BZ13" s="288"/>
      <c r="CA13" s="288"/>
      <c r="CB13" s="288"/>
      <c r="CC13" s="288"/>
      <c r="CD13" s="288"/>
      <c r="CE13" s="288"/>
      <c r="CF13" s="288"/>
      <c r="CG13" s="288"/>
      <c r="CH13" s="288"/>
      <c r="CI13" s="288"/>
      <c r="CJ13" s="288"/>
      <c r="CK13" s="288"/>
      <c r="CL13" s="288"/>
      <c r="CM13" s="288"/>
      <c r="CN13" s="288"/>
      <c r="CO13" s="288"/>
      <c r="CP13" s="288"/>
      <c r="CQ13" s="288"/>
      <c r="CR13" s="288"/>
      <c r="CS13" s="288"/>
      <c r="CT13" s="288"/>
      <c r="CU13" s="288"/>
      <c r="CV13" s="288"/>
      <c r="CW13" s="288"/>
      <c r="CX13" s="288"/>
      <c r="CY13" s="288"/>
      <c r="CZ13" s="288"/>
      <c r="DA13" s="288"/>
      <c r="DB13" s="288"/>
      <c r="DC13" s="288"/>
      <c r="DD13" s="288"/>
      <c r="DE13" s="288"/>
      <c r="DF13" s="288"/>
      <c r="DG13" s="288"/>
      <c r="DH13" s="288"/>
      <c r="DI13" s="288"/>
      <c r="DJ13" s="288"/>
      <c r="DK13" s="288"/>
      <c r="DL13" s="288"/>
      <c r="DM13" s="288"/>
      <c r="DN13" s="288"/>
      <c r="DO13" s="288"/>
      <c r="DP13" s="288"/>
      <c r="DQ13" s="288"/>
      <c r="DR13" s="288"/>
      <c r="DS13" s="288"/>
      <c r="DT13" s="288"/>
      <c r="DU13" s="288"/>
      <c r="DV13" s="288"/>
      <c r="DW13" s="288"/>
      <c r="DX13" s="288"/>
      <c r="DY13" s="288"/>
      <c r="DZ13" s="288"/>
      <c r="EA13" s="288"/>
      <c r="EB13" s="288"/>
      <c r="EC13" s="288"/>
      <c r="ED13" s="288"/>
      <c r="EE13" s="288"/>
      <c r="EF13" s="288"/>
      <c r="EG13" s="288"/>
      <c r="EH13" s="288"/>
      <c r="EI13" s="288"/>
      <c r="EJ13" s="288"/>
      <c r="EK13" s="288"/>
      <c r="EL13" s="288"/>
      <c r="EM13" s="288"/>
      <c r="EN13" s="288"/>
      <c r="EO13" s="288"/>
      <c r="EP13" s="288"/>
      <c r="EQ13" s="288"/>
      <c r="ER13" s="288"/>
      <c r="ES13" s="288"/>
      <c r="ET13" s="288"/>
      <c r="EU13" s="288"/>
      <c r="EV13" s="288"/>
      <c r="EW13" s="288"/>
      <c r="EX13" s="288"/>
      <c r="EY13" s="288"/>
      <c r="EZ13" s="288"/>
      <c r="FA13" s="288"/>
      <c r="FB13" s="288"/>
      <c r="FC13" s="288"/>
      <c r="FD13" s="288"/>
      <c r="FE13" s="288"/>
      <c r="FF13" s="288"/>
      <c r="FG13" s="288"/>
      <c r="FH13" s="288"/>
      <c r="FI13" s="288"/>
      <c r="FJ13" s="288"/>
      <c r="FK13" s="288"/>
      <c r="FL13" s="288"/>
      <c r="FM13" s="288"/>
      <c r="FN13" s="288"/>
      <c r="FO13" s="288"/>
      <c r="FP13" s="288"/>
      <c r="FQ13" s="288"/>
      <c r="FR13" s="288"/>
      <c r="FS13" s="288"/>
      <c r="FT13" s="288"/>
      <c r="FU13" s="288"/>
      <c r="FV13" s="288"/>
      <c r="FW13" s="288"/>
      <c r="FX13" s="288"/>
      <c r="FY13" s="288"/>
      <c r="FZ13" s="288"/>
      <c r="GA13" s="288"/>
      <c r="GB13" s="288"/>
      <c r="GC13" s="288"/>
      <c r="GD13" s="288"/>
      <c r="GE13" s="288"/>
      <c r="GF13" s="288"/>
      <c r="GG13" s="288"/>
      <c r="GH13" s="288"/>
      <c r="GI13" s="288"/>
      <c r="GJ13" s="288"/>
      <c r="GK13" s="288"/>
      <c r="GL13" s="288"/>
      <c r="GM13" s="288"/>
      <c r="GN13" s="288"/>
      <c r="GO13" s="288"/>
      <c r="GP13" s="288"/>
      <c r="GQ13" s="288"/>
      <c r="GR13" s="288"/>
      <c r="GS13" s="288"/>
      <c r="GT13" s="288"/>
      <c r="GU13" s="288"/>
      <c r="GV13" s="288"/>
      <c r="GW13" s="288"/>
      <c r="GX13" s="288"/>
      <c r="GY13" s="288"/>
      <c r="GZ13" s="288"/>
      <c r="HA13" s="288"/>
      <c r="HB13" s="288"/>
      <c r="HC13" s="288"/>
      <c r="HD13" s="288"/>
      <c r="HE13" s="288"/>
      <c r="HF13" s="288"/>
      <c r="HG13" s="288"/>
      <c r="HH13" s="288"/>
      <c r="HI13" s="288"/>
      <c r="HJ13" s="288"/>
      <c r="HK13" s="288"/>
      <c r="HL13" s="288"/>
      <c r="HM13" s="288"/>
      <c r="HN13" s="288"/>
      <c r="HO13" s="288"/>
      <c r="HP13" s="288"/>
      <c r="HQ13" s="288"/>
      <c r="HR13" s="288"/>
      <c r="HS13" s="288"/>
      <c r="HT13" s="288"/>
      <c r="HU13" s="288"/>
      <c r="HV13" s="288"/>
      <c r="HW13" s="288"/>
      <c r="HX13" s="288"/>
      <c r="HY13" s="288"/>
      <c r="HZ13" s="288"/>
      <c r="IA13" s="288"/>
      <c r="IB13" s="288"/>
      <c r="IC13" s="288"/>
      <c r="ID13" s="288"/>
      <c r="IE13" s="288"/>
      <c r="IF13" s="288"/>
      <c r="IG13" s="288"/>
      <c r="IH13" s="288"/>
      <c r="II13" s="288"/>
      <c r="IJ13" s="288"/>
      <c r="IK13" s="288"/>
      <c r="IL13" s="288"/>
      <c r="IM13" s="288"/>
      <c r="IN13" s="288"/>
      <c r="IO13" s="288"/>
      <c r="IP13" s="288"/>
      <c r="IQ13" s="288"/>
      <c r="IR13" s="288"/>
      <c r="IS13" s="288"/>
      <c r="IT13" s="288"/>
      <c r="IU13" s="288"/>
      <c r="IV13" s="288"/>
    </row>
    <row r="14" spans="1:256" x14ac:dyDescent="0.2">
      <c r="A14" s="397"/>
      <c r="B14" s="398"/>
      <c r="C14" s="400"/>
      <c r="D14" s="399"/>
      <c r="E14" s="391"/>
      <c r="F14" s="391"/>
      <c r="G14" s="568"/>
      <c r="H14" s="569"/>
      <c r="I14" s="288"/>
      <c r="J14" s="288"/>
      <c r="K14" s="288"/>
      <c r="L14" s="288"/>
      <c r="M14" s="288"/>
      <c r="N14" s="288"/>
      <c r="O14" s="288"/>
      <c r="P14" s="288"/>
      <c r="Q14" s="288"/>
      <c r="R14" s="288"/>
      <c r="S14" s="288"/>
      <c r="T14" s="288"/>
      <c r="U14" s="288"/>
      <c r="V14" s="288"/>
      <c r="W14" s="288"/>
      <c r="X14" s="288"/>
      <c r="Y14" s="288"/>
      <c r="Z14" s="288"/>
      <c r="AA14" s="288"/>
      <c r="AB14" s="288"/>
      <c r="AC14" s="288"/>
      <c r="AD14" s="288"/>
      <c r="AE14" s="288"/>
      <c r="AF14" s="288"/>
      <c r="AG14" s="288"/>
      <c r="AH14" s="288"/>
      <c r="AI14" s="288"/>
      <c r="AJ14" s="288"/>
      <c r="AK14" s="288"/>
      <c r="AL14" s="288"/>
      <c r="AM14" s="288"/>
      <c r="AN14" s="288"/>
      <c r="AO14" s="288"/>
      <c r="AP14" s="288"/>
      <c r="AQ14" s="288"/>
      <c r="AR14" s="288"/>
      <c r="AS14" s="288"/>
      <c r="AT14" s="288"/>
      <c r="AU14" s="288"/>
      <c r="AV14" s="288"/>
      <c r="AW14" s="288"/>
      <c r="AX14" s="288"/>
      <c r="AY14" s="288"/>
      <c r="AZ14" s="288"/>
      <c r="BA14" s="288"/>
      <c r="BB14" s="288"/>
      <c r="BC14" s="288"/>
      <c r="BD14" s="288"/>
      <c r="BE14" s="288"/>
      <c r="BF14" s="288"/>
      <c r="BG14" s="288"/>
      <c r="BH14" s="288"/>
      <c r="BI14" s="288"/>
      <c r="BJ14" s="288"/>
      <c r="BK14" s="288"/>
      <c r="BL14" s="288"/>
      <c r="BM14" s="288"/>
      <c r="BN14" s="288"/>
      <c r="BO14" s="288"/>
      <c r="BP14" s="288"/>
      <c r="BQ14" s="288"/>
      <c r="BR14" s="288"/>
      <c r="BS14" s="288"/>
      <c r="BT14" s="288"/>
      <c r="BU14" s="288"/>
      <c r="BV14" s="288"/>
      <c r="BW14" s="288"/>
      <c r="BX14" s="288"/>
      <c r="BY14" s="288"/>
      <c r="BZ14" s="288"/>
      <c r="CA14" s="288"/>
      <c r="CB14" s="288"/>
      <c r="CC14" s="288"/>
      <c r="CD14" s="288"/>
      <c r="CE14" s="288"/>
      <c r="CF14" s="288"/>
      <c r="CG14" s="288"/>
      <c r="CH14" s="288"/>
      <c r="CI14" s="288"/>
      <c r="CJ14" s="288"/>
      <c r="CK14" s="288"/>
      <c r="CL14" s="288"/>
      <c r="CM14" s="288"/>
      <c r="CN14" s="288"/>
      <c r="CO14" s="288"/>
      <c r="CP14" s="288"/>
      <c r="CQ14" s="288"/>
      <c r="CR14" s="288"/>
      <c r="CS14" s="288"/>
      <c r="CT14" s="288"/>
      <c r="CU14" s="288"/>
      <c r="CV14" s="288"/>
      <c r="CW14" s="288"/>
      <c r="CX14" s="288"/>
      <c r="CY14" s="288"/>
      <c r="CZ14" s="288"/>
      <c r="DA14" s="288"/>
      <c r="DB14" s="288"/>
      <c r="DC14" s="288"/>
      <c r="DD14" s="288"/>
      <c r="DE14" s="288"/>
      <c r="DF14" s="288"/>
      <c r="DG14" s="288"/>
      <c r="DH14" s="288"/>
      <c r="DI14" s="288"/>
      <c r="DJ14" s="288"/>
      <c r="DK14" s="288"/>
      <c r="DL14" s="288"/>
      <c r="DM14" s="288"/>
      <c r="DN14" s="288"/>
      <c r="DO14" s="288"/>
      <c r="DP14" s="288"/>
      <c r="DQ14" s="288"/>
      <c r="DR14" s="288"/>
      <c r="DS14" s="288"/>
      <c r="DT14" s="288"/>
      <c r="DU14" s="288"/>
      <c r="DV14" s="288"/>
      <c r="DW14" s="288"/>
      <c r="DX14" s="288"/>
      <c r="DY14" s="288"/>
      <c r="DZ14" s="288"/>
      <c r="EA14" s="288"/>
      <c r="EB14" s="288"/>
      <c r="EC14" s="288"/>
      <c r="ED14" s="288"/>
      <c r="EE14" s="288"/>
      <c r="EF14" s="288"/>
      <c r="EG14" s="288"/>
      <c r="EH14" s="288"/>
      <c r="EI14" s="288"/>
      <c r="EJ14" s="288"/>
      <c r="EK14" s="288"/>
      <c r="EL14" s="288"/>
      <c r="EM14" s="288"/>
      <c r="EN14" s="288"/>
      <c r="EO14" s="288"/>
      <c r="EP14" s="288"/>
      <c r="EQ14" s="288"/>
      <c r="ER14" s="288"/>
      <c r="ES14" s="288"/>
      <c r="ET14" s="288"/>
      <c r="EU14" s="288"/>
      <c r="EV14" s="288"/>
      <c r="EW14" s="288"/>
      <c r="EX14" s="288"/>
      <c r="EY14" s="288"/>
      <c r="EZ14" s="288"/>
      <c r="FA14" s="288"/>
      <c r="FB14" s="288"/>
      <c r="FC14" s="288"/>
      <c r="FD14" s="288"/>
      <c r="FE14" s="288"/>
      <c r="FF14" s="288"/>
      <c r="FG14" s="288"/>
      <c r="FH14" s="288"/>
      <c r="FI14" s="288"/>
      <c r="FJ14" s="288"/>
      <c r="FK14" s="288"/>
      <c r="FL14" s="288"/>
      <c r="FM14" s="288"/>
      <c r="FN14" s="288"/>
      <c r="FO14" s="288"/>
      <c r="FP14" s="288"/>
      <c r="FQ14" s="288"/>
      <c r="FR14" s="288"/>
      <c r="FS14" s="288"/>
      <c r="FT14" s="288"/>
      <c r="FU14" s="288"/>
      <c r="FV14" s="288"/>
      <c r="FW14" s="288"/>
      <c r="FX14" s="288"/>
      <c r="FY14" s="288"/>
      <c r="FZ14" s="288"/>
      <c r="GA14" s="288"/>
      <c r="GB14" s="288"/>
      <c r="GC14" s="288"/>
      <c r="GD14" s="288"/>
      <c r="GE14" s="288"/>
      <c r="GF14" s="288"/>
      <c r="GG14" s="288"/>
      <c r="GH14" s="288"/>
      <c r="GI14" s="288"/>
      <c r="GJ14" s="288"/>
      <c r="GK14" s="288"/>
      <c r="GL14" s="288"/>
      <c r="GM14" s="288"/>
      <c r="GN14" s="288"/>
      <c r="GO14" s="288"/>
      <c r="GP14" s="288"/>
      <c r="GQ14" s="288"/>
      <c r="GR14" s="288"/>
      <c r="GS14" s="288"/>
      <c r="GT14" s="288"/>
      <c r="GU14" s="288"/>
      <c r="GV14" s="288"/>
      <c r="GW14" s="288"/>
      <c r="GX14" s="288"/>
      <c r="GY14" s="288"/>
      <c r="GZ14" s="288"/>
      <c r="HA14" s="288"/>
      <c r="HB14" s="288"/>
      <c r="HC14" s="288"/>
      <c r="HD14" s="288"/>
      <c r="HE14" s="288"/>
      <c r="HF14" s="288"/>
      <c r="HG14" s="288"/>
      <c r="HH14" s="288"/>
      <c r="HI14" s="288"/>
      <c r="HJ14" s="288"/>
      <c r="HK14" s="288"/>
      <c r="HL14" s="288"/>
      <c r="HM14" s="288"/>
      <c r="HN14" s="288"/>
      <c r="HO14" s="288"/>
      <c r="HP14" s="288"/>
      <c r="HQ14" s="288"/>
      <c r="HR14" s="288"/>
      <c r="HS14" s="288"/>
      <c r="HT14" s="288"/>
      <c r="HU14" s="288"/>
      <c r="HV14" s="288"/>
      <c r="HW14" s="288"/>
      <c r="HX14" s="288"/>
      <c r="HY14" s="288"/>
      <c r="HZ14" s="288"/>
      <c r="IA14" s="288"/>
      <c r="IB14" s="288"/>
      <c r="IC14" s="288"/>
      <c r="ID14" s="288"/>
      <c r="IE14" s="288"/>
      <c r="IF14" s="288"/>
      <c r="IG14" s="288"/>
      <c r="IH14" s="288"/>
      <c r="II14" s="288"/>
      <c r="IJ14" s="288"/>
      <c r="IK14" s="288"/>
      <c r="IL14" s="288"/>
      <c r="IM14" s="288"/>
      <c r="IN14" s="288"/>
      <c r="IO14" s="288"/>
      <c r="IP14" s="288"/>
      <c r="IQ14" s="288"/>
      <c r="IR14" s="288"/>
      <c r="IS14" s="288"/>
      <c r="IT14" s="288"/>
      <c r="IU14" s="288"/>
      <c r="IV14" s="288"/>
    </row>
    <row r="15" spans="1:256" ht="16.5" thickBot="1" x14ac:dyDescent="0.3">
      <c r="A15" s="401"/>
      <c r="B15" s="402"/>
      <c r="C15" s="402"/>
      <c r="D15" s="403"/>
      <c r="E15" s="404"/>
      <c r="F15" s="404"/>
      <c r="G15" s="564"/>
      <c r="H15" s="565"/>
      <c r="I15" s="387"/>
      <c r="J15" s="387"/>
      <c r="K15" s="387"/>
      <c r="L15" s="387"/>
      <c r="M15" s="387"/>
      <c r="N15" s="387"/>
      <c r="O15" s="387"/>
      <c r="P15" s="387"/>
      <c r="Q15" s="387"/>
      <c r="R15" s="387"/>
      <c r="S15" s="387"/>
      <c r="T15" s="387"/>
      <c r="U15" s="387"/>
      <c r="V15" s="387"/>
      <c r="W15" s="387"/>
      <c r="X15" s="387"/>
      <c r="Y15" s="387"/>
      <c r="Z15" s="387"/>
      <c r="AA15" s="387"/>
      <c r="AB15" s="387"/>
      <c r="AC15" s="387"/>
      <c r="AD15" s="387"/>
      <c r="AE15" s="387"/>
      <c r="AF15" s="387"/>
      <c r="AG15" s="387"/>
      <c r="AH15" s="387"/>
      <c r="AI15" s="387"/>
      <c r="AJ15" s="387"/>
      <c r="AK15" s="387"/>
      <c r="AL15" s="387"/>
      <c r="AM15" s="387"/>
      <c r="AN15" s="387"/>
      <c r="AO15" s="387"/>
      <c r="AP15" s="387"/>
      <c r="AQ15" s="387"/>
      <c r="AR15" s="387"/>
      <c r="AS15" s="387"/>
      <c r="AT15" s="387"/>
      <c r="AU15" s="387"/>
      <c r="AV15" s="387"/>
      <c r="AW15" s="387"/>
      <c r="AX15" s="387"/>
      <c r="AY15" s="387"/>
      <c r="AZ15" s="387"/>
      <c r="BA15" s="387"/>
      <c r="BB15" s="387"/>
      <c r="BC15" s="387"/>
      <c r="BD15" s="387"/>
      <c r="BE15" s="387"/>
      <c r="BF15" s="387"/>
      <c r="BG15" s="387"/>
      <c r="BH15" s="387"/>
      <c r="BI15" s="387"/>
      <c r="BJ15" s="387"/>
      <c r="BK15" s="387"/>
      <c r="BL15" s="387"/>
      <c r="BM15" s="387"/>
      <c r="BN15" s="387"/>
      <c r="BO15" s="387"/>
      <c r="BP15" s="387"/>
      <c r="BQ15" s="387"/>
      <c r="BR15" s="387"/>
      <c r="BS15" s="387"/>
      <c r="BT15" s="387"/>
      <c r="BU15" s="387"/>
      <c r="BV15" s="387"/>
      <c r="BW15" s="387"/>
      <c r="BX15" s="387"/>
      <c r="BY15" s="387"/>
      <c r="BZ15" s="387"/>
      <c r="CA15" s="387"/>
      <c r="CB15" s="387"/>
      <c r="CC15" s="387"/>
      <c r="CD15" s="387"/>
      <c r="CE15" s="387"/>
      <c r="CF15" s="387"/>
      <c r="CG15" s="387"/>
      <c r="CH15" s="387"/>
      <c r="CI15" s="387"/>
      <c r="CJ15" s="387"/>
      <c r="CK15" s="387"/>
      <c r="CL15" s="387"/>
      <c r="CM15" s="387"/>
      <c r="CN15" s="387"/>
      <c r="CO15" s="387"/>
      <c r="CP15" s="387"/>
      <c r="CQ15" s="387"/>
      <c r="CR15" s="387"/>
      <c r="CS15" s="387"/>
      <c r="CT15" s="387"/>
      <c r="CU15" s="387"/>
      <c r="CV15" s="387"/>
      <c r="CW15" s="387"/>
      <c r="CX15" s="387"/>
      <c r="CY15" s="387"/>
      <c r="CZ15" s="387"/>
      <c r="DA15" s="387"/>
      <c r="DB15" s="387"/>
      <c r="DC15" s="387"/>
      <c r="DD15" s="387"/>
      <c r="DE15" s="387"/>
      <c r="DF15" s="387"/>
      <c r="DG15" s="387"/>
      <c r="DH15" s="387"/>
      <c r="DI15" s="387"/>
      <c r="DJ15" s="387"/>
      <c r="DK15" s="387"/>
      <c r="DL15" s="387"/>
      <c r="DM15" s="387"/>
      <c r="DN15" s="387"/>
      <c r="DO15" s="387"/>
      <c r="DP15" s="387"/>
      <c r="DQ15" s="387"/>
      <c r="DR15" s="387"/>
      <c r="DS15" s="387"/>
      <c r="DT15" s="387"/>
      <c r="DU15" s="387"/>
      <c r="DV15" s="387"/>
      <c r="DW15" s="387"/>
      <c r="DX15" s="387"/>
      <c r="DY15" s="387"/>
      <c r="DZ15" s="387"/>
      <c r="EA15" s="387"/>
      <c r="EB15" s="387"/>
      <c r="EC15" s="387"/>
      <c r="ED15" s="387"/>
      <c r="EE15" s="387"/>
      <c r="EF15" s="387"/>
      <c r="EG15" s="387"/>
      <c r="EH15" s="387"/>
      <c r="EI15" s="387"/>
      <c r="EJ15" s="387"/>
      <c r="EK15" s="387"/>
      <c r="EL15" s="387"/>
      <c r="EM15" s="387"/>
      <c r="EN15" s="387"/>
      <c r="EO15" s="387"/>
      <c r="EP15" s="387"/>
      <c r="EQ15" s="387"/>
      <c r="ER15" s="387"/>
      <c r="ES15" s="387"/>
      <c r="ET15" s="387"/>
      <c r="EU15" s="387"/>
      <c r="EV15" s="387"/>
      <c r="EW15" s="387"/>
      <c r="EX15" s="387"/>
      <c r="EY15" s="387"/>
      <c r="EZ15" s="387"/>
      <c r="FA15" s="387"/>
      <c r="FB15" s="387"/>
      <c r="FC15" s="387"/>
      <c r="FD15" s="387"/>
      <c r="FE15" s="387"/>
      <c r="FF15" s="387"/>
      <c r="FG15" s="387"/>
      <c r="FH15" s="387"/>
      <c r="FI15" s="387"/>
      <c r="FJ15" s="387"/>
      <c r="FK15" s="387"/>
      <c r="FL15" s="387"/>
      <c r="FM15" s="387"/>
      <c r="FN15" s="387"/>
      <c r="FO15" s="387"/>
      <c r="FP15" s="387"/>
      <c r="FQ15" s="387"/>
      <c r="FR15" s="387"/>
      <c r="FS15" s="387"/>
      <c r="FT15" s="387"/>
      <c r="FU15" s="387"/>
      <c r="FV15" s="387"/>
      <c r="FW15" s="387"/>
      <c r="FX15" s="387"/>
      <c r="FY15" s="387"/>
      <c r="FZ15" s="387"/>
      <c r="GA15" s="387"/>
      <c r="GB15" s="387"/>
      <c r="GC15" s="387"/>
      <c r="GD15" s="387"/>
      <c r="GE15" s="387"/>
      <c r="GF15" s="387"/>
      <c r="GG15" s="387"/>
      <c r="GH15" s="387"/>
      <c r="GI15" s="387"/>
      <c r="GJ15" s="387"/>
      <c r="GK15" s="387"/>
      <c r="GL15" s="387"/>
      <c r="GM15" s="387"/>
      <c r="GN15" s="387"/>
      <c r="GO15" s="387"/>
      <c r="GP15" s="387"/>
      <c r="GQ15" s="387"/>
      <c r="GR15" s="387"/>
      <c r="GS15" s="387"/>
      <c r="GT15" s="387"/>
      <c r="GU15" s="387"/>
      <c r="GV15" s="387"/>
      <c r="GW15" s="387"/>
      <c r="GX15" s="387"/>
      <c r="GY15" s="387"/>
      <c r="GZ15" s="387"/>
      <c r="HA15" s="387"/>
      <c r="HB15" s="387"/>
      <c r="HC15" s="387"/>
      <c r="HD15" s="387"/>
      <c r="HE15" s="387"/>
      <c r="HF15" s="387"/>
      <c r="HG15" s="387"/>
      <c r="HH15" s="387"/>
      <c r="HI15" s="387"/>
      <c r="HJ15" s="387"/>
      <c r="HK15" s="387"/>
      <c r="HL15" s="387"/>
      <c r="HM15" s="387"/>
      <c r="HN15" s="387"/>
      <c r="HO15" s="387"/>
      <c r="HP15" s="387"/>
      <c r="HQ15" s="387"/>
      <c r="HR15" s="387"/>
      <c r="HS15" s="387"/>
      <c r="HT15" s="387"/>
      <c r="HU15" s="387"/>
      <c r="HV15" s="387"/>
      <c r="HW15" s="387"/>
      <c r="HX15" s="387"/>
      <c r="HY15" s="387"/>
      <c r="HZ15" s="387"/>
      <c r="IA15" s="387"/>
      <c r="IB15" s="387"/>
      <c r="IC15" s="387"/>
      <c r="ID15" s="387"/>
      <c r="IE15" s="387"/>
      <c r="IF15" s="387"/>
      <c r="IG15" s="387"/>
      <c r="IH15" s="387"/>
      <c r="II15" s="387"/>
      <c r="IJ15" s="387"/>
      <c r="IK15" s="387"/>
      <c r="IL15" s="387"/>
      <c r="IM15" s="387"/>
      <c r="IN15" s="387"/>
      <c r="IO15" s="387"/>
      <c r="IP15" s="387"/>
      <c r="IQ15" s="387"/>
      <c r="IR15" s="387"/>
      <c r="IS15" s="387"/>
      <c r="IT15" s="387"/>
      <c r="IU15" s="387"/>
      <c r="IV15" s="387"/>
    </row>
    <row r="16" spans="1:256" ht="15" thickBot="1" x14ac:dyDescent="0.25">
      <c r="A16" s="558" t="s">
        <v>236</v>
      </c>
      <c r="B16" s="559"/>
      <c r="C16" s="559"/>
      <c r="D16" s="559"/>
      <c r="E16" s="559"/>
      <c r="F16" s="559"/>
      <c r="G16" s="559"/>
      <c r="H16" s="560"/>
      <c r="I16" s="288"/>
      <c r="J16" s="288"/>
      <c r="K16" s="288"/>
      <c r="L16" s="288"/>
      <c r="M16" s="288"/>
      <c r="N16" s="288"/>
      <c r="O16" s="288"/>
      <c r="P16" s="288"/>
      <c r="Q16" s="288"/>
      <c r="R16" s="288"/>
      <c r="S16" s="288"/>
      <c r="T16" s="288"/>
      <c r="U16" s="288"/>
      <c r="V16" s="288"/>
      <c r="W16" s="288"/>
      <c r="X16" s="288"/>
      <c r="Y16" s="288"/>
      <c r="Z16" s="288"/>
      <c r="AA16" s="288"/>
      <c r="AB16" s="288"/>
      <c r="AC16" s="288"/>
      <c r="AD16" s="288"/>
      <c r="AE16" s="288"/>
      <c r="AF16" s="288"/>
      <c r="AG16" s="288"/>
      <c r="AH16" s="288"/>
      <c r="AI16" s="288"/>
      <c r="AJ16" s="288"/>
      <c r="AK16" s="288"/>
      <c r="AL16" s="288"/>
      <c r="AM16" s="288"/>
      <c r="AN16" s="288"/>
      <c r="AO16" s="288"/>
      <c r="AP16" s="288"/>
      <c r="AQ16" s="288"/>
      <c r="AR16" s="288"/>
      <c r="AS16" s="288"/>
      <c r="AT16" s="288"/>
      <c r="AU16" s="288"/>
      <c r="AV16" s="288"/>
      <c r="AW16" s="288"/>
      <c r="AX16" s="288"/>
      <c r="AY16" s="288"/>
      <c r="AZ16" s="288"/>
      <c r="BA16" s="288"/>
      <c r="BB16" s="288"/>
      <c r="BC16" s="288"/>
      <c r="BD16" s="288"/>
      <c r="BE16" s="288"/>
      <c r="BF16" s="288"/>
      <c r="BG16" s="288"/>
      <c r="BH16" s="288"/>
      <c r="BI16" s="288"/>
      <c r="BJ16" s="288"/>
      <c r="BK16" s="288"/>
      <c r="BL16" s="288"/>
      <c r="BM16" s="288"/>
      <c r="BN16" s="288"/>
      <c r="BO16" s="288"/>
      <c r="BP16" s="288"/>
      <c r="BQ16" s="288"/>
      <c r="BR16" s="288"/>
      <c r="BS16" s="288"/>
      <c r="BT16" s="288"/>
      <c r="BU16" s="288"/>
      <c r="BV16" s="288"/>
      <c r="BW16" s="288"/>
      <c r="BX16" s="288"/>
      <c r="BY16" s="288"/>
      <c r="BZ16" s="288"/>
      <c r="CA16" s="288"/>
      <c r="CB16" s="288"/>
      <c r="CC16" s="288"/>
      <c r="CD16" s="288"/>
      <c r="CE16" s="288"/>
      <c r="CF16" s="288"/>
      <c r="CG16" s="288"/>
      <c r="CH16" s="288"/>
      <c r="CI16" s="288"/>
      <c r="CJ16" s="288"/>
      <c r="CK16" s="288"/>
      <c r="CL16" s="288"/>
      <c r="CM16" s="288"/>
      <c r="CN16" s="288"/>
      <c r="CO16" s="288"/>
      <c r="CP16" s="288"/>
      <c r="CQ16" s="288"/>
      <c r="CR16" s="288"/>
      <c r="CS16" s="288"/>
      <c r="CT16" s="288"/>
      <c r="CU16" s="288"/>
      <c r="CV16" s="288"/>
      <c r="CW16" s="288"/>
      <c r="CX16" s="288"/>
      <c r="CY16" s="288"/>
      <c r="CZ16" s="288"/>
      <c r="DA16" s="288"/>
      <c r="DB16" s="288"/>
      <c r="DC16" s="288"/>
      <c r="DD16" s="288"/>
      <c r="DE16" s="288"/>
      <c r="DF16" s="288"/>
      <c r="DG16" s="288"/>
      <c r="DH16" s="288"/>
      <c r="DI16" s="288"/>
      <c r="DJ16" s="288"/>
      <c r="DK16" s="288"/>
      <c r="DL16" s="288"/>
      <c r="DM16" s="288"/>
      <c r="DN16" s="288"/>
      <c r="DO16" s="288"/>
      <c r="DP16" s="288"/>
      <c r="DQ16" s="288"/>
      <c r="DR16" s="288"/>
      <c r="DS16" s="288"/>
      <c r="DT16" s="288"/>
      <c r="DU16" s="288"/>
      <c r="DV16" s="288"/>
      <c r="DW16" s="288"/>
      <c r="DX16" s="288"/>
      <c r="DY16" s="288"/>
      <c r="DZ16" s="288"/>
      <c r="EA16" s="288"/>
      <c r="EB16" s="288"/>
      <c r="EC16" s="288"/>
      <c r="ED16" s="288"/>
      <c r="EE16" s="288"/>
      <c r="EF16" s="288"/>
      <c r="EG16" s="288"/>
      <c r="EH16" s="288"/>
      <c r="EI16" s="288"/>
      <c r="EJ16" s="288"/>
      <c r="EK16" s="288"/>
      <c r="EL16" s="288"/>
      <c r="EM16" s="288"/>
      <c r="EN16" s="288"/>
      <c r="EO16" s="288"/>
      <c r="EP16" s="288"/>
      <c r="EQ16" s="288"/>
      <c r="ER16" s="288"/>
      <c r="ES16" s="288"/>
      <c r="ET16" s="288"/>
      <c r="EU16" s="288"/>
      <c r="EV16" s="288"/>
      <c r="EW16" s="288"/>
      <c r="EX16" s="288"/>
      <c r="EY16" s="288"/>
      <c r="EZ16" s="288"/>
      <c r="FA16" s="288"/>
      <c r="FB16" s="288"/>
      <c r="FC16" s="288"/>
      <c r="FD16" s="288"/>
      <c r="FE16" s="288"/>
      <c r="FF16" s="288"/>
      <c r="FG16" s="288"/>
      <c r="FH16" s="288"/>
      <c r="FI16" s="288"/>
      <c r="FJ16" s="288"/>
      <c r="FK16" s="288"/>
      <c r="FL16" s="288"/>
      <c r="FM16" s="288"/>
      <c r="FN16" s="288"/>
      <c r="FO16" s="288"/>
      <c r="FP16" s="288"/>
      <c r="FQ16" s="288"/>
      <c r="FR16" s="288"/>
      <c r="FS16" s="288"/>
      <c r="FT16" s="288"/>
      <c r="FU16" s="288"/>
      <c r="FV16" s="288"/>
      <c r="FW16" s="288"/>
      <c r="FX16" s="288"/>
      <c r="FY16" s="288"/>
      <c r="FZ16" s="288"/>
      <c r="GA16" s="288"/>
      <c r="GB16" s="288"/>
      <c r="GC16" s="288"/>
      <c r="GD16" s="288"/>
      <c r="GE16" s="288"/>
      <c r="GF16" s="288"/>
      <c r="GG16" s="288"/>
      <c r="GH16" s="288"/>
      <c r="GI16" s="288"/>
      <c r="GJ16" s="288"/>
      <c r="GK16" s="288"/>
      <c r="GL16" s="288"/>
      <c r="GM16" s="288"/>
      <c r="GN16" s="288"/>
      <c r="GO16" s="288"/>
      <c r="GP16" s="288"/>
      <c r="GQ16" s="288"/>
      <c r="GR16" s="288"/>
      <c r="GS16" s="288"/>
      <c r="GT16" s="288"/>
      <c r="GU16" s="288"/>
      <c r="GV16" s="288"/>
      <c r="GW16" s="288"/>
      <c r="GX16" s="288"/>
      <c r="GY16" s="288"/>
      <c r="GZ16" s="288"/>
      <c r="HA16" s="288"/>
      <c r="HB16" s="288"/>
      <c r="HC16" s="288"/>
      <c r="HD16" s="288"/>
      <c r="HE16" s="288"/>
      <c r="HF16" s="288"/>
      <c r="HG16" s="288"/>
      <c r="HH16" s="288"/>
      <c r="HI16" s="288"/>
      <c r="HJ16" s="288"/>
      <c r="HK16" s="288"/>
      <c r="HL16" s="288"/>
      <c r="HM16" s="288"/>
      <c r="HN16" s="288"/>
      <c r="HO16" s="288"/>
      <c r="HP16" s="288"/>
      <c r="HQ16" s="288"/>
      <c r="HR16" s="288"/>
      <c r="HS16" s="288"/>
      <c r="HT16" s="288"/>
      <c r="HU16" s="288"/>
      <c r="HV16" s="288"/>
      <c r="HW16" s="288"/>
      <c r="HX16" s="288"/>
      <c r="HY16" s="288"/>
      <c r="HZ16" s="288"/>
      <c r="IA16" s="288"/>
      <c r="IB16" s="288"/>
      <c r="IC16" s="288"/>
      <c r="ID16" s="288"/>
      <c r="IE16" s="288"/>
      <c r="IF16" s="288"/>
      <c r="IG16" s="288"/>
      <c r="IH16" s="288"/>
      <c r="II16" s="288"/>
      <c r="IJ16" s="288"/>
      <c r="IK16" s="288"/>
      <c r="IL16" s="288"/>
      <c r="IM16" s="288"/>
      <c r="IN16" s="288"/>
      <c r="IO16" s="288"/>
      <c r="IP16" s="288"/>
      <c r="IQ16" s="288"/>
      <c r="IR16" s="288"/>
      <c r="IS16" s="288"/>
      <c r="IT16" s="288"/>
      <c r="IU16" s="288"/>
      <c r="IV16" s="288"/>
    </row>
    <row r="17" spans="1:8" ht="17.25" x14ac:dyDescent="0.3">
      <c r="A17" s="405"/>
      <c r="B17" s="406"/>
      <c r="C17" s="406"/>
      <c r="D17" s="406"/>
      <c r="E17" s="373"/>
      <c r="F17" s="406"/>
      <c r="G17" s="406"/>
      <c r="H17" s="407"/>
    </row>
    <row r="18" spans="1:8" ht="15" x14ac:dyDescent="0.2">
      <c r="A18" s="570" t="s">
        <v>237</v>
      </c>
      <c r="B18" s="571"/>
      <c r="C18" s="571"/>
      <c r="D18" s="571"/>
      <c r="E18" s="572" t="s">
        <v>238</v>
      </c>
      <c r="F18" s="572"/>
      <c r="G18" s="572"/>
      <c r="H18" s="573"/>
    </row>
    <row r="19" spans="1:8" ht="17.25" x14ac:dyDescent="0.3">
      <c r="A19" s="405"/>
      <c r="B19" s="406"/>
      <c r="C19" s="406"/>
      <c r="D19" s="406"/>
      <c r="E19" s="373"/>
      <c r="F19" s="406"/>
      <c r="G19" s="406"/>
      <c r="H19" s="407"/>
    </row>
    <row r="20" spans="1:8" ht="17.25" x14ac:dyDescent="0.3">
      <c r="A20" s="405"/>
      <c r="B20" s="406"/>
      <c r="C20" s="406"/>
      <c r="D20" s="406"/>
      <c r="E20" s="373"/>
      <c r="F20" s="406"/>
      <c r="G20" s="406"/>
      <c r="H20" s="407"/>
    </row>
    <row r="21" spans="1:8" ht="17.25" x14ac:dyDescent="0.3">
      <c r="A21" s="405"/>
      <c r="B21" s="406"/>
      <c r="C21" s="406"/>
      <c r="D21" s="406"/>
      <c r="E21" s="373"/>
      <c r="F21" s="406"/>
      <c r="G21" s="406"/>
      <c r="H21" s="407"/>
    </row>
    <row r="22" spans="1:8" ht="17.25" x14ac:dyDescent="0.3">
      <c r="A22" s="405"/>
      <c r="B22" s="406"/>
      <c r="C22" s="406"/>
      <c r="D22" s="406"/>
      <c r="E22" s="373"/>
      <c r="F22" s="406"/>
      <c r="G22" s="406"/>
      <c r="H22" s="407"/>
    </row>
    <row r="23" spans="1:8" ht="17.25" x14ac:dyDescent="0.3">
      <c r="A23" s="405"/>
      <c r="B23" s="406"/>
      <c r="C23" s="406"/>
      <c r="D23" s="406"/>
      <c r="E23" s="373"/>
      <c r="F23" s="406"/>
      <c r="G23" s="406"/>
      <c r="H23" s="407"/>
    </row>
    <row r="24" spans="1:8" ht="17.25" x14ac:dyDescent="0.3">
      <c r="A24" s="405"/>
      <c r="B24" s="406"/>
      <c r="C24" s="406"/>
      <c r="D24" s="406"/>
      <c r="E24" s="373"/>
      <c r="F24" s="406"/>
      <c r="G24" s="406"/>
      <c r="H24" s="407"/>
    </row>
    <row r="25" spans="1:8" ht="17.25" x14ac:dyDescent="0.3">
      <c r="A25" s="405"/>
      <c r="B25" s="406"/>
      <c r="C25" s="406"/>
      <c r="D25" s="406"/>
      <c r="E25" s="373"/>
      <c r="F25" s="406"/>
      <c r="G25" s="406"/>
      <c r="H25" s="407"/>
    </row>
    <row r="26" spans="1:8" ht="17.25" x14ac:dyDescent="0.3">
      <c r="A26" s="405"/>
      <c r="B26" s="406"/>
      <c r="C26" s="406"/>
      <c r="D26" s="406"/>
      <c r="E26" s="373"/>
      <c r="F26" s="406"/>
      <c r="G26" s="406"/>
      <c r="H26" s="407"/>
    </row>
    <row r="27" spans="1:8" ht="17.25" x14ac:dyDescent="0.3">
      <c r="A27" s="405"/>
      <c r="B27" s="406"/>
      <c r="C27" s="406"/>
      <c r="D27" s="406"/>
      <c r="E27" s="406"/>
      <c r="F27" s="406"/>
      <c r="G27" s="406"/>
      <c r="H27" s="407"/>
    </row>
    <row r="28" spans="1:8" ht="18" thickBot="1" x14ac:dyDescent="0.35">
      <c r="A28" s="405"/>
      <c r="B28" s="406"/>
      <c r="C28" s="406"/>
      <c r="D28" s="406"/>
      <c r="E28" s="406"/>
      <c r="F28" s="406"/>
      <c r="G28" s="406"/>
      <c r="H28" s="407"/>
    </row>
    <row r="29" spans="1:8" ht="15" thickBot="1" x14ac:dyDescent="0.25">
      <c r="A29" s="558" t="s">
        <v>239</v>
      </c>
      <c r="B29" s="559"/>
      <c r="C29" s="559"/>
      <c r="D29" s="559"/>
      <c r="E29" s="559"/>
      <c r="F29" s="559"/>
      <c r="G29" s="559"/>
      <c r="H29" s="560"/>
    </row>
    <row r="30" spans="1:8" ht="13.5" x14ac:dyDescent="0.2">
      <c r="A30" s="561" t="s">
        <v>240</v>
      </c>
      <c r="B30" s="562"/>
      <c r="C30" s="562"/>
      <c r="D30" s="562"/>
      <c r="E30" s="562"/>
      <c r="F30" s="562"/>
      <c r="G30" s="562"/>
      <c r="H30" s="563"/>
    </row>
    <row r="31" spans="1:8" ht="13.5" x14ac:dyDescent="0.2">
      <c r="A31" s="561" t="s">
        <v>241</v>
      </c>
      <c r="B31" s="562"/>
      <c r="C31" s="562"/>
      <c r="D31" s="562"/>
      <c r="E31" s="562"/>
      <c r="F31" s="562"/>
      <c r="G31" s="562"/>
      <c r="H31" s="563"/>
    </row>
    <row r="32" spans="1:8" ht="13.5" x14ac:dyDescent="0.2">
      <c r="A32" s="561"/>
      <c r="B32" s="562"/>
      <c r="C32" s="562"/>
      <c r="D32" s="562"/>
      <c r="E32" s="562"/>
      <c r="F32" s="562"/>
      <c r="G32" s="562"/>
      <c r="H32" s="563"/>
    </row>
    <row r="33" spans="1:8" ht="14.25" thickBot="1" x14ac:dyDescent="0.25">
      <c r="A33" s="549"/>
      <c r="B33" s="550"/>
      <c r="C33" s="550"/>
      <c r="D33" s="550"/>
      <c r="E33" s="550"/>
      <c r="F33" s="550"/>
      <c r="G33" s="550"/>
      <c r="H33" s="551"/>
    </row>
    <row r="34" spans="1:8" ht="15" thickBot="1" x14ac:dyDescent="0.25">
      <c r="A34" s="552" t="s">
        <v>242</v>
      </c>
      <c r="B34" s="553"/>
      <c r="C34" s="553"/>
      <c r="D34" s="553"/>
      <c r="E34" s="553"/>
      <c r="F34" s="553"/>
      <c r="G34" s="553"/>
      <c r="H34" s="554"/>
    </row>
    <row r="35" spans="1:8" ht="14.25" thickBot="1" x14ac:dyDescent="0.25">
      <c r="A35" s="555" t="s">
        <v>243</v>
      </c>
      <c r="B35" s="556"/>
      <c r="C35" s="556"/>
      <c r="D35" s="556"/>
      <c r="E35" s="556"/>
      <c r="F35" s="556"/>
      <c r="G35" s="556"/>
      <c r="H35" s="557"/>
    </row>
  </sheetData>
  <mergeCells count="27">
    <mergeCell ref="G4:H4"/>
    <mergeCell ref="G6:H6"/>
    <mergeCell ref="G7:H7"/>
    <mergeCell ref="A1:A4"/>
    <mergeCell ref="B1:F1"/>
    <mergeCell ref="B2:F2"/>
    <mergeCell ref="B3:F3"/>
    <mergeCell ref="B4:C4"/>
    <mergeCell ref="D4:E4"/>
    <mergeCell ref="G15:H15"/>
    <mergeCell ref="G8:H8"/>
    <mergeCell ref="G9:H9"/>
    <mergeCell ref="A16:H16"/>
    <mergeCell ref="A18:D18"/>
    <mergeCell ref="E18:H18"/>
    <mergeCell ref="G11:H11"/>
    <mergeCell ref="G12:H12"/>
    <mergeCell ref="G13:H13"/>
    <mergeCell ref="G14:H14"/>
    <mergeCell ref="G10:H10"/>
    <mergeCell ref="A33:H33"/>
    <mergeCell ref="A34:H34"/>
    <mergeCell ref="A35:H35"/>
    <mergeCell ref="A29:H29"/>
    <mergeCell ref="A30:H30"/>
    <mergeCell ref="A31:H31"/>
    <mergeCell ref="A32:H3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2F027-D5FD-438B-A55F-581DB3A4AAD2}">
  <dimension ref="A1:AL65"/>
  <sheetViews>
    <sheetView topLeftCell="A4" workbookViewId="0">
      <selection activeCell="F10" sqref="F10"/>
    </sheetView>
  </sheetViews>
  <sheetFormatPr baseColWidth="10" defaultColWidth="8.42578125" defaultRowHeight="11.25" x14ac:dyDescent="0.2"/>
  <cols>
    <col min="1" max="1" width="5" style="170" customWidth="1"/>
    <col min="2" max="2" width="10" style="170" bestFit="1" customWidth="1"/>
    <col min="3" max="3" width="39.28515625" style="170" customWidth="1"/>
    <col min="4" max="4" width="10" style="170" bestFit="1" customWidth="1"/>
    <col min="5" max="5" width="10" style="170" customWidth="1"/>
    <col min="6" max="6" width="10.28515625" style="170" bestFit="1" customWidth="1"/>
    <col min="7" max="7" width="11.5703125" style="248" customWidth="1"/>
    <col min="8" max="8" width="10.42578125" style="321" bestFit="1" customWidth="1"/>
    <col min="9" max="9" width="11.5703125" style="250" bestFit="1" customWidth="1"/>
    <col min="10" max="10" width="11.7109375" style="171" customWidth="1"/>
    <col min="11" max="11" width="9" style="170" bestFit="1" customWidth="1"/>
    <col min="12" max="16384" width="8.42578125" style="170"/>
  </cols>
  <sheetData>
    <row r="1" spans="2:9" x14ac:dyDescent="0.2">
      <c r="H1" s="596" t="s">
        <v>201</v>
      </c>
      <c r="I1" s="598">
        <f>+G51</f>
        <v>4719.1744595893033</v>
      </c>
    </row>
    <row r="2" spans="2:9" ht="19.5" customHeight="1" thickBot="1" x14ac:dyDescent="0.25">
      <c r="H2" s="597"/>
      <c r="I2" s="599"/>
    </row>
    <row r="3" spans="2:9" ht="12" thickBot="1" x14ac:dyDescent="0.25"/>
    <row r="4" spans="2:9" ht="36" customHeight="1" thickBot="1" x14ac:dyDescent="0.35">
      <c r="B4" s="600"/>
      <c r="C4" s="601"/>
      <c r="D4" s="601"/>
      <c r="E4" s="601"/>
      <c r="F4" s="601"/>
      <c r="G4" s="601"/>
      <c r="H4" s="601"/>
      <c r="I4" s="602"/>
    </row>
    <row r="5" spans="2:9" ht="19.5" customHeight="1" thickBot="1" x14ac:dyDescent="0.25">
      <c r="B5" s="603" t="s">
        <v>153</v>
      </c>
      <c r="C5" s="603"/>
      <c r="D5" s="603"/>
      <c r="E5" s="603"/>
      <c r="F5" s="603"/>
      <c r="G5" s="603"/>
      <c r="H5" s="603"/>
      <c r="I5" s="603"/>
    </row>
    <row r="6" spans="2:9" ht="19.5" customHeight="1" thickTop="1" x14ac:dyDescent="0.2">
      <c r="B6" s="604" t="s">
        <v>154</v>
      </c>
      <c r="C6" s="604"/>
      <c r="D6" s="604"/>
      <c r="E6" s="604"/>
      <c r="F6" s="604"/>
      <c r="G6" s="604"/>
      <c r="H6" s="604"/>
      <c r="I6" s="604"/>
    </row>
    <row r="7" spans="2:9" ht="19.5" customHeight="1" thickBot="1" x14ac:dyDescent="0.25">
      <c r="B7" s="172"/>
      <c r="C7" s="172"/>
      <c r="D7" s="172"/>
      <c r="E7" s="172"/>
      <c r="F7" s="172"/>
      <c r="G7" s="605" t="s">
        <v>91</v>
      </c>
      <c r="H7" s="605"/>
      <c r="I7" s="86">
        <f ca="1">TODAY()</f>
        <v>45754</v>
      </c>
    </row>
    <row r="8" spans="2:9" ht="26.25" thickBot="1" x14ac:dyDescent="0.25">
      <c r="B8" s="87" t="s">
        <v>92</v>
      </c>
      <c r="C8" s="88" t="s">
        <v>202</v>
      </c>
      <c r="D8" s="88" t="s">
        <v>92</v>
      </c>
      <c r="E8" s="89" t="s">
        <v>94</v>
      </c>
      <c r="F8" s="89" t="s">
        <v>95</v>
      </c>
      <c r="G8" s="89" t="s">
        <v>96</v>
      </c>
      <c r="H8" s="89" t="s">
        <v>97</v>
      </c>
      <c r="I8" s="90" t="s">
        <v>98</v>
      </c>
    </row>
    <row r="9" spans="2:9" s="176" customFormat="1" ht="13.5" x14ac:dyDescent="0.25">
      <c r="B9" s="92">
        <v>1</v>
      </c>
      <c r="C9" s="98" t="s">
        <v>210</v>
      </c>
      <c r="D9" s="93">
        <f t="shared" ref="D9:D14" si="0">+B9</f>
        <v>1</v>
      </c>
      <c r="E9" s="322" t="s">
        <v>211</v>
      </c>
      <c r="F9" s="94">
        <f>+'COSTEO ENSAMBLE'!O67</f>
        <v>3912.1697224069026</v>
      </c>
      <c r="G9" s="94">
        <f t="shared" ref="G9:G14" si="1">IFERROR(D9*F9,"")</f>
        <v>3912.1697224069026</v>
      </c>
      <c r="H9" s="323">
        <f t="shared" ref="H9:H14" si="2">IFERROR(G9/$G$53,"")</f>
        <v>0.34137477795205501</v>
      </c>
      <c r="I9" s="99"/>
    </row>
    <row r="10" spans="2:9" s="176" customFormat="1" ht="13.5" x14ac:dyDescent="0.25">
      <c r="B10" s="92">
        <v>1</v>
      </c>
      <c r="C10" s="98" t="s">
        <v>212</v>
      </c>
      <c r="D10" s="93">
        <f t="shared" si="0"/>
        <v>1</v>
      </c>
      <c r="E10" s="322" t="s">
        <v>152</v>
      </c>
      <c r="F10" s="94">
        <f>+'COSTO EMPAQUE BRITTLE'!O62</f>
        <v>691.90292109485711</v>
      </c>
      <c r="G10" s="94">
        <f t="shared" si="1"/>
        <v>691.90292109485711</v>
      </c>
      <c r="H10" s="323">
        <f t="shared" si="2"/>
        <v>6.0375245148571351E-2</v>
      </c>
      <c r="I10" s="99"/>
    </row>
    <row r="11" spans="2:9" s="176" customFormat="1" ht="13.5" hidden="1" x14ac:dyDescent="0.25">
      <c r="B11" s="92"/>
      <c r="C11" s="98" t="e">
        <f>VLOOKUP(I11,'[1]COMPRAS LOCALES'!$A$2:$F$380,2,0)</f>
        <v>#N/A</v>
      </c>
      <c r="D11" s="93">
        <f t="shared" si="0"/>
        <v>0</v>
      </c>
      <c r="E11" s="322" t="e">
        <f>VLOOKUP(I11,'[1]COMPRAS LOCALES'!$A$2:$F$380,5,0)</f>
        <v>#N/A</v>
      </c>
      <c r="F11" s="94" t="e">
        <f>VLOOKUP(I11,'[1]COMPRAS LOCALES'!$A$2:$F$380,6,0)</f>
        <v>#N/A</v>
      </c>
      <c r="G11" s="94" t="str">
        <f t="shared" si="1"/>
        <v/>
      </c>
      <c r="H11" s="323" t="str">
        <f t="shared" si="2"/>
        <v/>
      </c>
      <c r="I11" s="99"/>
    </row>
    <row r="12" spans="2:9" s="176" customFormat="1" ht="13.5" hidden="1" x14ac:dyDescent="0.25">
      <c r="B12" s="92"/>
      <c r="C12" s="98" t="e">
        <f>VLOOKUP(I12,'[1]COMPRAS LOCALES'!$A$2:$F$380,2,0)</f>
        <v>#N/A</v>
      </c>
      <c r="D12" s="93">
        <f t="shared" si="0"/>
        <v>0</v>
      </c>
      <c r="E12" s="322" t="e">
        <f>VLOOKUP(I12,'[1]COMPRAS LOCALES'!$A$2:$F$380,5,0)</f>
        <v>#N/A</v>
      </c>
      <c r="F12" s="94" t="e">
        <f>VLOOKUP(I12,'[1]COMPRAS LOCALES'!$A$2:$F$380,6,0)</f>
        <v>#N/A</v>
      </c>
      <c r="G12" s="94" t="str">
        <f t="shared" si="1"/>
        <v/>
      </c>
      <c r="H12" s="323" t="str">
        <f t="shared" si="2"/>
        <v/>
      </c>
      <c r="I12" s="99"/>
    </row>
    <row r="13" spans="2:9" s="176" customFormat="1" ht="13.5" hidden="1" x14ac:dyDescent="0.25">
      <c r="B13" s="92"/>
      <c r="C13" s="98" t="e">
        <f>VLOOKUP(I13,'[1]COMPRAS LOCALES'!$A$2:$F$380,2,0)</f>
        <v>#N/A</v>
      </c>
      <c r="D13" s="93">
        <f t="shared" si="0"/>
        <v>0</v>
      </c>
      <c r="E13" s="322" t="e">
        <f>VLOOKUP(I13,'[1]COMPRAS LOCALES'!$A$2:$F$380,5,0)</f>
        <v>#N/A</v>
      </c>
      <c r="F13" s="94" t="e">
        <f>VLOOKUP(I13,'[1]COMPRAS LOCALES'!$A$2:$F$380,6,0)</f>
        <v>#N/A</v>
      </c>
      <c r="G13" s="94" t="str">
        <f t="shared" si="1"/>
        <v/>
      </c>
      <c r="H13" s="323" t="str">
        <f t="shared" si="2"/>
        <v/>
      </c>
      <c r="I13" s="99"/>
    </row>
    <row r="14" spans="2:9" s="176" customFormat="1" ht="13.5" hidden="1" x14ac:dyDescent="0.25">
      <c r="B14" s="92"/>
      <c r="C14" s="98" t="e">
        <f>VLOOKUP(I14,'[1]COMPRAS LOCALES'!$A$2:$F$380,2,0)</f>
        <v>#N/A</v>
      </c>
      <c r="D14" s="93">
        <f t="shared" si="0"/>
        <v>0</v>
      </c>
      <c r="E14" s="322" t="e">
        <f>VLOOKUP(I14,'[1]COMPRAS LOCALES'!$A$2:$F$380,5,0)</f>
        <v>#N/A</v>
      </c>
      <c r="F14" s="94" t="e">
        <f>VLOOKUP(I14,'[1]COMPRAS LOCALES'!$A$2:$F$380,6,0)</f>
        <v>#N/A</v>
      </c>
      <c r="G14" s="94" t="str">
        <f t="shared" si="1"/>
        <v/>
      </c>
      <c r="H14" s="323" t="str">
        <f t="shared" si="2"/>
        <v/>
      </c>
      <c r="I14" s="99"/>
    </row>
    <row r="15" spans="2:9" s="176" customFormat="1" ht="14.25" thickBot="1" x14ac:dyDescent="0.3">
      <c r="B15" s="92"/>
      <c r="C15" s="324"/>
      <c r="D15" s="93"/>
      <c r="E15" s="93"/>
      <c r="F15" s="94"/>
      <c r="G15" s="94"/>
      <c r="H15" s="323"/>
      <c r="I15" s="99"/>
    </row>
    <row r="16" spans="2:9" s="176" customFormat="1" ht="24" hidden="1" customHeight="1" thickBot="1" x14ac:dyDescent="0.25">
      <c r="B16" s="87" t="s">
        <v>92</v>
      </c>
      <c r="C16" s="88" t="s">
        <v>203</v>
      </c>
      <c r="D16" s="88" t="s">
        <v>92</v>
      </c>
      <c r="E16" s="89" t="s">
        <v>94</v>
      </c>
      <c r="F16" s="89" t="s">
        <v>95</v>
      </c>
      <c r="G16" s="89" t="s">
        <v>96</v>
      </c>
      <c r="H16" s="89" t="s">
        <v>97</v>
      </c>
      <c r="I16" s="90" t="s">
        <v>98</v>
      </c>
    </row>
    <row r="17" spans="2:9" s="176" customFormat="1" ht="13.5" hidden="1" x14ac:dyDescent="0.25">
      <c r="B17" s="92"/>
      <c r="C17" s="98" t="e">
        <f>VLOOKUP(I17,'[1]COMPRAS LOCALES'!$A$2:$F$380,2,0)</f>
        <v>#N/A</v>
      </c>
      <c r="D17" s="325">
        <f>+B17</f>
        <v>0</v>
      </c>
      <c r="E17" s="325" t="e">
        <f>VLOOKUP(I17,'[1]COMPRAS LOCALES'!$A$2:$F$380,5,0)</f>
        <v>#N/A</v>
      </c>
      <c r="F17" s="326" t="e">
        <f>VLOOKUP(I17,'[1]COMPRAS LOCALES'!$A$2:$F$380,6,0)</f>
        <v>#N/A</v>
      </c>
      <c r="G17" s="326" t="str">
        <f>IFERROR(D17*F17,"")</f>
        <v/>
      </c>
      <c r="H17" s="323" t="str">
        <f>IFERROR(G17/$G$53,"")</f>
        <v/>
      </c>
      <c r="I17" s="99"/>
    </row>
    <row r="18" spans="2:9" s="176" customFormat="1" ht="13.5" hidden="1" x14ac:dyDescent="0.25">
      <c r="B18" s="92"/>
      <c r="C18" s="98" t="e">
        <f>VLOOKUP(I18,'[1]COMPRAS LOCALES'!$A$2:$F$380,2,0)</f>
        <v>#N/A</v>
      </c>
      <c r="D18" s="325">
        <f>+B18</f>
        <v>0</v>
      </c>
      <c r="E18" s="325" t="e">
        <f>VLOOKUP(I18,'[1]COMPRAS LOCALES'!$A$2:$F$380,5,0)</f>
        <v>#N/A</v>
      </c>
      <c r="F18" s="326" t="e">
        <f>VLOOKUP(I18,'[1]COMPRAS LOCALES'!$A$2:$F$380,6,0)</f>
        <v>#N/A</v>
      </c>
      <c r="G18" s="326" t="str">
        <f>IFERROR(D18*F18,"")</f>
        <v/>
      </c>
      <c r="H18" s="323" t="str">
        <f>IFERROR(G18/$G$53,"")</f>
        <v/>
      </c>
      <c r="I18" s="99"/>
    </row>
    <row r="19" spans="2:9" s="176" customFormat="1" ht="13.5" hidden="1" x14ac:dyDescent="0.25">
      <c r="B19" s="92"/>
      <c r="C19" s="98" t="e">
        <f>VLOOKUP(I19,'[1]COMPRAS LOCALES'!$A$2:$F$380,2,0)</f>
        <v>#N/A</v>
      </c>
      <c r="D19" s="325">
        <f>+B19</f>
        <v>0</v>
      </c>
      <c r="E19" s="325" t="e">
        <f>VLOOKUP(I19,'[1]COMPRAS LOCALES'!$A$2:$F$380,5,0)</f>
        <v>#N/A</v>
      </c>
      <c r="F19" s="326" t="e">
        <f>VLOOKUP(I19,'[1]COMPRAS LOCALES'!$A$2:$F$380,6,0)</f>
        <v>#N/A</v>
      </c>
      <c r="G19" s="326" t="str">
        <f>IFERROR(D19*F19,"")</f>
        <v/>
      </c>
      <c r="H19" s="323" t="str">
        <f>IFERROR(G19/$G$53,"")</f>
        <v/>
      </c>
      <c r="I19" s="99"/>
    </row>
    <row r="20" spans="2:9" s="176" customFormat="1" ht="13.5" hidden="1" x14ac:dyDescent="0.25">
      <c r="B20" s="92"/>
      <c r="C20" s="98" t="e">
        <f>VLOOKUP(I20,'[1]COMPRAS LOCALES'!$A$2:$F$380,2,0)</f>
        <v>#N/A</v>
      </c>
      <c r="D20" s="325">
        <f>+B20</f>
        <v>0</v>
      </c>
      <c r="E20" s="325" t="e">
        <f>VLOOKUP(I20,'[1]COMPRAS LOCALES'!$A$2:$F$380,5,0)</f>
        <v>#N/A</v>
      </c>
      <c r="F20" s="326" t="e">
        <f>VLOOKUP(I20,'[1]COMPRAS LOCALES'!$A$2:$F$380,6,0)</f>
        <v>#N/A</v>
      </c>
      <c r="G20" s="326" t="str">
        <f>IFERROR(D20*F20,"")</f>
        <v/>
      </c>
      <c r="H20" s="323" t="str">
        <f>IFERROR(G20/$G$53,"")</f>
        <v/>
      </c>
      <c r="I20" s="99"/>
    </row>
    <row r="21" spans="2:9" s="176" customFormat="1" ht="13.5" hidden="1" thickBot="1" x14ac:dyDescent="0.25">
      <c r="B21" s="327"/>
      <c r="C21" s="328"/>
      <c r="D21" s="329"/>
      <c r="E21" s="329"/>
      <c r="F21" s="329"/>
      <c r="G21" s="330"/>
      <c r="H21" s="331"/>
      <c r="I21" s="332"/>
    </row>
    <row r="22" spans="2:9" s="176" customFormat="1" ht="26.25" thickBot="1" x14ac:dyDescent="0.25">
      <c r="B22" s="87" t="s">
        <v>123</v>
      </c>
      <c r="C22" s="88" t="s">
        <v>25</v>
      </c>
      <c r="D22" s="88" t="s">
        <v>123</v>
      </c>
      <c r="E22" s="89" t="s">
        <v>94</v>
      </c>
      <c r="F22" s="89" t="s">
        <v>155</v>
      </c>
      <c r="G22" s="89" t="s">
        <v>156</v>
      </c>
      <c r="H22" s="89" t="s">
        <v>157</v>
      </c>
      <c r="I22" s="90" t="s">
        <v>158</v>
      </c>
    </row>
    <row r="23" spans="2:9" s="176" customFormat="1" ht="14.25" hidden="1" thickBot="1" x14ac:dyDescent="0.3">
      <c r="B23" s="92"/>
      <c r="C23" s="333" t="s">
        <v>204</v>
      </c>
      <c r="D23" s="93"/>
      <c r="E23" s="93"/>
      <c r="F23" s="94"/>
      <c r="G23" s="94"/>
      <c r="H23" s="323"/>
      <c r="I23" s="99"/>
    </row>
    <row r="24" spans="2:9" s="176" customFormat="1" ht="13.5" hidden="1" x14ac:dyDescent="0.25">
      <c r="B24" s="92">
        <v>0.55000000000000004</v>
      </c>
      <c r="C24" s="98" t="e">
        <f>VLOOKUP(I24,'[4]COMPRAS LOCALES'!$A$1:$F$380,2,0)</f>
        <v>#N/A</v>
      </c>
      <c r="D24" s="93">
        <f>+B24</f>
        <v>0.55000000000000004</v>
      </c>
      <c r="E24" s="93" t="e">
        <f>VLOOKUP(I24,'[1]COMPRAS LOCALES'!$A$2:$F$380,5,0)</f>
        <v>#N/A</v>
      </c>
      <c r="F24" s="94" t="e">
        <f>VLOOKUP(I24,'[1]COMPRAS LOCALES'!$A$2:$F$380,6,0)</f>
        <v>#N/A</v>
      </c>
      <c r="G24" s="94" t="str">
        <f>IFERROR(F24*D24,"")</f>
        <v/>
      </c>
      <c r="H24" s="334" t="str">
        <f>IFERROR(G24/$G$53,"")</f>
        <v/>
      </c>
      <c r="I24" s="99"/>
    </row>
    <row r="25" spans="2:9" s="176" customFormat="1" ht="13.5" hidden="1" x14ac:dyDescent="0.25">
      <c r="B25" s="92">
        <v>0.55000000000000004</v>
      </c>
      <c r="C25" s="98" t="e">
        <f>VLOOKUP(I25,'[4]COMPRAS LOCALES'!$A$1:$F$380,2,0)</f>
        <v>#N/A</v>
      </c>
      <c r="D25" s="93">
        <f t="shared" ref="D25:D31" si="3">+B25</f>
        <v>0.55000000000000004</v>
      </c>
      <c r="E25" s="93" t="e">
        <f>VLOOKUP(I25,'[1]COMPRAS LOCALES'!$A$2:$F$380,5,0)</f>
        <v>#N/A</v>
      </c>
      <c r="F25" s="94" t="e">
        <f>VLOOKUP(I25,'[1]COMPRAS LOCALES'!$A$2:$F$380,6,0)</f>
        <v>#N/A</v>
      </c>
      <c r="G25" s="94" t="str">
        <f t="shared" ref="G25:G31" si="4">IFERROR(F25*D25,"")</f>
        <v/>
      </c>
      <c r="H25" s="334" t="str">
        <f t="shared" ref="H25:H38" si="5">IFERROR(G25/$G$53,"")</f>
        <v/>
      </c>
      <c r="I25" s="99"/>
    </row>
    <row r="26" spans="2:9" s="176" customFormat="1" ht="13.5" hidden="1" x14ac:dyDescent="0.25">
      <c r="B26" s="92">
        <v>0.55000000000000004</v>
      </c>
      <c r="C26" s="98" t="e">
        <f>VLOOKUP(I26,'[4]COMPRAS LOCALES'!$A$1:$F$380,2,0)</f>
        <v>#N/A</v>
      </c>
      <c r="D26" s="93">
        <f t="shared" si="3"/>
        <v>0.55000000000000004</v>
      </c>
      <c r="E26" s="93" t="e">
        <f>VLOOKUP(I26,'[1]COMPRAS LOCALES'!$A$2:$F$380,5,0)</f>
        <v>#N/A</v>
      </c>
      <c r="F26" s="94" t="e">
        <f>VLOOKUP(I26,'[1]COMPRAS LOCALES'!$A$2:$F$380,6,0)</f>
        <v>#N/A</v>
      </c>
      <c r="G26" s="94" t="str">
        <f t="shared" si="4"/>
        <v/>
      </c>
      <c r="H26" s="334" t="str">
        <f t="shared" si="5"/>
        <v/>
      </c>
      <c r="I26" s="99"/>
    </row>
    <row r="27" spans="2:9" s="176" customFormat="1" ht="13.5" hidden="1" x14ac:dyDescent="0.25">
      <c r="B27" s="92">
        <v>0.55000000000000004</v>
      </c>
      <c r="C27" s="98" t="e">
        <f>VLOOKUP(I27,'[4]COMPRAS LOCALES'!$A$1:$F$380,2,0)</f>
        <v>#N/A</v>
      </c>
      <c r="D27" s="93">
        <f t="shared" si="3"/>
        <v>0.55000000000000004</v>
      </c>
      <c r="E27" s="93" t="e">
        <f>VLOOKUP(I27,'[1]COMPRAS LOCALES'!$A$2:$F$380,5,0)</f>
        <v>#N/A</v>
      </c>
      <c r="F27" s="94" t="e">
        <f>VLOOKUP(I27,'[1]COMPRAS LOCALES'!$A$2:$F$380,6,0)</f>
        <v>#N/A</v>
      </c>
      <c r="G27" s="94" t="str">
        <f t="shared" si="4"/>
        <v/>
      </c>
      <c r="H27" s="334" t="str">
        <f t="shared" si="5"/>
        <v/>
      </c>
      <c r="I27" s="99"/>
    </row>
    <row r="28" spans="2:9" s="176" customFormat="1" ht="13.5" hidden="1" x14ac:dyDescent="0.25">
      <c r="B28" s="92">
        <v>0.55000000000000004</v>
      </c>
      <c r="C28" s="98" t="e">
        <f>VLOOKUP(I28,'[4]COMPRAS LOCALES'!$A$1:$F$380,2,0)</f>
        <v>#N/A</v>
      </c>
      <c r="D28" s="93">
        <f t="shared" si="3"/>
        <v>0.55000000000000004</v>
      </c>
      <c r="E28" s="93" t="e">
        <f>VLOOKUP(I28,'[1]COMPRAS LOCALES'!$A$2:$F$380,5,0)</f>
        <v>#N/A</v>
      </c>
      <c r="F28" s="94" t="e">
        <f>VLOOKUP(I28,'[1]COMPRAS LOCALES'!$A$2:$F$380,6,0)</f>
        <v>#N/A</v>
      </c>
      <c r="G28" s="94" t="str">
        <f t="shared" si="4"/>
        <v/>
      </c>
      <c r="H28" s="334" t="str">
        <f t="shared" si="5"/>
        <v/>
      </c>
      <c r="I28" s="99"/>
    </row>
    <row r="29" spans="2:9" s="176" customFormat="1" ht="13.5" hidden="1" x14ac:dyDescent="0.25">
      <c r="B29" s="92">
        <v>0.55000000000000004</v>
      </c>
      <c r="C29" s="98" t="e">
        <f>VLOOKUP(I29,'[4]COMPRAS LOCALES'!$A$1:$F$380,2,0)</f>
        <v>#N/A</v>
      </c>
      <c r="D29" s="93">
        <f t="shared" si="3"/>
        <v>0.55000000000000004</v>
      </c>
      <c r="E29" s="93" t="e">
        <f>VLOOKUP(I29,'[1]COMPRAS LOCALES'!$A$2:$F$380,5,0)</f>
        <v>#N/A</v>
      </c>
      <c r="F29" s="94" t="e">
        <f>VLOOKUP(I29,'[1]COMPRAS LOCALES'!$A$2:$F$380,6,0)</f>
        <v>#N/A</v>
      </c>
      <c r="G29" s="94" t="str">
        <f t="shared" si="4"/>
        <v/>
      </c>
      <c r="H29" s="334" t="str">
        <f t="shared" si="5"/>
        <v/>
      </c>
      <c r="I29" s="99"/>
    </row>
    <row r="30" spans="2:9" s="176" customFormat="1" ht="13.5" hidden="1" x14ac:dyDescent="0.25">
      <c r="B30" s="92">
        <v>0.55000000000000004</v>
      </c>
      <c r="C30" s="98" t="e">
        <f>VLOOKUP(I30,'[4]COMPRAS LOCALES'!$A$1:$F$380,2,0)</f>
        <v>#N/A</v>
      </c>
      <c r="D30" s="93">
        <f t="shared" si="3"/>
        <v>0.55000000000000004</v>
      </c>
      <c r="E30" s="93" t="e">
        <f>VLOOKUP(I30,'[1]COMPRAS LOCALES'!$A$2:$F$380,5,0)</f>
        <v>#N/A</v>
      </c>
      <c r="F30" s="94" t="e">
        <f>VLOOKUP(I30,'[1]COMPRAS LOCALES'!$A$2:$F$380,6,0)</f>
        <v>#N/A</v>
      </c>
      <c r="G30" s="94" t="str">
        <f t="shared" si="4"/>
        <v/>
      </c>
      <c r="H30" s="334" t="str">
        <f t="shared" si="5"/>
        <v/>
      </c>
      <c r="I30" s="99"/>
    </row>
    <row r="31" spans="2:9" s="176" customFormat="1" ht="14.25" hidden="1" thickBot="1" x14ac:dyDescent="0.3">
      <c r="B31" s="92">
        <v>0.55000000000000004</v>
      </c>
      <c r="C31" s="98" t="e">
        <f>VLOOKUP(I31,'[4]COMPRAS LOCALES'!$A$1:$F$380,2,0)</f>
        <v>#N/A</v>
      </c>
      <c r="D31" s="93">
        <f t="shared" si="3"/>
        <v>0.55000000000000004</v>
      </c>
      <c r="E31" s="93" t="e">
        <f>VLOOKUP(I31,'[1]COMPRAS LOCALES'!$A$2:$F$380,5,0)</f>
        <v>#N/A</v>
      </c>
      <c r="F31" s="94" t="e">
        <f>VLOOKUP(I31,'[1]COMPRAS LOCALES'!$A$2:$F$380,6,0)</f>
        <v>#N/A</v>
      </c>
      <c r="G31" s="94" t="str">
        <f t="shared" si="4"/>
        <v/>
      </c>
      <c r="H31" s="334" t="str">
        <f t="shared" si="5"/>
        <v/>
      </c>
      <c r="I31" s="99"/>
    </row>
    <row r="32" spans="2:9" s="176" customFormat="1" ht="14.25" hidden="1" thickBot="1" x14ac:dyDescent="0.3">
      <c r="B32" s="92"/>
      <c r="C32" s="333" t="s">
        <v>205</v>
      </c>
      <c r="D32" s="93"/>
      <c r="E32" s="93"/>
      <c r="F32" s="94"/>
      <c r="G32" s="94"/>
      <c r="H32" s="334"/>
      <c r="I32" s="99"/>
    </row>
    <row r="33" spans="1:38" s="176" customFormat="1" ht="13.5" hidden="1" x14ac:dyDescent="0.25">
      <c r="B33" s="92">
        <v>0.05</v>
      </c>
      <c r="C33" s="324" t="str">
        <f>IFERROR(VLOOKUP(I33,'[2]EMP LOCALES'!$A$2:$G$119,2,0),"")</f>
        <v/>
      </c>
      <c r="D33" s="93">
        <f t="shared" ref="D33:D38" si="6">+B33</f>
        <v>0.05</v>
      </c>
      <c r="E33" s="93" t="str">
        <f>IFERROR(VLOOKUP(I33,'[2]EMP LOCALES'!$A$2:$G$119,6,0),"")</f>
        <v/>
      </c>
      <c r="F33" s="94" t="str">
        <f>IFERROR(VLOOKUP(I33,'[2]EMP LOCALES'!$A$2:$G$119,7,0),"")</f>
        <v/>
      </c>
      <c r="G33" s="94" t="str">
        <f t="shared" ref="G33:G38" si="7">IFERROR(F33*D33,"")</f>
        <v/>
      </c>
      <c r="H33" s="334" t="str">
        <f t="shared" si="5"/>
        <v/>
      </c>
      <c r="I33" s="99"/>
    </row>
    <row r="34" spans="1:38" s="176" customFormat="1" ht="13.5" hidden="1" x14ac:dyDescent="0.25">
      <c r="B34" s="92">
        <v>0.05</v>
      </c>
      <c r="C34" s="324" t="str">
        <f>IFERROR(VLOOKUP(I34,'[2]EMP LOCALES'!$A$2:$G$119,2,0),"")</f>
        <v/>
      </c>
      <c r="D34" s="93">
        <f t="shared" si="6"/>
        <v>0.05</v>
      </c>
      <c r="E34" s="93" t="str">
        <f>IFERROR(VLOOKUP(I34,'[2]EMP LOCALES'!$A$2:$G$119,6,0),"")</f>
        <v/>
      </c>
      <c r="F34" s="94" t="str">
        <f>IFERROR(VLOOKUP(I34,'[2]EMP LOCALES'!$A$2:$G$119,7,0),"")</f>
        <v/>
      </c>
      <c r="G34" s="94" t="str">
        <f t="shared" si="7"/>
        <v/>
      </c>
      <c r="H34" s="334" t="str">
        <f t="shared" si="5"/>
        <v/>
      </c>
      <c r="I34" s="99"/>
    </row>
    <row r="35" spans="1:38" s="176" customFormat="1" ht="13.5" hidden="1" x14ac:dyDescent="0.25">
      <c r="B35" s="92">
        <v>0.05</v>
      </c>
      <c r="C35" s="324" t="str">
        <f>IFERROR(VLOOKUP(I35,'[2]EMP LOCALES'!$A$2:$G$119,2,0),"")</f>
        <v/>
      </c>
      <c r="D35" s="93">
        <f t="shared" si="6"/>
        <v>0.05</v>
      </c>
      <c r="E35" s="93" t="str">
        <f>IFERROR(VLOOKUP(I35,'[2]EMP LOCALES'!$A$2:$G$119,6,0),"")</f>
        <v/>
      </c>
      <c r="F35" s="94" t="str">
        <f>IFERROR(VLOOKUP(I35,'[2]EMP LOCALES'!$A$2:$G$119,7,0),"")</f>
        <v/>
      </c>
      <c r="G35" s="94" t="str">
        <f t="shared" si="7"/>
        <v/>
      </c>
      <c r="H35" s="334" t="str">
        <f t="shared" si="5"/>
        <v/>
      </c>
      <c r="I35" s="99"/>
    </row>
    <row r="36" spans="1:38" s="176" customFormat="1" ht="13.5" hidden="1" x14ac:dyDescent="0.25">
      <c r="B36" s="92">
        <v>0.05</v>
      </c>
      <c r="C36" s="324" t="str">
        <f>IFERROR(VLOOKUP(I36,'[2]EMP LOCALES'!$A$2:$G$119,2,0),"")</f>
        <v/>
      </c>
      <c r="D36" s="93">
        <f t="shared" si="6"/>
        <v>0.05</v>
      </c>
      <c r="E36" s="93" t="str">
        <f>IFERROR(VLOOKUP(I36,'[2]EMP LOCALES'!$A$2:$G$119,6,0),"")</f>
        <v/>
      </c>
      <c r="F36" s="94" t="str">
        <f>IFERROR(VLOOKUP(I36,'[2]EMP LOCALES'!$A$2:$G$119,7,0),"")</f>
        <v/>
      </c>
      <c r="G36" s="94" t="str">
        <f t="shared" si="7"/>
        <v/>
      </c>
      <c r="H36" s="334" t="str">
        <f t="shared" si="5"/>
        <v/>
      </c>
      <c r="I36" s="99"/>
    </row>
    <row r="37" spans="1:38" s="176" customFormat="1" ht="13.5" hidden="1" x14ac:dyDescent="0.25">
      <c r="B37" s="92">
        <v>0.05</v>
      </c>
      <c r="C37" s="324" t="str">
        <f>IFERROR(VLOOKUP(I37,'[2]EMP LOCALES'!$A$2:$G$119,2,0),"")</f>
        <v/>
      </c>
      <c r="D37" s="93">
        <f t="shared" si="6"/>
        <v>0.05</v>
      </c>
      <c r="E37" s="93" t="str">
        <f>IFERROR(VLOOKUP(I37,'[2]EMP LOCALES'!$A$2:$G$119,6,0),"")</f>
        <v/>
      </c>
      <c r="F37" s="94" t="str">
        <f>IFERROR(VLOOKUP(I37,'[2]EMP LOCALES'!$A$2:$G$119,7,0),"")</f>
        <v/>
      </c>
      <c r="G37" s="94" t="str">
        <f t="shared" si="7"/>
        <v/>
      </c>
      <c r="H37" s="334" t="str">
        <f t="shared" si="5"/>
        <v/>
      </c>
      <c r="I37" s="99"/>
    </row>
    <row r="38" spans="1:38" s="176" customFormat="1" ht="13.5" hidden="1" x14ac:dyDescent="0.25">
      <c r="B38" s="92">
        <v>0.05</v>
      </c>
      <c r="C38" s="324" t="str">
        <f>IFERROR(VLOOKUP(I38,'[2]EMP LOCALES'!$A$2:$G$119,2,0),"")</f>
        <v/>
      </c>
      <c r="D38" s="93">
        <f t="shared" si="6"/>
        <v>0.05</v>
      </c>
      <c r="E38" s="93" t="str">
        <f>IFERROR(VLOOKUP(I38,'[2]EMP LOCALES'!$A$2:$G$119,6,0),"")</f>
        <v/>
      </c>
      <c r="F38" s="94" t="str">
        <f>IFERROR(VLOOKUP(I38,'[2]EMP LOCALES'!$A$2:$G$119,7,0),"")</f>
        <v/>
      </c>
      <c r="G38" s="94" t="str">
        <f t="shared" si="7"/>
        <v/>
      </c>
      <c r="H38" s="334" t="str">
        <f t="shared" si="5"/>
        <v/>
      </c>
      <c r="I38" s="99"/>
    </row>
    <row r="39" spans="1:38" ht="12.75" x14ac:dyDescent="0.2">
      <c r="A39" s="190"/>
      <c r="B39" s="213"/>
      <c r="C39" s="214"/>
      <c r="D39" s="215"/>
      <c r="E39" s="215"/>
      <c r="F39" s="215"/>
      <c r="G39" s="94"/>
      <c r="H39" s="335"/>
      <c r="I39" s="218"/>
      <c r="J39" s="219"/>
    </row>
    <row r="40" spans="1:38" ht="12.75" x14ac:dyDescent="0.2">
      <c r="A40" s="327"/>
      <c r="B40" s="606" t="s">
        <v>206</v>
      </c>
      <c r="C40" s="606"/>
      <c r="D40" s="606"/>
      <c r="E40" s="606"/>
      <c r="F40" s="606"/>
      <c r="G40" s="336">
        <f>SUM(G9:G14)</f>
        <v>4604.0726435017596</v>
      </c>
      <c r="H40" s="323">
        <f>+G40/$G$53</f>
        <v>0.40175002310062635</v>
      </c>
      <c r="I40" s="170"/>
      <c r="J40" s="170"/>
    </row>
    <row r="41" spans="1:38" ht="13.5" thickBot="1" x14ac:dyDescent="0.25">
      <c r="A41" s="327"/>
      <c r="B41" s="606" t="s">
        <v>207</v>
      </c>
      <c r="C41" s="606"/>
      <c r="D41" s="606"/>
      <c r="E41" s="606"/>
      <c r="F41" s="606" t="e">
        <f>SUM(F17:F20)</f>
        <v>#N/A</v>
      </c>
      <c r="G41" s="337">
        <f>SUM(G17:G20)</f>
        <v>0</v>
      </c>
      <c r="H41" s="323">
        <f>+G41/$G$53</f>
        <v>0</v>
      </c>
      <c r="I41" s="170"/>
      <c r="J41" s="170"/>
    </row>
    <row r="42" spans="1:38" ht="13.5" thickTop="1" x14ac:dyDescent="0.2">
      <c r="A42" s="338"/>
      <c r="B42" s="592" t="s">
        <v>208</v>
      </c>
      <c r="C42" s="592"/>
      <c r="D42" s="592"/>
      <c r="E42" s="592"/>
      <c r="F42" s="592"/>
      <c r="G42" s="340">
        <f>SUM(G40:G41)</f>
        <v>4604.0726435017596</v>
      </c>
      <c r="H42" s="323">
        <f>+G42/$G$53</f>
        <v>0.40175002310062635</v>
      </c>
      <c r="I42" s="170"/>
      <c r="J42" s="170"/>
    </row>
    <row r="43" spans="1:38" ht="13.5" thickBot="1" x14ac:dyDescent="0.25">
      <c r="A43" s="327"/>
      <c r="B43" s="593" t="s">
        <v>171</v>
      </c>
      <c r="C43" s="593"/>
      <c r="D43" s="593"/>
      <c r="E43" s="593"/>
      <c r="F43" s="593"/>
      <c r="G43" s="337">
        <f>SUM(G24:G38)</f>
        <v>0</v>
      </c>
      <c r="H43" s="323">
        <f>+G43/$G$53</f>
        <v>0</v>
      </c>
      <c r="I43" s="170"/>
      <c r="J43" s="170"/>
    </row>
    <row r="44" spans="1:38" ht="13.5" thickTop="1" x14ac:dyDescent="0.2">
      <c r="A44" s="338"/>
      <c r="B44" s="592" t="s">
        <v>106</v>
      </c>
      <c r="C44" s="592"/>
      <c r="D44" s="592"/>
      <c r="E44" s="592"/>
      <c r="F44" s="592"/>
      <c r="G44" s="340">
        <f>SUM(G42:G43)</f>
        <v>4604.0726435017596</v>
      </c>
      <c r="H44" s="323">
        <f>+G44/$G$53</f>
        <v>0.40175002310062635</v>
      </c>
      <c r="I44" s="170"/>
      <c r="J44" s="170"/>
    </row>
    <row r="45" spans="1:38" ht="13.5" thickBot="1" x14ac:dyDescent="0.25">
      <c r="A45" s="98"/>
      <c r="B45" s="342"/>
      <c r="C45" s="342"/>
      <c r="D45" s="343"/>
      <c r="E45" s="343"/>
      <c r="F45" s="344"/>
      <c r="G45" s="345"/>
      <c r="H45" s="98"/>
      <c r="I45" s="170"/>
      <c r="J45" s="170"/>
    </row>
    <row r="46" spans="1:38" s="346" customFormat="1" ht="19.5" customHeight="1" thickBot="1" x14ac:dyDescent="0.3">
      <c r="A46" s="590"/>
      <c r="B46" s="591"/>
      <c r="C46" s="591"/>
      <c r="D46" s="591"/>
      <c r="E46" s="591"/>
      <c r="F46" s="591"/>
      <c r="G46" s="591"/>
      <c r="H46" s="591"/>
      <c r="I46" s="591"/>
      <c r="J46" s="190"/>
      <c r="K46" s="190"/>
      <c r="L46" s="190"/>
      <c r="M46" s="190"/>
      <c r="N46" s="190"/>
      <c r="O46" s="190"/>
      <c r="P46" s="190"/>
      <c r="Q46" s="190"/>
      <c r="R46" s="190"/>
      <c r="S46" s="190"/>
      <c r="T46" s="190"/>
      <c r="U46" s="190"/>
      <c r="V46" s="190"/>
      <c r="W46" s="190"/>
      <c r="X46" s="190"/>
      <c r="Y46" s="190"/>
      <c r="Z46" s="190"/>
      <c r="AA46" s="190"/>
      <c r="AB46" s="190"/>
      <c r="AC46" s="190"/>
      <c r="AD46" s="190"/>
      <c r="AE46" s="190"/>
      <c r="AF46" s="190"/>
      <c r="AG46" s="190"/>
      <c r="AH46" s="190"/>
      <c r="AI46" s="190"/>
      <c r="AJ46" s="190"/>
      <c r="AK46" s="190"/>
      <c r="AL46" s="190"/>
    </row>
    <row r="47" spans="1:38" ht="12.75" x14ac:dyDescent="0.2">
      <c r="A47" s="98"/>
      <c r="B47" s="347"/>
      <c r="C47" s="347"/>
      <c r="D47" s="347"/>
      <c r="E47" s="98"/>
      <c r="F47" s="327"/>
      <c r="G47" s="348"/>
      <c r="H47" s="349"/>
      <c r="I47" s="170"/>
      <c r="J47" s="170"/>
    </row>
    <row r="48" spans="1:38" ht="12.75" x14ac:dyDescent="0.2">
      <c r="A48" s="342"/>
      <c r="B48" s="592" t="s">
        <v>208</v>
      </c>
      <c r="C48" s="592"/>
      <c r="D48" s="592"/>
      <c r="E48" s="339"/>
      <c r="G48" s="166">
        <f>+G42</f>
        <v>4604.0726435017596</v>
      </c>
      <c r="H48" s="323">
        <f>+G48/$G$53</f>
        <v>0.40175002310062635</v>
      </c>
      <c r="I48" s="170"/>
      <c r="J48" s="170"/>
    </row>
    <row r="49" spans="1:38" ht="12.75" x14ac:dyDescent="0.2">
      <c r="A49" s="342"/>
      <c r="B49" s="593" t="s">
        <v>25</v>
      </c>
      <c r="C49" s="593"/>
      <c r="D49" s="593"/>
      <c r="E49" s="341"/>
      <c r="F49" s="350" t="s">
        <v>176</v>
      </c>
      <c r="G49" s="166">
        <f>+G43</f>
        <v>0</v>
      </c>
      <c r="H49" s="323">
        <f>+G49/$G$53</f>
        <v>0</v>
      </c>
      <c r="I49" s="170"/>
      <c r="J49" s="170"/>
    </row>
    <row r="50" spans="1:38" ht="13.5" thickBot="1" x14ac:dyDescent="0.25">
      <c r="A50" s="98"/>
      <c r="B50" s="593" t="s">
        <v>173</v>
      </c>
      <c r="C50" s="593"/>
      <c r="D50" s="593"/>
      <c r="E50" s="341"/>
      <c r="F50" s="239">
        <v>2.5000000000000001E-2</v>
      </c>
      <c r="G50" s="166">
        <f>+(G49+G48)*F50</f>
        <v>115.10181608754399</v>
      </c>
      <c r="H50" s="323">
        <f>+G50/$G$53</f>
        <v>1.0043750577515659E-2</v>
      </c>
      <c r="I50" s="170"/>
      <c r="J50" s="170"/>
    </row>
    <row r="51" spans="1:38" ht="13.5" thickBot="1" x14ac:dyDescent="0.25">
      <c r="A51" s="342"/>
      <c r="B51" s="594" t="s">
        <v>177</v>
      </c>
      <c r="C51" s="594"/>
      <c r="D51" s="594"/>
      <c r="E51" s="594"/>
      <c r="F51" s="595"/>
      <c r="G51" s="351">
        <f>SUM(G48:G50)</f>
        <v>4719.1744595893033</v>
      </c>
      <c r="H51" s="323">
        <f>+G51/$G$53</f>
        <v>0.41179377367814196</v>
      </c>
      <c r="I51" s="170"/>
      <c r="J51" s="170"/>
    </row>
    <row r="52" spans="1:38" ht="17.25" customHeight="1" x14ac:dyDescent="0.2">
      <c r="A52" s="352"/>
      <c r="B52" s="589" t="s">
        <v>178</v>
      </c>
      <c r="C52" s="589"/>
      <c r="D52" s="589"/>
      <c r="E52" s="244"/>
      <c r="F52" s="353">
        <v>1.4283999999999999</v>
      </c>
      <c r="G52" s="166">
        <f>+G51*F52</f>
        <v>6740.8687980773602</v>
      </c>
      <c r="H52" s="354"/>
      <c r="I52" s="170"/>
      <c r="J52" s="170"/>
    </row>
    <row r="53" spans="1:38" ht="13.5" thickBot="1" x14ac:dyDescent="0.25">
      <c r="A53" s="352"/>
      <c r="B53" s="589" t="s">
        <v>179</v>
      </c>
      <c r="C53" s="589"/>
      <c r="D53" s="589"/>
      <c r="E53" s="244"/>
      <c r="F53" s="355"/>
      <c r="G53" s="166">
        <f>SUM(G51:G52)</f>
        <v>11460.043257666664</v>
      </c>
      <c r="H53" s="356"/>
      <c r="I53" s="253">
        <f>+I55/1.13</f>
        <v>11460.176991150443</v>
      </c>
      <c r="J53" s="254">
        <f>+(I53-G51)/G51</f>
        <v>1.4284283383216545</v>
      </c>
    </row>
    <row r="54" spans="1:38" s="232" customFormat="1" ht="13.5" thickBot="1" x14ac:dyDescent="0.25">
      <c r="A54" s="352"/>
      <c r="B54" s="589" t="s">
        <v>180</v>
      </c>
      <c r="C54" s="589"/>
      <c r="D54" s="589"/>
      <c r="E54" s="244"/>
      <c r="F54" s="357">
        <v>0.13</v>
      </c>
      <c r="G54" s="358">
        <f>+G53*(1+F54)</f>
        <v>12949.848881163329</v>
      </c>
      <c r="H54" s="356"/>
      <c r="I54" s="253">
        <f>+I53*1.13</f>
        <v>12950</v>
      </c>
      <c r="J54" s="170"/>
      <c r="K54" s="170"/>
      <c r="L54" s="170"/>
      <c r="M54" s="170"/>
      <c r="N54" s="170"/>
      <c r="O54" s="170"/>
      <c r="P54" s="170"/>
      <c r="Q54" s="170"/>
      <c r="R54" s="170"/>
      <c r="S54" s="170"/>
      <c r="T54" s="170"/>
      <c r="U54" s="170"/>
      <c r="V54" s="170"/>
      <c r="W54" s="170"/>
      <c r="X54" s="170"/>
      <c r="Y54" s="170"/>
      <c r="Z54" s="170"/>
      <c r="AA54" s="170"/>
      <c r="AB54" s="170"/>
    </row>
    <row r="55" spans="1:38" ht="13.5" thickBot="1" x14ac:dyDescent="0.25">
      <c r="A55" s="98"/>
      <c r="B55" s="589" t="s">
        <v>181</v>
      </c>
      <c r="C55" s="589"/>
      <c r="D55" s="589"/>
      <c r="E55" s="244"/>
      <c r="F55" s="357">
        <v>0.23</v>
      </c>
      <c r="G55" s="359">
        <f>+G53*(1+F55)</f>
        <v>14095.853206929996</v>
      </c>
      <c r="H55" s="349"/>
      <c r="I55" s="253">
        <v>12950</v>
      </c>
      <c r="J55" s="170"/>
    </row>
    <row r="56" spans="1:38" ht="13.5" thickBot="1" x14ac:dyDescent="0.25">
      <c r="A56" s="98"/>
      <c r="B56" s="244"/>
      <c r="C56" s="244"/>
      <c r="D56" s="244"/>
      <c r="E56" s="244"/>
      <c r="F56" s="357"/>
      <c r="G56" s="247"/>
      <c r="H56" s="349"/>
      <c r="I56" s="170"/>
      <c r="J56" s="170"/>
      <c r="M56" s="360"/>
    </row>
    <row r="57" spans="1:38" s="346" customFormat="1" ht="19.5" customHeight="1" thickBot="1" x14ac:dyDescent="0.3">
      <c r="A57" s="590" t="s">
        <v>209</v>
      </c>
      <c r="B57" s="591"/>
      <c r="C57" s="591"/>
      <c r="D57" s="591"/>
      <c r="E57" s="591"/>
      <c r="F57" s="591"/>
      <c r="G57" s="591"/>
      <c r="H57" s="591"/>
      <c r="I57" s="591"/>
      <c r="J57" s="190"/>
      <c r="K57" s="190"/>
      <c r="L57" s="190"/>
      <c r="M57" s="190"/>
      <c r="N57" s="190"/>
      <c r="O57" s="190"/>
      <c r="P57" s="190"/>
      <c r="Q57" s="190"/>
      <c r="R57" s="190"/>
      <c r="S57" s="190"/>
      <c r="T57" s="190"/>
      <c r="U57" s="190"/>
      <c r="V57" s="190"/>
      <c r="W57" s="190"/>
      <c r="X57" s="190"/>
      <c r="Y57" s="190"/>
      <c r="Z57" s="190"/>
      <c r="AA57" s="190"/>
      <c r="AB57" s="190"/>
      <c r="AC57" s="190"/>
      <c r="AD57" s="190"/>
      <c r="AE57" s="190"/>
      <c r="AF57" s="190"/>
      <c r="AG57" s="190"/>
      <c r="AH57" s="190"/>
      <c r="AI57" s="190"/>
      <c r="AJ57" s="190"/>
      <c r="AK57" s="190"/>
      <c r="AL57" s="190"/>
    </row>
    <row r="58" spans="1:38" ht="13.5" customHeight="1" x14ac:dyDescent="0.2"/>
    <row r="59" spans="1:38" ht="13.5" customHeight="1" x14ac:dyDescent="0.2"/>
    <row r="60" spans="1:38" ht="13.5" customHeight="1" x14ac:dyDescent="0.2"/>
    <row r="64" spans="1:38" ht="12" thickBot="1" x14ac:dyDescent="0.25"/>
    <row r="65" spans="1:37" s="232" customFormat="1" ht="19.5" customHeight="1" thickBot="1" x14ac:dyDescent="0.25">
      <c r="A65" s="170"/>
      <c r="B65" s="170"/>
      <c r="C65" s="170"/>
      <c r="D65" s="170"/>
      <c r="E65" s="170"/>
      <c r="F65" s="170"/>
      <c r="G65" s="248"/>
      <c r="H65" s="321"/>
      <c r="I65" s="250"/>
      <c r="J65" s="171"/>
      <c r="K65" s="170"/>
      <c r="L65" s="170"/>
      <c r="M65" s="170"/>
      <c r="N65" s="170"/>
      <c r="O65" s="170"/>
      <c r="P65" s="170"/>
      <c r="Q65" s="170"/>
      <c r="R65" s="170"/>
      <c r="S65" s="170"/>
      <c r="T65" s="170"/>
      <c r="U65" s="170"/>
      <c r="V65" s="170"/>
      <c r="W65" s="170"/>
      <c r="X65" s="170"/>
      <c r="Y65" s="170"/>
      <c r="Z65" s="170"/>
      <c r="AA65" s="170"/>
      <c r="AB65" s="170"/>
      <c r="AC65" s="170"/>
      <c r="AD65" s="170"/>
      <c r="AE65" s="170"/>
      <c r="AF65" s="170"/>
      <c r="AG65" s="170"/>
      <c r="AH65" s="170"/>
      <c r="AI65" s="170"/>
      <c r="AJ65" s="170"/>
      <c r="AK65" s="170"/>
    </row>
  </sheetData>
  <mergeCells count="21">
    <mergeCell ref="A46:I46"/>
    <mergeCell ref="H1:H2"/>
    <mergeCell ref="I1:I2"/>
    <mergeCell ref="B4:I4"/>
    <mergeCell ref="B5:I5"/>
    <mergeCell ref="B6:I6"/>
    <mergeCell ref="G7:H7"/>
    <mergeCell ref="B40:F40"/>
    <mergeCell ref="B41:F41"/>
    <mergeCell ref="B42:F42"/>
    <mergeCell ref="B43:F43"/>
    <mergeCell ref="B44:F44"/>
    <mergeCell ref="B54:D54"/>
    <mergeCell ref="B55:D55"/>
    <mergeCell ref="A57:I57"/>
    <mergeCell ref="B48:D48"/>
    <mergeCell ref="B49:D49"/>
    <mergeCell ref="B50:D50"/>
    <mergeCell ref="B51:F51"/>
    <mergeCell ref="B52:D52"/>
    <mergeCell ref="B53:D5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1B7C1-CB80-4DD5-835E-0D5A3A9B36FE}">
  <dimension ref="A1:L44"/>
  <sheetViews>
    <sheetView workbookViewId="0">
      <selection activeCell="C11" sqref="C11"/>
    </sheetView>
  </sheetViews>
  <sheetFormatPr baseColWidth="10" defaultColWidth="11.42578125" defaultRowHeight="12.75" x14ac:dyDescent="0.2"/>
  <cols>
    <col min="1" max="1" width="16.28515625" style="3" customWidth="1"/>
    <col min="2" max="2" width="48.28515625" style="3" customWidth="1"/>
    <col min="3" max="3" width="15.5703125" style="3" customWidth="1"/>
    <col min="4" max="4" width="11.42578125" style="3"/>
    <col min="5" max="5" width="13.28515625" style="3" customWidth="1"/>
    <col min="6" max="6" width="12.5703125" style="3" customWidth="1"/>
    <col min="7" max="7" width="15.5703125" style="3" customWidth="1"/>
    <col min="8" max="8" width="16" style="3" customWidth="1"/>
    <col min="9" max="16384" width="11.42578125" style="3"/>
  </cols>
  <sheetData>
    <row r="1" spans="1:8" ht="18" x14ac:dyDescent="0.25">
      <c r="A1" s="514"/>
      <c r="B1" s="517" t="s">
        <v>22</v>
      </c>
      <c r="C1" s="517"/>
      <c r="D1" s="517"/>
      <c r="E1" s="517"/>
      <c r="F1" s="517"/>
      <c r="G1" s="1" t="s">
        <v>21</v>
      </c>
      <c r="H1" s="2"/>
    </row>
    <row r="2" spans="1:8" ht="18" x14ac:dyDescent="0.25">
      <c r="A2" s="515"/>
      <c r="B2" s="518" t="s">
        <v>0</v>
      </c>
      <c r="C2" s="518"/>
      <c r="D2" s="518"/>
      <c r="E2" s="518"/>
      <c r="F2" s="518"/>
      <c r="G2" s="4" t="s">
        <v>20</v>
      </c>
      <c r="H2" s="5"/>
    </row>
    <row r="3" spans="1:8" ht="19.5" customHeight="1" x14ac:dyDescent="0.2">
      <c r="A3" s="515"/>
      <c r="B3" s="519" t="s">
        <v>255</v>
      </c>
      <c r="C3" s="519"/>
      <c r="D3" s="519"/>
      <c r="E3" s="519"/>
      <c r="F3" s="519"/>
      <c r="G3" s="520" t="s">
        <v>19</v>
      </c>
      <c r="H3" s="510"/>
    </row>
    <row r="4" spans="1:8" x14ac:dyDescent="0.2">
      <c r="A4" s="515"/>
      <c r="B4" s="30" t="s">
        <v>18</v>
      </c>
      <c r="C4" s="512" t="s">
        <v>41</v>
      </c>
      <c r="D4" s="512"/>
      <c r="E4" s="512"/>
      <c r="F4" s="512"/>
      <c r="G4" s="520"/>
      <c r="H4" s="510"/>
    </row>
    <row r="5" spans="1:8" ht="15" customHeight="1" thickBot="1" x14ac:dyDescent="0.25">
      <c r="A5" s="516"/>
      <c r="B5" s="31" t="s">
        <v>17</v>
      </c>
      <c r="C5" s="513" t="s">
        <v>40</v>
      </c>
      <c r="D5" s="513"/>
      <c r="E5" s="513"/>
      <c r="F5" s="513"/>
      <c r="G5" s="521"/>
      <c r="H5" s="511"/>
    </row>
    <row r="6" spans="1:8" ht="15" customHeight="1" x14ac:dyDescent="0.2">
      <c r="A6" s="25"/>
      <c r="B6" s="26"/>
      <c r="C6" s="27"/>
      <c r="D6" s="27"/>
      <c r="E6" s="27"/>
      <c r="F6" s="27"/>
      <c r="G6" s="28"/>
      <c r="H6" s="29"/>
    </row>
    <row r="7" spans="1:8" ht="21" customHeight="1" thickBot="1" x14ac:dyDescent="0.3">
      <c r="A7" s="443" t="s">
        <v>23</v>
      </c>
      <c r="B7" s="443"/>
      <c r="C7" s="444" t="s">
        <v>183</v>
      </c>
      <c r="D7" s="444"/>
      <c r="E7" s="444"/>
      <c r="F7" s="445" t="s">
        <v>24</v>
      </c>
      <c r="G7" s="445"/>
      <c r="H7" s="33" t="s">
        <v>183</v>
      </c>
    </row>
    <row r="8" spans="1:8" ht="25.5" x14ac:dyDescent="0.2">
      <c r="A8" s="523" t="s">
        <v>1</v>
      </c>
      <c r="B8" s="525" t="s">
        <v>2</v>
      </c>
      <c r="C8" s="525" t="s">
        <v>3</v>
      </c>
      <c r="D8" s="525" t="s">
        <v>4</v>
      </c>
      <c r="E8" s="525"/>
      <c r="F8" s="525" t="s">
        <v>16</v>
      </c>
      <c r="G8" s="525"/>
      <c r="H8" s="6" t="s">
        <v>5</v>
      </c>
    </row>
    <row r="9" spans="1:8" ht="26.25" thickBot="1" x14ac:dyDescent="0.25">
      <c r="A9" s="524"/>
      <c r="B9" s="526"/>
      <c r="C9" s="526"/>
      <c r="D9" s="7" t="s">
        <v>6</v>
      </c>
      <c r="E9" s="8" t="s">
        <v>7</v>
      </c>
      <c r="F9" s="7" t="s">
        <v>6</v>
      </c>
      <c r="G9" s="8" t="s">
        <v>7</v>
      </c>
      <c r="H9" s="32" t="s">
        <v>8</v>
      </c>
    </row>
    <row r="10" spans="1:8" ht="15.75" x14ac:dyDescent="0.25">
      <c r="A10" s="60" t="s">
        <v>42</v>
      </c>
      <c r="B10" s="61" t="s">
        <v>43</v>
      </c>
      <c r="C10" s="62" t="s">
        <v>31</v>
      </c>
      <c r="D10" s="62">
        <v>200</v>
      </c>
      <c r="E10" s="62" t="s">
        <v>36</v>
      </c>
      <c r="F10" s="63"/>
      <c r="G10" s="64"/>
      <c r="H10" s="65"/>
    </row>
    <row r="11" spans="1:8" ht="15" x14ac:dyDescent="0.2">
      <c r="A11" s="66" t="s">
        <v>44</v>
      </c>
      <c r="B11" s="59" t="s">
        <v>45</v>
      </c>
      <c r="C11" s="55" t="s">
        <v>31</v>
      </c>
      <c r="D11" s="55">
        <v>300</v>
      </c>
      <c r="E11" s="55" t="s">
        <v>36</v>
      </c>
      <c r="F11" s="39"/>
      <c r="G11" s="38"/>
      <c r="H11" s="48"/>
    </row>
    <row r="12" spans="1:8" ht="15.75" x14ac:dyDescent="0.25">
      <c r="A12" s="437">
        <v>410154</v>
      </c>
      <c r="B12" s="36" t="s">
        <v>53</v>
      </c>
      <c r="C12" s="49" t="s">
        <v>54</v>
      </c>
      <c r="D12" s="58">
        <v>120</v>
      </c>
      <c r="E12" s="49" t="s">
        <v>36</v>
      </c>
      <c r="F12" s="542"/>
      <c r="G12" s="542"/>
      <c r="H12" s="543"/>
    </row>
    <row r="13" spans="1:8" ht="15" x14ac:dyDescent="0.2">
      <c r="A13" s="66" t="s">
        <v>44</v>
      </c>
      <c r="B13" s="59" t="s">
        <v>45</v>
      </c>
      <c r="C13" s="55" t="s">
        <v>31</v>
      </c>
      <c r="D13" s="55">
        <v>300</v>
      </c>
      <c r="E13" s="55" t="s">
        <v>36</v>
      </c>
      <c r="F13" s="39"/>
      <c r="G13" s="38"/>
      <c r="H13" s="48"/>
    </row>
    <row r="14" spans="1:8" ht="15" x14ac:dyDescent="0.2">
      <c r="A14" s="69"/>
      <c r="B14" s="70" t="s">
        <v>57</v>
      </c>
      <c r="C14" s="55"/>
      <c r="D14" s="55"/>
      <c r="E14" s="55"/>
      <c r="F14" s="39"/>
      <c r="G14" s="38"/>
      <c r="H14" s="48"/>
    </row>
    <row r="15" spans="1:8" ht="15" x14ac:dyDescent="0.2">
      <c r="A15" s="408" t="s">
        <v>55</v>
      </c>
      <c r="B15" s="73" t="s">
        <v>56</v>
      </c>
      <c r="C15" s="46" t="s">
        <v>31</v>
      </c>
      <c r="D15" s="46">
        <v>90</v>
      </c>
      <c r="E15" s="46" t="s">
        <v>36</v>
      </c>
      <c r="F15" s="542" t="s">
        <v>184</v>
      </c>
      <c r="G15" s="542"/>
      <c r="H15" s="543"/>
    </row>
    <row r="16" spans="1:8" ht="15" x14ac:dyDescent="0.2">
      <c r="A16" s="258">
        <v>902000116</v>
      </c>
      <c r="B16" s="47" t="s">
        <v>60</v>
      </c>
      <c r="C16" s="46" t="s">
        <v>31</v>
      </c>
      <c r="D16" s="46">
        <v>160</v>
      </c>
      <c r="E16" s="46" t="s">
        <v>36</v>
      </c>
      <c r="F16" s="542" t="s">
        <v>185</v>
      </c>
      <c r="G16" s="542"/>
      <c r="H16" s="543"/>
    </row>
    <row r="17" spans="1:12" ht="15.75" x14ac:dyDescent="0.25">
      <c r="A17" s="66" t="s">
        <v>46</v>
      </c>
      <c r="B17" s="59" t="s">
        <v>47</v>
      </c>
      <c r="C17" s="49" t="s">
        <v>68</v>
      </c>
      <c r="D17" s="58">
        <v>20</v>
      </c>
      <c r="E17" s="49" t="s">
        <v>36</v>
      </c>
      <c r="F17" s="542" t="s">
        <v>48</v>
      </c>
      <c r="G17" s="542"/>
      <c r="H17" s="543"/>
    </row>
    <row r="18" spans="1:12" ht="15.75" x14ac:dyDescent="0.25">
      <c r="A18" s="258"/>
      <c r="B18" s="257" t="s">
        <v>25</v>
      </c>
      <c r="C18" s="46"/>
      <c r="D18" s="46"/>
      <c r="E18" s="46"/>
      <c r="F18" s="39"/>
      <c r="G18" s="38"/>
      <c r="H18" s="48"/>
    </row>
    <row r="19" spans="1:12" ht="15" x14ac:dyDescent="0.2">
      <c r="A19" s="259">
        <v>702182</v>
      </c>
      <c r="B19" s="74" t="s">
        <v>75</v>
      </c>
      <c r="C19" s="46" t="s">
        <v>76</v>
      </c>
      <c r="D19" s="46">
        <v>1</v>
      </c>
      <c r="E19" s="46" t="s">
        <v>37</v>
      </c>
      <c r="F19" s="39"/>
      <c r="G19" s="38"/>
      <c r="H19" s="48"/>
    </row>
    <row r="20" spans="1:12" ht="15" x14ac:dyDescent="0.2">
      <c r="A20" s="259">
        <v>703020</v>
      </c>
      <c r="B20" s="74" t="s">
        <v>73</v>
      </c>
      <c r="C20" s="46" t="s">
        <v>76</v>
      </c>
      <c r="D20" s="46">
        <v>60</v>
      </c>
      <c r="E20" s="46" t="s">
        <v>74</v>
      </c>
      <c r="F20" s="40"/>
      <c r="G20" s="52"/>
      <c r="H20" s="51"/>
    </row>
    <row r="21" spans="1:12" ht="15.75" x14ac:dyDescent="0.25">
      <c r="A21" s="54">
        <v>1950693</v>
      </c>
      <c r="B21" s="53" t="s">
        <v>49</v>
      </c>
      <c r="C21" s="49" t="s">
        <v>50</v>
      </c>
      <c r="D21" s="49">
        <v>1</v>
      </c>
      <c r="E21" s="49" t="s">
        <v>37</v>
      </c>
      <c r="F21" s="40"/>
      <c r="G21" s="52"/>
      <c r="H21" s="51"/>
    </row>
    <row r="22" spans="1:12" ht="15.75" x14ac:dyDescent="0.25">
      <c r="A22" s="259">
        <v>51400021</v>
      </c>
      <c r="B22" s="74" t="s">
        <v>69</v>
      </c>
      <c r="C22" s="49" t="s">
        <v>51</v>
      </c>
      <c r="D22" s="49">
        <v>1</v>
      </c>
      <c r="E22" s="49" t="s">
        <v>37</v>
      </c>
      <c r="F22" s="40"/>
      <c r="G22" s="52"/>
      <c r="H22" s="51"/>
    </row>
    <row r="23" spans="1:12" ht="15.75" x14ac:dyDescent="0.25">
      <c r="A23" s="259">
        <v>702123</v>
      </c>
      <c r="B23" s="74" t="s">
        <v>70</v>
      </c>
      <c r="C23" s="49" t="s">
        <v>52</v>
      </c>
      <c r="D23" s="49">
        <v>1</v>
      </c>
      <c r="E23" s="49" t="s">
        <v>37</v>
      </c>
      <c r="F23" s="39"/>
      <c r="G23" s="38"/>
      <c r="H23" s="48"/>
    </row>
    <row r="24" spans="1:12" ht="15.75" x14ac:dyDescent="0.25">
      <c r="A24" s="259">
        <v>701096</v>
      </c>
      <c r="B24" s="74" t="s">
        <v>71</v>
      </c>
      <c r="C24" s="49" t="s">
        <v>52</v>
      </c>
      <c r="D24" s="49">
        <v>1</v>
      </c>
      <c r="E24" s="49" t="s">
        <v>37</v>
      </c>
      <c r="F24" s="39"/>
      <c r="G24" s="38"/>
      <c r="H24" s="48"/>
    </row>
    <row r="25" spans="1:12" ht="15" x14ac:dyDescent="0.2">
      <c r="A25" s="259">
        <v>702007</v>
      </c>
      <c r="B25" s="74" t="s">
        <v>72</v>
      </c>
      <c r="C25" s="47" t="s">
        <v>77</v>
      </c>
      <c r="D25" s="46">
        <v>1</v>
      </c>
      <c r="E25" s="46" t="s">
        <v>37</v>
      </c>
      <c r="F25" s="39"/>
      <c r="G25" s="38"/>
      <c r="H25" s="41"/>
    </row>
    <row r="26" spans="1:12" ht="15" thickBot="1" x14ac:dyDescent="0.25">
      <c r="A26" s="260"/>
      <c r="B26" s="261"/>
      <c r="C26" s="262"/>
      <c r="D26" s="263"/>
      <c r="E26" s="263"/>
      <c r="F26" s="263"/>
      <c r="G26" s="263"/>
      <c r="H26" s="264"/>
      <c r="K26" s="11"/>
    </row>
    <row r="27" spans="1:12" ht="13.5" thickBot="1" x14ac:dyDescent="0.25">
      <c r="A27" s="12"/>
      <c r="B27" s="13"/>
      <c r="C27" s="14" t="s">
        <v>6</v>
      </c>
      <c r="D27" s="15" t="s">
        <v>15</v>
      </c>
      <c r="E27" s="16"/>
      <c r="F27" s="13"/>
      <c r="G27" s="13"/>
      <c r="H27" s="17"/>
      <c r="K27" s="11"/>
    </row>
    <row r="28" spans="1:12" x14ac:dyDescent="0.2">
      <c r="A28" s="527" t="s">
        <v>10</v>
      </c>
      <c r="B28" s="528"/>
      <c r="C28" s="18">
        <v>1000</v>
      </c>
      <c r="D28" s="19" t="s">
        <v>36</v>
      </c>
      <c r="E28" s="529"/>
      <c r="F28" s="529"/>
      <c r="G28" s="530"/>
      <c r="H28" s="531"/>
      <c r="K28" s="11"/>
    </row>
    <row r="29" spans="1:12" x14ac:dyDescent="0.2">
      <c r="A29" s="532" t="s">
        <v>9</v>
      </c>
      <c r="B29" s="533"/>
      <c r="C29" s="20">
        <v>5</v>
      </c>
      <c r="D29" s="10" t="s">
        <v>38</v>
      </c>
      <c r="E29" s="534"/>
      <c r="F29" s="534"/>
      <c r="G29" s="535"/>
      <c r="H29" s="536"/>
      <c r="K29" s="11"/>
    </row>
    <row r="30" spans="1:12" x14ac:dyDescent="0.2">
      <c r="A30" s="532" t="s">
        <v>14</v>
      </c>
      <c r="B30" s="533"/>
      <c r="C30" s="10">
        <v>1</v>
      </c>
      <c r="D30" s="10" t="s">
        <v>37</v>
      </c>
      <c r="E30" s="534"/>
      <c r="F30" s="534"/>
      <c r="G30" s="535"/>
      <c r="H30" s="536"/>
      <c r="K30" s="11"/>
    </row>
    <row r="31" spans="1:12" x14ac:dyDescent="0.2">
      <c r="A31" s="532" t="s">
        <v>13</v>
      </c>
      <c r="B31" s="533"/>
      <c r="C31" s="9">
        <f>+C28</f>
        <v>1000</v>
      </c>
      <c r="D31" s="10" t="s">
        <v>36</v>
      </c>
      <c r="E31" s="540"/>
      <c r="F31" s="541"/>
      <c r="G31" s="535"/>
      <c r="H31" s="536"/>
      <c r="K31" s="11"/>
      <c r="L31" s="21"/>
    </row>
    <row r="32" spans="1:12" ht="13.5" thickBot="1" x14ac:dyDescent="0.25">
      <c r="A32" s="544" t="s">
        <v>12</v>
      </c>
      <c r="B32" s="545"/>
      <c r="C32" s="22">
        <f>SUM(D10:D18)-C28</f>
        <v>190</v>
      </c>
      <c r="D32" s="23" t="s">
        <v>36</v>
      </c>
      <c r="E32" s="546"/>
      <c r="F32" s="546"/>
      <c r="G32" s="547"/>
      <c r="H32" s="548"/>
      <c r="K32" s="11"/>
    </row>
    <row r="33" spans="1:8" ht="13.5" thickBot="1" x14ac:dyDescent="0.25">
      <c r="A33" s="537" t="s">
        <v>11</v>
      </c>
      <c r="B33" s="538"/>
      <c r="C33" s="538"/>
      <c r="D33" s="538"/>
      <c r="E33" s="538"/>
      <c r="F33" s="538"/>
      <c r="G33" s="538"/>
      <c r="H33" s="539"/>
    </row>
    <row r="34" spans="1:8" ht="32.25" customHeight="1" x14ac:dyDescent="0.2">
      <c r="A34" s="486" t="s">
        <v>78</v>
      </c>
      <c r="B34" s="487"/>
      <c r="C34" s="487"/>
      <c r="D34" s="487"/>
      <c r="E34" s="487"/>
      <c r="F34" s="487"/>
      <c r="G34" s="487"/>
      <c r="H34" s="488"/>
    </row>
    <row r="35" spans="1:8" ht="27.75" customHeight="1" x14ac:dyDescent="0.25">
      <c r="A35" s="477" t="s">
        <v>80</v>
      </c>
      <c r="B35" s="478"/>
      <c r="C35" s="478"/>
      <c r="D35" s="478"/>
      <c r="E35" s="478"/>
      <c r="F35" s="478"/>
      <c r="G35" s="478"/>
      <c r="H35" s="479"/>
    </row>
    <row r="36" spans="1:8" ht="15" x14ac:dyDescent="0.25">
      <c r="A36" s="477" t="s">
        <v>79</v>
      </c>
      <c r="B36" s="478"/>
      <c r="C36" s="478"/>
      <c r="D36" s="478"/>
      <c r="E36" s="478"/>
      <c r="F36" s="478"/>
      <c r="G36" s="478"/>
      <c r="H36" s="479"/>
    </row>
    <row r="37" spans="1:8" ht="30" customHeight="1" x14ac:dyDescent="0.25">
      <c r="A37" s="477" t="s">
        <v>187</v>
      </c>
      <c r="B37" s="478"/>
      <c r="C37" s="478"/>
      <c r="D37" s="478"/>
      <c r="E37" s="478"/>
      <c r="F37" s="478"/>
      <c r="G37" s="478"/>
      <c r="H37" s="479"/>
    </row>
    <row r="38" spans="1:8" ht="15" x14ac:dyDescent="0.25">
      <c r="A38" s="477" t="s">
        <v>82</v>
      </c>
      <c r="B38" s="478"/>
      <c r="C38" s="478"/>
      <c r="D38" s="478"/>
      <c r="E38" s="478"/>
      <c r="F38" s="478"/>
      <c r="G38" s="478"/>
      <c r="H38" s="479"/>
    </row>
    <row r="39" spans="1:8" ht="15" x14ac:dyDescent="0.25">
      <c r="A39" s="477"/>
      <c r="B39" s="478"/>
      <c r="C39" s="478"/>
      <c r="D39" s="478"/>
      <c r="E39" s="478"/>
      <c r="F39" s="478"/>
      <c r="G39" s="478"/>
      <c r="H39" s="479"/>
    </row>
    <row r="40" spans="1:8" ht="16.5" customHeight="1" x14ac:dyDescent="0.2">
      <c r="A40" s="440"/>
      <c r="B40" s="441"/>
      <c r="C40" s="441"/>
      <c r="D40" s="441"/>
      <c r="E40" s="441"/>
      <c r="F40" s="441"/>
      <c r="G40" s="441"/>
      <c r="H40" s="442"/>
    </row>
    <row r="41" spans="1:8" ht="16.5" customHeight="1" x14ac:dyDescent="0.2">
      <c r="A41" s="440"/>
      <c r="B41" s="441"/>
      <c r="C41" s="441"/>
      <c r="D41" s="441"/>
      <c r="E41" s="441"/>
      <c r="F41" s="441"/>
      <c r="G41" s="441"/>
      <c r="H41" s="442"/>
    </row>
    <row r="42" spans="1:8" ht="16.5" customHeight="1" thickBot="1" x14ac:dyDescent="0.25">
      <c r="A42" s="480"/>
      <c r="B42" s="481"/>
      <c r="C42" s="481"/>
      <c r="D42" s="481"/>
      <c r="E42" s="481"/>
      <c r="F42" s="481"/>
      <c r="G42" s="481"/>
      <c r="H42" s="482"/>
    </row>
    <row r="44" spans="1:8" x14ac:dyDescent="0.2">
      <c r="A44" s="24"/>
      <c r="B44" s="24"/>
    </row>
  </sheetData>
  <mergeCells count="45">
    <mergeCell ref="A39:H39"/>
    <mergeCell ref="A40:H40"/>
    <mergeCell ref="A41:H41"/>
    <mergeCell ref="A42:H42"/>
    <mergeCell ref="A33:H33"/>
    <mergeCell ref="A34:H34"/>
    <mergeCell ref="A35:H35"/>
    <mergeCell ref="A36:H36"/>
    <mergeCell ref="A37:H37"/>
    <mergeCell ref="A38:H38"/>
    <mergeCell ref="A31:B31"/>
    <mergeCell ref="E31:F31"/>
    <mergeCell ref="G31:H31"/>
    <mergeCell ref="A32:B32"/>
    <mergeCell ref="E32:F32"/>
    <mergeCell ref="G32:H32"/>
    <mergeCell ref="A29:B29"/>
    <mergeCell ref="E29:F29"/>
    <mergeCell ref="G29:H29"/>
    <mergeCell ref="A30:B30"/>
    <mergeCell ref="E30:F30"/>
    <mergeCell ref="G30:H30"/>
    <mergeCell ref="F12:H12"/>
    <mergeCell ref="F15:H15"/>
    <mergeCell ref="F16:H16"/>
    <mergeCell ref="F17:H17"/>
    <mergeCell ref="A28:B28"/>
    <mergeCell ref="E28:F28"/>
    <mergeCell ref="G28:H28"/>
    <mergeCell ref="A8:A9"/>
    <mergeCell ref="B8:B9"/>
    <mergeCell ref="C8:C9"/>
    <mergeCell ref="D8:E8"/>
    <mergeCell ref="F8:G8"/>
    <mergeCell ref="H3:H5"/>
    <mergeCell ref="C4:F4"/>
    <mergeCell ref="C5:F5"/>
    <mergeCell ref="A7:B7"/>
    <mergeCell ref="C7:E7"/>
    <mergeCell ref="F7:G7"/>
    <mergeCell ref="A1:A5"/>
    <mergeCell ref="B1:F1"/>
    <mergeCell ref="B2:F2"/>
    <mergeCell ref="B3:F3"/>
    <mergeCell ref="G3:G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8876-F864-4374-8A78-01F835C9BF32}">
  <dimension ref="A1:Q96"/>
  <sheetViews>
    <sheetView topLeftCell="A53" workbookViewId="0">
      <selection activeCell="L71" sqref="L71"/>
    </sheetView>
  </sheetViews>
  <sheetFormatPr baseColWidth="10" defaultColWidth="8.42578125" defaultRowHeight="12.75" x14ac:dyDescent="0.2"/>
  <cols>
    <col min="1" max="1" width="10" style="80" bestFit="1" customWidth="1"/>
    <col min="2" max="2" width="44.28515625" style="80" bestFit="1" customWidth="1"/>
    <col min="3" max="3" width="10.42578125" style="80" bestFit="1" customWidth="1"/>
    <col min="4" max="4" width="10.42578125" style="80" customWidth="1"/>
    <col min="5" max="5" width="9.7109375" style="80" bestFit="1" customWidth="1"/>
    <col min="6" max="6" width="9.5703125" style="80" bestFit="1" customWidth="1"/>
    <col min="7" max="7" width="9.5703125" style="160" bestFit="1" customWidth="1"/>
    <col min="8" max="8" width="10.42578125" style="151" bestFit="1" customWidth="1"/>
    <col min="9" max="9" width="4.5703125" style="151" customWidth="1"/>
    <col min="10" max="10" width="1.7109375" style="79" customWidth="1"/>
    <col min="11" max="11" width="7" style="80" bestFit="1" customWidth="1"/>
    <col min="12" max="12" width="6.28515625" style="80" customWidth="1"/>
    <col min="13" max="13" width="20.42578125" style="80" customWidth="1"/>
    <col min="14" max="14" width="6.42578125" style="80" bestFit="1" customWidth="1"/>
    <col min="15" max="15" width="9" style="80" bestFit="1" customWidth="1"/>
    <col min="16" max="16" width="8.42578125" style="80"/>
    <col min="17" max="17" width="3.28515625" style="80" customWidth="1"/>
    <col min="18" max="16384" width="8.42578125" style="80"/>
  </cols>
  <sheetData>
    <row r="1" spans="1:10" ht="27.75" customHeight="1" x14ac:dyDescent="0.2">
      <c r="A1" s="75"/>
      <c r="B1" s="75"/>
      <c r="C1" s="75"/>
      <c r="D1" s="75"/>
      <c r="E1" s="76" t="s">
        <v>86</v>
      </c>
      <c r="F1" s="77" t="s">
        <v>87</v>
      </c>
      <c r="G1" s="77" t="s">
        <v>88</v>
      </c>
      <c r="H1" s="77" t="s">
        <v>89</v>
      </c>
      <c r="I1" s="78"/>
    </row>
    <row r="2" spans="1:10" ht="30.75" customHeight="1" x14ac:dyDescent="0.2">
      <c r="A2" s="75"/>
      <c r="B2" s="75"/>
      <c r="C2" s="75"/>
      <c r="D2" s="75"/>
      <c r="E2" s="81">
        <f>IFERROR(O67,"")</f>
        <v>4405.5999356112452</v>
      </c>
      <c r="F2" s="81">
        <f>IFERROR(H58,"")</f>
        <v>2669.8226892578177</v>
      </c>
      <c r="G2" s="81">
        <f>IFERROR(H59,"")</f>
        <v>399.84816129785963</v>
      </c>
      <c r="H2" s="81">
        <f>IFERROR(H61,"")</f>
        <v>477.23723152102639</v>
      </c>
      <c r="I2" s="82"/>
    </row>
    <row r="3" spans="1:10" ht="15" customHeight="1" x14ac:dyDescent="0.2">
      <c r="A3" s="75"/>
      <c r="B3" s="75"/>
      <c r="C3" s="75"/>
      <c r="D3" s="75"/>
      <c r="E3" s="75"/>
      <c r="F3" s="83"/>
      <c r="G3" s="83"/>
      <c r="H3" s="83"/>
      <c r="I3" s="83"/>
    </row>
    <row r="4" spans="1:10" ht="24.75" customHeight="1" thickBot="1" x14ac:dyDescent="0.25">
      <c r="A4" s="446"/>
      <c r="B4" s="446"/>
      <c r="C4" s="446"/>
      <c r="D4" s="446"/>
      <c r="E4" s="446"/>
      <c r="F4" s="446"/>
      <c r="G4" s="446"/>
      <c r="H4" s="446"/>
      <c r="I4" s="84"/>
    </row>
    <row r="5" spans="1:10" ht="19.5" customHeight="1" thickBot="1" x14ac:dyDescent="0.25">
      <c r="A5" s="447" t="s">
        <v>90</v>
      </c>
      <c r="B5" s="448"/>
      <c r="C5" s="448"/>
      <c r="D5" s="448"/>
      <c r="E5" s="448"/>
      <c r="F5" s="448"/>
      <c r="G5" s="448"/>
      <c r="H5" s="449"/>
      <c r="I5" s="85"/>
    </row>
    <row r="6" spans="1:10" ht="19.5" thickBot="1" x14ac:dyDescent="0.25">
      <c r="A6" s="85"/>
      <c r="B6" s="85"/>
      <c r="C6" s="85"/>
      <c r="D6" s="85"/>
      <c r="E6" s="85"/>
      <c r="F6" s="450" t="s">
        <v>91</v>
      </c>
      <c r="G6" s="450"/>
      <c r="H6" s="86">
        <f ca="1">TODAY()</f>
        <v>45754</v>
      </c>
      <c r="I6" s="86"/>
    </row>
    <row r="7" spans="1:10" ht="26.25" thickBot="1" x14ac:dyDescent="0.25">
      <c r="A7" s="87" t="s">
        <v>92</v>
      </c>
      <c r="B7" s="88" t="s">
        <v>93</v>
      </c>
      <c r="C7" s="88" t="s">
        <v>92</v>
      </c>
      <c r="D7" s="89" t="s">
        <v>94</v>
      </c>
      <c r="E7" s="89" t="s">
        <v>95</v>
      </c>
      <c r="F7" s="89" t="s">
        <v>96</v>
      </c>
      <c r="G7" s="89" t="s">
        <v>97</v>
      </c>
      <c r="H7" s="90" t="s">
        <v>98</v>
      </c>
      <c r="I7" s="91"/>
    </row>
    <row r="8" spans="1:10" ht="13.5" x14ac:dyDescent="0.25">
      <c r="A8" s="277">
        <v>120</v>
      </c>
      <c r="B8" s="278" t="str">
        <f>IFERROR(VLOOKUP(H8,'[1]Consolidado MP Planta'!$A$2:$M$823,3,0),"")</f>
        <v>RELLENO CARAMELO KILO</v>
      </c>
      <c r="C8" s="93">
        <f>+A8</f>
        <v>120</v>
      </c>
      <c r="D8" s="94" t="str">
        <f>IFERROR(VLOOKUP(H8,'[1]Consolidado MP Planta'!$A$2:$M$823,13,0),"")</f>
        <v>Gramos</v>
      </c>
      <c r="E8" s="94">
        <f>IFERROR(VLOOKUP(H8,'[1]Consolidado MP Planta'!$A$2:$M$823,12,0),"")</f>
        <v>3.335</v>
      </c>
      <c r="F8" s="94">
        <f>IFERROR(C8*E8,"")</f>
        <v>400.2</v>
      </c>
      <c r="G8" s="95">
        <f t="shared" ref="G8:G14" si="0">IFERROR(F8/$F$71,"")</f>
        <v>0.11777282912812462</v>
      </c>
      <c r="H8" s="96" t="s">
        <v>141</v>
      </c>
      <c r="I8" s="96"/>
      <c r="J8" s="97"/>
    </row>
    <row r="9" spans="1:10" ht="13.5" hidden="1" x14ac:dyDescent="0.25">
      <c r="A9" s="92"/>
      <c r="B9" s="80" t="str">
        <f>IFERROR(VLOOKUP(H9,'[1]Consolidado MP Planta'!$A$2:$M$823,3,0),"")</f>
        <v>CHOCOLATE CORAZON ROJO PASION (CAJA:200)</v>
      </c>
      <c r="C9" s="93">
        <f t="shared" ref="C9:C14" si="1">+A9</f>
        <v>0</v>
      </c>
      <c r="D9" s="94" t="str">
        <f>IFERROR(VLOOKUP(H9,'[1]Consolidado MP Planta'!$A$2:$M$823,13,0),"")</f>
        <v>Und</v>
      </c>
      <c r="E9" s="94">
        <f>IFERROR(VLOOKUP(H9,'[1]Consolidado MP Planta'!$A$2:$M$823,12,0),"")</f>
        <v>38.25</v>
      </c>
      <c r="F9" s="94">
        <f t="shared" ref="F9:F14" si="2">IFERROR(C9*E9,"")</f>
        <v>0</v>
      </c>
      <c r="G9" s="95">
        <f t="shared" si="0"/>
        <v>0</v>
      </c>
      <c r="H9" s="96" t="s">
        <v>144</v>
      </c>
      <c r="I9" s="96"/>
      <c r="J9" s="97"/>
    </row>
    <row r="10" spans="1:10" ht="13.5" x14ac:dyDescent="0.25">
      <c r="A10" s="92">
        <v>20</v>
      </c>
      <c r="B10" s="80" t="str">
        <f>IFERROR(VLOOKUP(H10,'[1]Consolidado MP Planta'!$A$2:$M$823,3,0),"")</f>
        <v>MANJAR LECHE CONDENSADA (PAQ: 4.5 K)</v>
      </c>
      <c r="C10" s="93">
        <f t="shared" si="1"/>
        <v>20</v>
      </c>
      <c r="D10" s="94" t="str">
        <f>IFERROR(VLOOKUP(H10,'[1]Consolidado MP Planta'!$A$2:$M$823,13,0),"")</f>
        <v>Gramos</v>
      </c>
      <c r="E10" s="94">
        <f>IFERROR(VLOOKUP(H10,'[1]Consolidado MP Planta'!$A$2:$M$823,12,0),"")</f>
        <v>2.1419999999999999</v>
      </c>
      <c r="F10" s="94">
        <f t="shared" si="2"/>
        <v>42.839999999999996</v>
      </c>
      <c r="G10" s="95">
        <f t="shared" si="0"/>
        <v>1.2607166416413939E-2</v>
      </c>
      <c r="H10" s="96" t="s">
        <v>46</v>
      </c>
      <c r="I10" s="96"/>
      <c r="J10" s="97"/>
    </row>
    <row r="11" spans="1:10" ht="13.5" hidden="1" x14ac:dyDescent="0.25">
      <c r="A11" s="92"/>
      <c r="B11" s="80" t="str">
        <f>IFERROR(VLOOKUP(H11,'[1]Consolidado MP Planta'!$A$2:$M$823,3,0),"")</f>
        <v/>
      </c>
      <c r="C11" s="93">
        <f t="shared" si="1"/>
        <v>0</v>
      </c>
      <c r="D11" s="94" t="str">
        <f>IFERROR(VLOOKUP(H11,'[1]Consolidado MP Planta'!$A$2:$M$823,13,0),"")</f>
        <v/>
      </c>
      <c r="E11" s="94" t="str">
        <f>IFERROR(VLOOKUP(H11,'[1]Consolidado MP Planta'!$A$2:$M$823,12,0),"")</f>
        <v/>
      </c>
      <c r="F11" s="94" t="str">
        <f t="shared" si="2"/>
        <v/>
      </c>
      <c r="G11" s="95" t="str">
        <f t="shared" si="0"/>
        <v/>
      </c>
      <c r="H11" s="96"/>
      <c r="I11" s="96"/>
      <c r="J11" s="97"/>
    </row>
    <row r="12" spans="1:10" ht="13.5" hidden="1" x14ac:dyDescent="0.25">
      <c r="A12" s="92"/>
      <c r="B12" s="80" t="str">
        <f>IFERROR(VLOOKUP(H12,'[1]Consolidado MP Planta'!$A$2:$M$823,3,0),"")</f>
        <v/>
      </c>
      <c r="C12" s="93">
        <f t="shared" si="1"/>
        <v>0</v>
      </c>
      <c r="D12" s="94" t="str">
        <f>IFERROR(VLOOKUP(H12,'[1]Consolidado MP Planta'!$A$2:$M$823,13,0),"")</f>
        <v/>
      </c>
      <c r="E12" s="94" t="str">
        <f>IFERROR(VLOOKUP(H12,'[1]Consolidado MP Planta'!$A$2:$M$823,12,0),"")</f>
        <v/>
      </c>
      <c r="F12" s="94" t="str">
        <f t="shared" si="2"/>
        <v/>
      </c>
      <c r="G12" s="95" t="str">
        <f t="shared" si="0"/>
        <v/>
      </c>
      <c r="H12" s="96"/>
      <c r="I12" s="96"/>
      <c r="J12" s="97"/>
    </row>
    <row r="13" spans="1:10" ht="13.5" hidden="1" x14ac:dyDescent="0.25">
      <c r="A13" s="92"/>
      <c r="B13" s="80" t="str">
        <f>IFERROR(VLOOKUP(H13,'[1]Consolidado MP Planta'!$A$2:$M$823,3,0),"")</f>
        <v/>
      </c>
      <c r="C13" s="93">
        <f t="shared" si="1"/>
        <v>0</v>
      </c>
      <c r="D13" s="94" t="str">
        <f>IFERROR(VLOOKUP(H13,'[1]Consolidado MP Planta'!$A$2:$M$823,13,0),"")</f>
        <v/>
      </c>
      <c r="E13" s="94" t="str">
        <f>IFERROR(VLOOKUP(H13,'[1]Consolidado MP Planta'!$A$2:$M$823,12,0),"")</f>
        <v/>
      </c>
      <c r="F13" s="94" t="str">
        <f t="shared" si="2"/>
        <v/>
      </c>
      <c r="G13" s="95" t="str">
        <f t="shared" si="0"/>
        <v/>
      </c>
      <c r="H13" s="96"/>
      <c r="I13" s="96"/>
      <c r="J13" s="97"/>
    </row>
    <row r="14" spans="1:10" ht="13.5" hidden="1" x14ac:dyDescent="0.25">
      <c r="A14" s="92"/>
      <c r="B14" s="80" t="str">
        <f>IFERROR(VLOOKUP(H14,'[1]Consolidado MP Planta'!$A$2:$M$823,3,0),"")</f>
        <v/>
      </c>
      <c r="C14" s="93">
        <f t="shared" si="1"/>
        <v>0</v>
      </c>
      <c r="D14" s="94" t="str">
        <f>IFERROR(VLOOKUP(H14,'[1]Consolidado MP Planta'!$A$2:$M$823,13,0),"")</f>
        <v/>
      </c>
      <c r="E14" s="94" t="str">
        <f>IFERROR(VLOOKUP(H14,'[1]Consolidado MP Planta'!$A$2:$M$823,12,0),"")</f>
        <v/>
      </c>
      <c r="F14" s="94" t="str">
        <f t="shared" si="2"/>
        <v/>
      </c>
      <c r="G14" s="95" t="str">
        <f t="shared" si="0"/>
        <v/>
      </c>
      <c r="H14" s="96"/>
      <c r="I14" s="96"/>
      <c r="J14" s="97"/>
    </row>
    <row r="15" spans="1:10" ht="14.25" thickBot="1" x14ac:dyDescent="0.3">
      <c r="A15" s="92"/>
      <c r="B15" s="80" t="str">
        <f>IFERROR(VLOOKUP(H15,'[2]ARTICULOS MP PLANTA'!$A$2:$G$589,2,0),"")</f>
        <v/>
      </c>
      <c r="C15" s="93"/>
      <c r="D15" s="94"/>
      <c r="E15" s="94"/>
      <c r="F15" s="94"/>
      <c r="G15" s="95"/>
      <c r="H15" s="96"/>
      <c r="I15" s="96"/>
      <c r="J15" s="97"/>
    </row>
    <row r="16" spans="1:10" ht="26.25" thickBot="1" x14ac:dyDescent="0.25">
      <c r="A16" s="87" t="s">
        <v>92</v>
      </c>
      <c r="B16" s="88" t="s">
        <v>99</v>
      </c>
      <c r="C16" s="88" t="s">
        <v>92</v>
      </c>
      <c r="D16" s="89" t="s">
        <v>94</v>
      </c>
      <c r="E16" s="89" t="s">
        <v>95</v>
      </c>
      <c r="F16" s="89" t="s">
        <v>96</v>
      </c>
      <c r="G16" s="89" t="s">
        <v>97</v>
      </c>
      <c r="H16" s="90" t="s">
        <v>98</v>
      </c>
      <c r="I16" s="91"/>
      <c r="J16" s="97"/>
    </row>
    <row r="17" spans="1:12" ht="13.5" x14ac:dyDescent="0.25">
      <c r="A17" s="255">
        <v>200</v>
      </c>
      <c r="B17" s="256" t="str">
        <f>IFERROR(VLOOKUP(H17,[1]SEMIELABORADOS!$A$2:$M$6000,2,0),"")</f>
        <v>BASE GALLETA P/CHEESE CAKE (KILO)</v>
      </c>
      <c r="C17" s="93">
        <f>+A17</f>
        <v>200</v>
      </c>
      <c r="D17" s="93" t="str">
        <f>IFERROR(VLOOKUP(H17,[1]SEMIELABORADOS!$A$2:$M$6000,6,0),"")</f>
        <v>Gramo</v>
      </c>
      <c r="E17" s="94">
        <f>IFERROR(VLOOKUP(H17,[1]SEMIELABORADOS!$A$2:$H$65536,8,0),"")</f>
        <v>2.0071032502888664</v>
      </c>
      <c r="F17" s="94">
        <f>IFERROR(E17*C17,"")</f>
        <v>401.42065005777329</v>
      </c>
      <c r="G17" s="95">
        <f t="shared" ref="G17:G24" si="3">IFERROR(F17/$F$71,"")</f>
        <v>0.11813204804536442</v>
      </c>
      <c r="H17" s="96" t="s">
        <v>42</v>
      </c>
      <c r="I17" s="96"/>
      <c r="J17" s="97"/>
    </row>
    <row r="18" spans="1:12" ht="13.5" x14ac:dyDescent="0.25">
      <c r="A18" s="271">
        <v>600</v>
      </c>
      <c r="B18" s="272" t="str">
        <f>IFERROR(VLOOKUP(H18,[1]SEMIELABORADOS!$A$2:$M$6000,2,0),"")</f>
        <v>RELLENO CHEESECAKE KILO</v>
      </c>
      <c r="C18" s="93">
        <f t="shared" ref="C18:C24" si="4">+A18</f>
        <v>600</v>
      </c>
      <c r="D18" s="93" t="str">
        <f>IFERROR(VLOOKUP(H18,[1]SEMIELABORADOS!$A$2:$M$6000,6,0),"")</f>
        <v>Gramo</v>
      </c>
      <c r="E18" s="94">
        <f>IFERROR(VLOOKUP(H18,[1]SEMIELABORADOS!$A$2:$H$65536,8,0),"")</f>
        <v>1.8699122498730898</v>
      </c>
      <c r="F18" s="94">
        <f t="shared" ref="F18:F24" si="5">IFERROR(E18*C18,"")</f>
        <v>1121.9473499238538</v>
      </c>
      <c r="G18" s="95">
        <f t="shared" si="3"/>
        <v>0.33017219773446849</v>
      </c>
      <c r="H18" s="96" t="s">
        <v>44</v>
      </c>
      <c r="I18" s="96"/>
      <c r="J18" s="97"/>
    </row>
    <row r="19" spans="1:12" ht="13.5" x14ac:dyDescent="0.25">
      <c r="A19" s="282">
        <v>90</v>
      </c>
      <c r="B19" s="283" t="s">
        <v>56</v>
      </c>
      <c r="C19" s="93">
        <f>+A19</f>
        <v>90</v>
      </c>
      <c r="D19" s="93" t="s">
        <v>142</v>
      </c>
      <c r="E19" s="94">
        <f>+'[3]COSTEO GANACHE'!$E$69</f>
        <v>2.8988425925925929</v>
      </c>
      <c r="F19" s="94">
        <f>IFERROR(E19*C19,"")</f>
        <v>260.89583333333337</v>
      </c>
      <c r="G19" s="95">
        <f t="shared" si="3"/>
        <v>7.6777712142444651E-2</v>
      </c>
      <c r="H19" s="96" t="s">
        <v>55</v>
      </c>
      <c r="I19" s="96"/>
      <c r="J19" s="97"/>
    </row>
    <row r="20" spans="1:12" ht="13.5" hidden="1" x14ac:dyDescent="0.25">
      <c r="A20" s="92">
        <v>0</v>
      </c>
      <c r="B20" s="80" t="str">
        <f>IFERROR(VLOOKUP(H20,[1]SEMIELABORADOS!$A$2:$M$6000,2,0),"")</f>
        <v>COCCION PICADILLO PLATANO CON CHORIZO KILO</v>
      </c>
      <c r="C20" s="93">
        <f>+A20</f>
        <v>0</v>
      </c>
      <c r="D20" s="93" t="s">
        <v>142</v>
      </c>
      <c r="E20" s="94">
        <f>+'[3]COSTEO GANACHE'!$E$69</f>
        <v>2.8988425925925929</v>
      </c>
      <c r="F20" s="94">
        <f>IFERROR(E20*C20,"")</f>
        <v>0</v>
      </c>
      <c r="G20" s="95">
        <f>IFERROR(F20/$F$71,"")</f>
        <v>0</v>
      </c>
      <c r="H20" s="96" t="s">
        <v>253</v>
      </c>
      <c r="I20" s="96"/>
      <c r="J20" s="97"/>
    </row>
    <row r="21" spans="1:12" ht="13.5" x14ac:dyDescent="0.25">
      <c r="A21" s="286">
        <v>160</v>
      </c>
      <c r="B21" s="287" t="s">
        <v>60</v>
      </c>
      <c r="C21" s="93">
        <f>+A21</f>
        <v>160</v>
      </c>
      <c r="D21" s="93" t="s">
        <v>142</v>
      </c>
      <c r="E21" s="94">
        <f>+'costeo brittle'!E69</f>
        <v>2.7657428496428569</v>
      </c>
      <c r="F21" s="94">
        <f>IFERROR(E21*C21,"")</f>
        <v>442.5188559428571</v>
      </c>
      <c r="G21" s="95">
        <f>IFERROR(F21/$F$71,"")</f>
        <v>0.13022663070197726</v>
      </c>
      <c r="H21" s="96"/>
      <c r="I21" s="96"/>
      <c r="J21" s="97"/>
    </row>
    <row r="22" spans="1:12" ht="13.5" hidden="1" x14ac:dyDescent="0.25">
      <c r="A22" s="92"/>
      <c r="B22" s="80" t="str">
        <f>IFERROR(VLOOKUP(H22,[1]SEMIELABORADOS!$A$2:$M$6000,2,0),"")</f>
        <v/>
      </c>
      <c r="C22" s="93">
        <f t="shared" si="4"/>
        <v>0</v>
      </c>
      <c r="D22" s="93" t="str">
        <f>IFERROR(VLOOKUP(H22,[1]SEMIELABORADOS!$A$2:$M$6000,6,0),"")</f>
        <v/>
      </c>
      <c r="E22" s="94" t="str">
        <f>IFERROR(VLOOKUP(H22,[1]SEMIELABORADOS!$A$2:$H$65536,8,0),"")</f>
        <v/>
      </c>
      <c r="F22" s="94" t="str">
        <f t="shared" si="5"/>
        <v/>
      </c>
      <c r="G22" s="95" t="str">
        <f t="shared" si="3"/>
        <v/>
      </c>
      <c r="H22" s="96"/>
      <c r="I22" s="96"/>
      <c r="J22" s="97"/>
    </row>
    <row r="23" spans="1:12" ht="13.5" hidden="1" x14ac:dyDescent="0.25">
      <c r="A23" s="92"/>
      <c r="B23" s="80" t="str">
        <f>IFERROR(VLOOKUP(H23,[1]SEMIELABORADOS!$A$2:$M$6000,2,0),"")</f>
        <v/>
      </c>
      <c r="C23" s="93">
        <f t="shared" si="4"/>
        <v>0</v>
      </c>
      <c r="D23" s="93" t="str">
        <f>IFERROR(VLOOKUP(H23,[1]SEMIELABORADOS!$A$2:$M$6000,6,0),"")</f>
        <v/>
      </c>
      <c r="E23" s="94" t="str">
        <f>IFERROR(VLOOKUP(H23,[1]SEMIELABORADOS!$A$2:$H$65536,8,0),"")</f>
        <v/>
      </c>
      <c r="F23" s="94" t="str">
        <f t="shared" si="5"/>
        <v/>
      </c>
      <c r="G23" s="95" t="str">
        <f t="shared" si="3"/>
        <v/>
      </c>
      <c r="H23" s="96"/>
      <c r="I23" s="96"/>
      <c r="J23" s="97"/>
    </row>
    <row r="24" spans="1:12" ht="13.5" hidden="1" x14ac:dyDescent="0.25">
      <c r="A24" s="92"/>
      <c r="B24" s="80" t="str">
        <f>IFERROR(VLOOKUP(H24,[1]SEMIELABORADOS!$A$2:$M$6000,2,0),"")</f>
        <v/>
      </c>
      <c r="C24" s="93">
        <f t="shared" si="4"/>
        <v>0</v>
      </c>
      <c r="D24" s="93" t="str">
        <f>IFERROR(VLOOKUP(H24,[1]SEMIELABORADOS!$A$2:$M$6000,6,0),"")</f>
        <v/>
      </c>
      <c r="E24" s="94" t="str">
        <f>IFERROR(VLOOKUP(H24,[1]SEMIELABORADOS!$A$2:$H$65536,8,0),"")</f>
        <v/>
      </c>
      <c r="F24" s="94" t="str">
        <f t="shared" si="5"/>
        <v/>
      </c>
      <c r="G24" s="95" t="str">
        <f t="shared" si="3"/>
        <v/>
      </c>
      <c r="H24" s="96"/>
      <c r="I24" s="96"/>
      <c r="J24" s="97"/>
    </row>
    <row r="25" spans="1:12" ht="14.25" thickBot="1" x14ac:dyDescent="0.3">
      <c r="A25" s="92"/>
      <c r="C25" s="93"/>
      <c r="D25" s="93"/>
      <c r="E25" s="94"/>
      <c r="F25" s="94"/>
      <c r="G25" s="95"/>
      <c r="H25" s="96"/>
      <c r="I25" s="96"/>
      <c r="J25" s="97"/>
    </row>
    <row r="26" spans="1:12" ht="26.25" thickBot="1" x14ac:dyDescent="0.25">
      <c r="A26" s="87" t="s">
        <v>92</v>
      </c>
      <c r="B26" s="88" t="s">
        <v>25</v>
      </c>
      <c r="C26" s="88" t="s">
        <v>92</v>
      </c>
      <c r="D26" s="89" t="s">
        <v>94</v>
      </c>
      <c r="E26" s="89" t="s">
        <v>95</v>
      </c>
      <c r="F26" s="89" t="s">
        <v>96</v>
      </c>
      <c r="G26" s="89" t="s">
        <v>97</v>
      </c>
      <c r="H26" s="90" t="s">
        <v>98</v>
      </c>
      <c r="I26" s="91"/>
    </row>
    <row r="27" spans="1:12" ht="13.5" x14ac:dyDescent="0.25">
      <c r="A27" s="92">
        <v>1</v>
      </c>
      <c r="B27" s="98" t="str">
        <f>IFERROR(VLOOKUP(H27,'[1]Consolidado MP Planta'!$A$2:$M$823,3,0),"")</f>
        <v>ETIQUETA IMP. SPOON MEDIANA V-273 (UND)</v>
      </c>
      <c r="C27" s="93">
        <f t="shared" ref="C27:C37" si="6">+A27</f>
        <v>1</v>
      </c>
      <c r="D27" s="94" t="str">
        <f>IFERROR(VLOOKUP(H27,'[1]Consolidado MP Planta'!$A$2:$M$823,13,0),"")</f>
        <v>Und</v>
      </c>
      <c r="E27" s="94">
        <f>IFERROR(VLOOKUP(H27,'[1]Consolidado MP Planta'!$A$2:$M$823,12,0),"")</f>
        <v>32.49</v>
      </c>
      <c r="F27" s="94">
        <f t="shared" ref="F27:F37" si="7">IFERROR(C27*E27,"")</f>
        <v>32.49</v>
      </c>
      <c r="G27" s="95">
        <f t="shared" ref="G27:G37" si="8">IFERROR(F27/$F$71,"")</f>
        <v>9.5613173872383037E-3</v>
      </c>
      <c r="H27" s="99" t="s">
        <v>145</v>
      </c>
      <c r="I27" s="99"/>
      <c r="J27" s="97"/>
      <c r="K27" s="451"/>
      <c r="L27" s="451"/>
    </row>
    <row r="28" spans="1:12" ht="13.5" x14ac:dyDescent="0.25">
      <c r="A28" s="92">
        <v>60</v>
      </c>
      <c r="B28" s="98" t="str">
        <f>IFERROR(VLOOKUP(H28,'[1]Consolidado MP Planta'!$A$2:$M$823,3,0),"")</f>
        <v>CINTA ADHESIVA TRANSPARENT 2*100 M (UND)</v>
      </c>
      <c r="C28" s="93">
        <f>+A28</f>
        <v>60</v>
      </c>
      <c r="D28" s="94" t="str">
        <f>IFERROR(VLOOKUP(H28,'[1]Consolidado MP Planta'!$A$2:$M$823,13,0),"")</f>
        <v>Cm</v>
      </c>
      <c r="E28" s="94">
        <f>IFERROR(VLOOKUP(H28,'[1]Consolidado MP Planta'!$A$2:$M$823,12,0),"")</f>
        <v>0.14499999999999999</v>
      </c>
      <c r="F28" s="94">
        <f>IFERROR(C28*E28,"")</f>
        <v>8.6999999999999993</v>
      </c>
      <c r="G28" s="95">
        <f t="shared" si="8"/>
        <v>2.5602788940896656E-3</v>
      </c>
      <c r="H28" s="99" t="s">
        <v>146</v>
      </c>
      <c r="I28" s="99"/>
      <c r="J28" s="97"/>
      <c r="K28" s="78"/>
      <c r="L28" s="78"/>
    </row>
    <row r="29" spans="1:12" ht="13.5" x14ac:dyDescent="0.25">
      <c r="A29" s="92">
        <v>1</v>
      </c>
      <c r="B29" s="98" t="str">
        <f>IFERROR(VLOOKUP(H29,'[1]Consolidado MP Planta'!$A$2:$M$823,3,0),"")</f>
        <v>ORLA #9  DORADA (UND)</v>
      </c>
      <c r="C29" s="93">
        <f>+A29</f>
        <v>1</v>
      </c>
      <c r="D29" s="94" t="str">
        <f>IFERROR(VLOOKUP(H29,'[1]Consolidado MP Planta'!$A$2:$M$823,13,0),"")</f>
        <v>Und</v>
      </c>
      <c r="E29" s="94">
        <f>IFERROR(VLOOKUP(H29,'[1]Consolidado MP Planta'!$A$2:$M$823,12,0),"")</f>
        <v>105</v>
      </c>
      <c r="F29" s="94">
        <f>IFERROR(C29*E29,"")</f>
        <v>105</v>
      </c>
      <c r="G29" s="95">
        <f t="shared" si="8"/>
        <v>3.0899917687289068E-2</v>
      </c>
      <c r="H29" s="99" t="s">
        <v>147</v>
      </c>
      <c r="I29" s="99"/>
      <c r="J29" s="97"/>
      <c r="K29" s="78"/>
      <c r="L29" s="78"/>
    </row>
    <row r="30" spans="1:12" ht="13.5" x14ac:dyDescent="0.25">
      <c r="A30" s="92">
        <v>1</v>
      </c>
      <c r="B30" s="98" t="str">
        <f>IFERROR(VLOOKUP(H30,'[1]Consolidado MP Planta'!$A$2:$M$823,3,0),"")</f>
        <v>QUEQUERA RED C/BASE ALTA 9" (CAJA:100 U)</v>
      </c>
      <c r="C30" s="93">
        <f>+A30</f>
        <v>1</v>
      </c>
      <c r="D30" s="94" t="str">
        <f>IFERROR(VLOOKUP(H30,'[1]Consolidado MP Planta'!$A$2:$M$823,13,0),"")</f>
        <v>Und</v>
      </c>
      <c r="E30" s="94">
        <f>IFERROR(VLOOKUP(H30,'[1]Consolidado MP Planta'!$A$2:$M$823,12,0),"")</f>
        <v>244.36</v>
      </c>
      <c r="F30" s="94">
        <f>IFERROR(C30*E30,"")</f>
        <v>244.36</v>
      </c>
      <c r="G30" s="95">
        <f t="shared" si="8"/>
        <v>7.1911465581580541E-2</v>
      </c>
      <c r="H30" s="99" t="s">
        <v>148</v>
      </c>
      <c r="I30" s="99"/>
      <c r="J30" s="97"/>
      <c r="K30" s="78"/>
      <c r="L30" s="78"/>
    </row>
    <row r="31" spans="1:12" ht="13.5" x14ac:dyDescent="0.25">
      <c r="A31" s="92">
        <v>1</v>
      </c>
      <c r="B31" s="98" t="str">
        <f>IFERROR(VLOOKUP(H31,'[1]Consolidado MP Planta'!$A$2:$M$823,3,0),"")</f>
        <v>ETIQUETA BLANCA 2 5/8X1 15/16 (UND)</v>
      </c>
      <c r="C31" s="93">
        <f>+A31</f>
        <v>1</v>
      </c>
      <c r="D31" s="94" t="str">
        <f>IFERROR(VLOOKUP(H31,'[1]Consolidado MP Planta'!$A$2:$M$823,13,0),"")</f>
        <v>Und</v>
      </c>
      <c r="E31" s="94">
        <f>IFERROR(VLOOKUP(H31,'[1]Consolidado MP Planta'!$A$2:$M$823,12,0),"")</f>
        <v>2.1280000000000001</v>
      </c>
      <c r="F31" s="94">
        <f>IFERROR(C31*E31,"")</f>
        <v>2.1280000000000001</v>
      </c>
      <c r="G31" s="95">
        <f t="shared" si="8"/>
        <v>6.2623833179572511E-4</v>
      </c>
      <c r="H31" s="99" t="s">
        <v>151</v>
      </c>
      <c r="I31" s="99"/>
      <c r="J31" s="97"/>
      <c r="K31" s="78"/>
      <c r="L31" s="78"/>
    </row>
    <row r="32" spans="1:12" ht="13.5" x14ac:dyDescent="0.25">
      <c r="A32" s="92">
        <v>1</v>
      </c>
      <c r="B32" s="98" t="str">
        <f>IFERROR(VLOOKUP(H32,'[1]Consolidado MP Planta'!$A$2:$M$823,3,0),"")</f>
        <v>ETIQUETA BLANCA R-153 (UND)</v>
      </c>
      <c r="C32" s="93">
        <f>+A32</f>
        <v>1</v>
      </c>
      <c r="D32" s="94" t="str">
        <f>IFERROR(VLOOKUP(H32,'[1]Consolidado MP Planta'!$A$2:$M$823,13,0),"")</f>
        <v>Und</v>
      </c>
      <c r="E32" s="94">
        <f>IFERROR(VLOOKUP(H32,'[1]Consolidado MP Planta'!$A$2:$M$823,12,0),"")</f>
        <v>0.39</v>
      </c>
      <c r="F32" s="94">
        <f>IFERROR(C32*E32,"")</f>
        <v>0.39</v>
      </c>
      <c r="G32" s="95">
        <f t="shared" si="8"/>
        <v>1.1477112283850226E-4</v>
      </c>
      <c r="H32" s="99" t="s">
        <v>149</v>
      </c>
      <c r="I32" s="99"/>
      <c r="J32" s="97"/>
      <c r="K32" s="78"/>
      <c r="L32" s="78"/>
    </row>
    <row r="33" spans="1:12" ht="13.5" x14ac:dyDescent="0.25">
      <c r="A33" s="92">
        <v>1</v>
      </c>
      <c r="B33" s="98" t="str">
        <f>IFERROR(VLOOKUP(H33,'[1]Consolidado MP Planta'!$A$2:$M$823,3,0),"")</f>
        <v>ETIQ.FECHA VENCIMIENTO AMARILLO (ROLLO)</v>
      </c>
      <c r="C33" s="93">
        <f t="shared" si="6"/>
        <v>1</v>
      </c>
      <c r="D33" s="94" t="str">
        <f>IFERROR(VLOOKUP(H33,'[1]Consolidado MP Planta'!$A$2:$M$823,13,0),"")</f>
        <v>Und</v>
      </c>
      <c r="E33" s="94">
        <f>IFERROR(VLOOKUP(H33,'[1]Consolidado MP Planta'!$A$2:$M$823,12,0),"")</f>
        <v>0.2</v>
      </c>
      <c r="F33" s="94">
        <f t="shared" si="7"/>
        <v>0.2</v>
      </c>
      <c r="G33" s="95">
        <f t="shared" si="8"/>
        <v>5.88569860710268E-5</v>
      </c>
      <c r="H33" s="99" t="s">
        <v>150</v>
      </c>
      <c r="I33" s="99"/>
      <c r="J33" s="97"/>
      <c r="K33" s="451"/>
      <c r="L33" s="451"/>
    </row>
    <row r="34" spans="1:12" ht="13.5" hidden="1" x14ac:dyDescent="0.25">
      <c r="A34" s="92"/>
      <c r="B34" s="98" t="str">
        <f>IFERROR(VLOOKUP(H34,'[1]Consolidado MP Planta'!$A$2:$M$823,3,0),"")</f>
        <v/>
      </c>
      <c r="C34" s="93">
        <f t="shared" si="6"/>
        <v>0</v>
      </c>
      <c r="D34" s="94" t="str">
        <f>IFERROR(VLOOKUP(H34,'[1]Consolidado MP Planta'!$A$2:$M$823,13,0),"")</f>
        <v/>
      </c>
      <c r="E34" s="94" t="str">
        <f>IFERROR(VLOOKUP(H34,'[1]Consolidado MP Planta'!$A$2:$M$823,12,0),"")</f>
        <v/>
      </c>
      <c r="F34" s="94" t="str">
        <f t="shared" si="7"/>
        <v/>
      </c>
      <c r="G34" s="95" t="str">
        <f t="shared" si="8"/>
        <v/>
      </c>
      <c r="H34" s="99"/>
      <c r="I34" s="99"/>
      <c r="J34" s="97"/>
      <c r="K34" s="451"/>
      <c r="L34" s="451"/>
    </row>
    <row r="35" spans="1:12" ht="13.5" hidden="1" x14ac:dyDescent="0.25">
      <c r="A35" s="92"/>
      <c r="B35" s="98" t="str">
        <f>IFERROR(VLOOKUP(H35,'[1]Consolidado MP Planta'!$A$2:$M$823,3,0),"")</f>
        <v/>
      </c>
      <c r="C35" s="93">
        <f t="shared" si="6"/>
        <v>0</v>
      </c>
      <c r="D35" s="94" t="str">
        <f>IFERROR(VLOOKUP(H35,'[1]Consolidado MP Planta'!$A$2:$M$823,13,0),"")</f>
        <v/>
      </c>
      <c r="E35" s="94" t="str">
        <f>IFERROR(VLOOKUP(H35,'[1]Consolidado MP Planta'!$A$2:$M$823,12,0),"")</f>
        <v/>
      </c>
      <c r="F35" s="94" t="str">
        <f t="shared" si="7"/>
        <v/>
      </c>
      <c r="G35" s="95" t="str">
        <f t="shared" si="8"/>
        <v/>
      </c>
      <c r="H35" s="99"/>
      <c r="I35" s="99"/>
      <c r="J35" s="97"/>
      <c r="K35" s="451"/>
      <c r="L35" s="451"/>
    </row>
    <row r="36" spans="1:12" ht="13.5" hidden="1" x14ac:dyDescent="0.25">
      <c r="A36" s="92"/>
      <c r="B36" s="98" t="str">
        <f>IFERROR(VLOOKUP(H36,'[1]Consolidado MP Planta'!$A$2:$M$823,3,0),"")</f>
        <v/>
      </c>
      <c r="C36" s="93">
        <f t="shared" si="6"/>
        <v>0</v>
      </c>
      <c r="D36" s="94" t="str">
        <f>IFERROR(VLOOKUP(H36,'[1]Consolidado MP Planta'!$A$2:$M$823,13,0),"")</f>
        <v/>
      </c>
      <c r="E36" s="94" t="str">
        <f>IFERROR(VLOOKUP(H36,'[1]Consolidado MP Planta'!$A$2:$M$823,12,0),"")</f>
        <v/>
      </c>
      <c r="F36" s="94" t="str">
        <f t="shared" si="7"/>
        <v/>
      </c>
      <c r="G36" s="95" t="str">
        <f t="shared" si="8"/>
        <v/>
      </c>
      <c r="H36" s="99"/>
      <c r="I36" s="99"/>
      <c r="J36" s="97"/>
      <c r="K36" s="100"/>
      <c r="L36" s="101"/>
    </row>
    <row r="37" spans="1:12" ht="13.5" hidden="1" x14ac:dyDescent="0.25">
      <c r="A37" s="92"/>
      <c r="B37" s="98" t="str">
        <f>IFERROR(VLOOKUP(H37,'[1]Consolidado MP Planta'!$A$2:$M$823,3,0),"")</f>
        <v/>
      </c>
      <c r="C37" s="93">
        <f t="shared" si="6"/>
        <v>0</v>
      </c>
      <c r="D37" s="94" t="str">
        <f>IFERROR(VLOOKUP(H37,'[1]Consolidado MP Planta'!$A$2:$M$823,13,0),"")</f>
        <v/>
      </c>
      <c r="E37" s="94" t="str">
        <f>IFERROR(VLOOKUP(H37,'[1]Consolidado MP Planta'!$A$2:$M$823,12,0),"")</f>
        <v/>
      </c>
      <c r="F37" s="94" t="str">
        <f t="shared" si="7"/>
        <v/>
      </c>
      <c r="G37" s="95" t="str">
        <f t="shared" si="8"/>
        <v/>
      </c>
      <c r="H37" s="99"/>
      <c r="I37" s="99"/>
      <c r="J37" s="97"/>
    </row>
    <row r="38" spans="1:12" ht="14.25" thickBot="1" x14ac:dyDescent="0.3">
      <c r="A38" s="92"/>
      <c r="B38" s="98"/>
      <c r="C38" s="93"/>
      <c r="D38" s="94"/>
      <c r="E38" s="94"/>
      <c r="F38" s="94"/>
      <c r="G38" s="95"/>
      <c r="H38" s="99"/>
      <c r="I38" s="99"/>
      <c r="J38" s="97"/>
    </row>
    <row r="39" spans="1:12" ht="26.25" thickBot="1" x14ac:dyDescent="0.25">
      <c r="A39" s="87" t="s">
        <v>92</v>
      </c>
      <c r="B39" s="88" t="s">
        <v>100</v>
      </c>
      <c r="C39" s="88" t="s">
        <v>92</v>
      </c>
      <c r="D39" s="89" t="s">
        <v>94</v>
      </c>
      <c r="E39" s="89" t="s">
        <v>95</v>
      </c>
      <c r="F39" s="89" t="s">
        <v>96</v>
      </c>
      <c r="G39" s="89" t="s">
        <v>97</v>
      </c>
      <c r="H39" s="90" t="s">
        <v>98</v>
      </c>
      <c r="I39" s="99"/>
      <c r="J39" s="97"/>
    </row>
    <row r="40" spans="1:12" ht="13.5" x14ac:dyDescent="0.25">
      <c r="A40" s="92">
        <f t="shared" ref="A40:A46" si="9">+A17</f>
        <v>200</v>
      </c>
      <c r="B40" s="98" t="str">
        <f>IFERROR(VLOOKUP(H40,[1]SEMIELABORADOS!$A$2:$M$6000,2,0),"")</f>
        <v>BASE GALLETA P/CHEESE CAKE (KILO)</v>
      </c>
      <c r="C40" s="93">
        <f>+A40</f>
        <v>200</v>
      </c>
      <c r="D40" s="94" t="str">
        <f>IFERROR(VLOOKUP(H40,[1]SEMIELABORADOS!$A$2:$M$6000,6,0),"")</f>
        <v>Gramo</v>
      </c>
      <c r="E40" s="94">
        <f>IFERROR(VLOOKUP(H40,[1]SEMIELABORADOS!$A$2:$M$65536,10,0),"")</f>
        <v>1.1524699119903916E-3</v>
      </c>
      <c r="F40" s="94">
        <f>IFERROR(E40*C40,"")</f>
        <v>0.23049398239807831</v>
      </c>
      <c r="G40" s="95">
        <f t="shared" ref="G40:G46" si="10">IFERROR(F40/$F$71,"")</f>
        <v>6.7830905557295958E-5</v>
      </c>
      <c r="H40" s="99" t="s">
        <v>42</v>
      </c>
      <c r="I40" s="99"/>
      <c r="J40" s="97"/>
    </row>
    <row r="41" spans="1:12" ht="13.5" x14ac:dyDescent="0.25">
      <c r="A41" s="92">
        <f t="shared" si="9"/>
        <v>600</v>
      </c>
      <c r="B41" s="98" t="str">
        <f>IFERROR(VLOOKUP(H41,[1]SEMIELABORADOS!$A$2:$M$6000,2,0),"")</f>
        <v>RELLENO CHEESECAKE KILO</v>
      </c>
      <c r="C41" s="93">
        <f t="shared" ref="C41:C46" si="11">+A41</f>
        <v>600</v>
      </c>
      <c r="D41" s="94" t="str">
        <f>IFERROR(VLOOKUP(H41,[1]SEMIELABORADOS!$A$2:$M$6000,6,0),"")</f>
        <v>Gramo</v>
      </c>
      <c r="E41" s="94">
        <f>IFERROR(VLOOKUP(H41,[1]SEMIELABORADOS!$A$2:$M$65536,10,0),"")</f>
        <v>7.4358974358974352E-6</v>
      </c>
      <c r="F41" s="94">
        <f t="shared" ref="F41:F46" si="12">IFERROR(E41*C41,"")</f>
        <v>4.4615384615384612E-3</v>
      </c>
      <c r="G41" s="95">
        <f t="shared" si="10"/>
        <v>1.3129635354305976E-6</v>
      </c>
      <c r="H41" s="99" t="s">
        <v>44</v>
      </c>
      <c r="I41" s="99"/>
      <c r="J41" s="97"/>
    </row>
    <row r="42" spans="1:12" ht="13.5" x14ac:dyDescent="0.25">
      <c r="A42" s="92">
        <f t="shared" si="9"/>
        <v>90</v>
      </c>
      <c r="B42" s="98" t="s">
        <v>56</v>
      </c>
      <c r="C42" s="93">
        <f t="shared" si="11"/>
        <v>90</v>
      </c>
      <c r="D42" s="94" t="s">
        <v>142</v>
      </c>
      <c r="E42" s="94">
        <f>+'[3]COSTEO GANACHE'!$E$76</f>
        <v>3.2348958333333335E-3</v>
      </c>
      <c r="F42" s="94">
        <f t="shared" si="12"/>
        <v>0.29114062500000004</v>
      </c>
      <c r="G42" s="95">
        <f t="shared" si="10"/>
        <v>8.5678298551675192E-5</v>
      </c>
      <c r="H42" s="99" t="s">
        <v>55</v>
      </c>
      <c r="I42" s="99"/>
      <c r="J42" s="97"/>
    </row>
    <row r="43" spans="1:12" ht="13.5" x14ac:dyDescent="0.25">
      <c r="A43" s="92">
        <f t="shared" si="9"/>
        <v>0</v>
      </c>
      <c r="B43" s="98" t="str">
        <f>IFERROR(VLOOKUP(H43,[1]SEMIELABORADOS!$A$2:$M$6000,2,0),"")</f>
        <v>CREMA DULCE LECHE KILO</v>
      </c>
      <c r="C43" s="93">
        <f>+A43</f>
        <v>0</v>
      </c>
      <c r="D43" s="94" t="str">
        <f>IFERROR(VLOOKUP(H43,[1]SEMIELABORADOS!$A$2:$M$6000,6,0),"")</f>
        <v>Gramo</v>
      </c>
      <c r="E43" s="94">
        <f>IFERROR(VLOOKUP(H43,[1]SEMIELABORADOS!$A$2:$M$65536,10,0),"")</f>
        <v>8.5119999999999998E-5</v>
      </c>
      <c r="F43" s="94">
        <f>IFERROR(E43*C43,"")</f>
        <v>0</v>
      </c>
      <c r="G43" s="95">
        <f t="shared" si="10"/>
        <v>0</v>
      </c>
      <c r="H43" s="99" t="s">
        <v>143</v>
      </c>
      <c r="I43" s="99"/>
      <c r="J43" s="97"/>
    </row>
    <row r="44" spans="1:12" ht="13.5" x14ac:dyDescent="0.25">
      <c r="A44" s="92">
        <f t="shared" si="9"/>
        <v>160</v>
      </c>
      <c r="B44" s="98" t="s">
        <v>60</v>
      </c>
      <c r="C44" s="93">
        <f>+A44</f>
        <v>160</v>
      </c>
      <c r="D44" s="94" t="s">
        <v>142</v>
      </c>
      <c r="E44" s="94">
        <f>+'costeo brittle'!E76</f>
        <v>3.7837907200000007E-2</v>
      </c>
      <c r="F44" s="94">
        <f>IFERROR(E44*C44,"")</f>
        <v>6.0540651520000015</v>
      </c>
      <c r="G44" s="95">
        <f t="shared" si="10"/>
        <v>1.781620141621764E-3</v>
      </c>
      <c r="H44" s="99"/>
      <c r="I44" s="99"/>
      <c r="J44" s="97"/>
    </row>
    <row r="45" spans="1:12" ht="13.5" hidden="1" x14ac:dyDescent="0.25">
      <c r="A45" s="92">
        <f t="shared" si="9"/>
        <v>0</v>
      </c>
      <c r="B45" s="98" t="str">
        <f>IFERROR(VLOOKUP(H45,[1]SEMIELABORADOS!$A$2:$M$6000,2,0),"")</f>
        <v/>
      </c>
      <c r="C45" s="93">
        <f t="shared" si="11"/>
        <v>0</v>
      </c>
      <c r="D45" s="94" t="str">
        <f>IFERROR(VLOOKUP(H45,[1]SEMIELABORADOS!$A$2:$M$6000,6,0),"")</f>
        <v/>
      </c>
      <c r="E45" s="94" t="str">
        <f>IFERROR(VLOOKUP(H45,[1]SEMIELABORADOS!$A$2:$M$65536,10,0),"")</f>
        <v/>
      </c>
      <c r="F45" s="94" t="str">
        <f t="shared" si="12"/>
        <v/>
      </c>
      <c r="G45" s="95" t="str">
        <f t="shared" si="10"/>
        <v/>
      </c>
      <c r="H45" s="99"/>
      <c r="I45" s="99"/>
      <c r="J45" s="97"/>
    </row>
    <row r="46" spans="1:12" ht="13.5" hidden="1" x14ac:dyDescent="0.25">
      <c r="A46" s="92">
        <f t="shared" si="9"/>
        <v>0</v>
      </c>
      <c r="B46" s="98" t="str">
        <f>IFERROR(VLOOKUP(H46,[1]SEMIELABORADOS!$A$2:$M$6000,2,0),"")</f>
        <v/>
      </c>
      <c r="C46" s="93">
        <f t="shared" si="11"/>
        <v>0</v>
      </c>
      <c r="D46" s="94" t="str">
        <f>IFERROR(VLOOKUP(H46,[1]SEMIELABORADOS!$A$2:$M$6000,6,0),"")</f>
        <v/>
      </c>
      <c r="E46" s="94" t="str">
        <f>IFERROR(VLOOKUP(H46,[1]SEMIELABORADOS!$A$2:$M$65536,10,0),"")</f>
        <v/>
      </c>
      <c r="F46" s="94" t="str">
        <f t="shared" si="12"/>
        <v/>
      </c>
      <c r="G46" s="95" t="str">
        <f t="shared" si="10"/>
        <v/>
      </c>
      <c r="H46" s="99"/>
      <c r="I46" s="99"/>
      <c r="J46" s="97"/>
    </row>
    <row r="47" spans="1:12" ht="14.25" thickBot="1" x14ac:dyDescent="0.3">
      <c r="A47" s="92"/>
      <c r="B47" s="98"/>
      <c r="C47" s="93"/>
      <c r="D47" s="94"/>
      <c r="E47" s="94"/>
      <c r="F47" s="94"/>
      <c r="G47" s="95"/>
      <c r="H47" s="99"/>
      <c r="I47" s="99"/>
      <c r="J47" s="97"/>
    </row>
    <row r="48" spans="1:12" ht="26.25" thickBot="1" x14ac:dyDescent="0.25">
      <c r="A48" s="87" t="s">
        <v>92</v>
      </c>
      <c r="B48" s="88" t="s">
        <v>101</v>
      </c>
      <c r="C48" s="88" t="s">
        <v>92</v>
      </c>
      <c r="D48" s="89" t="s">
        <v>94</v>
      </c>
      <c r="E48" s="89" t="s">
        <v>95</v>
      </c>
      <c r="F48" s="89" t="s">
        <v>96</v>
      </c>
      <c r="G48" s="89" t="s">
        <v>97</v>
      </c>
      <c r="H48" s="90" t="s">
        <v>98</v>
      </c>
      <c r="I48" s="91"/>
      <c r="J48" s="97"/>
    </row>
    <row r="49" spans="1:17" ht="13.5" x14ac:dyDescent="0.25">
      <c r="A49" s="92">
        <f>+A40</f>
        <v>200</v>
      </c>
      <c r="B49" s="98" t="str">
        <f>IFERROR(VLOOKUP(H49,[1]SEMIELABORADOS!$A$2:$M$6000,2,0),"")</f>
        <v>BASE GALLETA P/CHEESE CAKE (KILO)</v>
      </c>
      <c r="C49" s="93">
        <f>+A49</f>
        <v>200</v>
      </c>
      <c r="D49" s="94" t="str">
        <f>IFERROR(VLOOKUP(H49,[1]SEMIELABORADOS!$A$2:$M$6000,6,0),"")</f>
        <v>Gramo</v>
      </c>
      <c r="E49" s="94">
        <f>IFERROR(VLOOKUP(H49,[1]SEMIELABORADOS!$A$2:$M$65536,12,0),"")</f>
        <v>0.20872229760513178</v>
      </c>
      <c r="F49" s="94">
        <f>IFERROR(E49*C49,"")</f>
        <v>41.744459521026357</v>
      </c>
      <c r="G49" s="95">
        <f>IFERROR(F49/$F$71,"")</f>
        <v>1.2284765362857952E-2</v>
      </c>
      <c r="H49" s="99" t="s">
        <v>42</v>
      </c>
      <c r="I49" s="91"/>
      <c r="J49" s="97"/>
    </row>
    <row r="50" spans="1:17" ht="13.5" x14ac:dyDescent="0.25">
      <c r="A50" s="92">
        <f t="shared" ref="A50:A55" si="13">+A41</f>
        <v>600</v>
      </c>
      <c r="B50" s="98" t="str">
        <f>IFERROR(VLOOKUP(H50,[1]SEMIELABORADOS!$A$2:$M$6000,2,0),"")</f>
        <v>RELLENO CHEESECAKE KILO</v>
      </c>
      <c r="C50" s="93">
        <f t="shared" ref="C50:C55" si="14">+A50</f>
        <v>600</v>
      </c>
      <c r="D50" s="94" t="str">
        <f>IFERROR(VLOOKUP(H50,[1]SEMIELABORADOS!$A$2:$M$6000,6,0),"")</f>
        <v>Gramo</v>
      </c>
      <c r="E50" s="94">
        <f>IFERROR(VLOOKUP(H50,[1]SEMIELABORADOS!$A$2:$M$65536,12,0),"")</f>
        <v>9.8350266666666672E-2</v>
      </c>
      <c r="F50" s="94">
        <f t="shared" ref="F50:F55" si="15">IFERROR(E50*C50,"")</f>
        <v>59.010160000000006</v>
      </c>
      <c r="G50" s="95">
        <f t="shared" ref="G50:G55" si="16">IFERROR(F50/$F$71,"")</f>
        <v>1.7365800825845316E-2</v>
      </c>
      <c r="H50" s="99" t="s">
        <v>44</v>
      </c>
      <c r="I50" s="91"/>
      <c r="J50" s="97"/>
      <c r="M50" s="102"/>
    </row>
    <row r="51" spans="1:17" ht="13.5" x14ac:dyDescent="0.25">
      <c r="A51" s="92">
        <f t="shared" si="13"/>
        <v>90</v>
      </c>
      <c r="B51" s="98" t="s">
        <v>56</v>
      </c>
      <c r="C51" s="93">
        <f t="shared" si="14"/>
        <v>90</v>
      </c>
      <c r="D51" s="94" t="s">
        <v>142</v>
      </c>
      <c r="E51" s="94">
        <f>+'[3]COSTEO GANACHE'!$E$74</f>
        <v>0.11458333333333333</v>
      </c>
      <c r="F51" s="94">
        <f t="shared" si="15"/>
        <v>10.3125</v>
      </c>
      <c r="G51" s="95">
        <f t="shared" si="16"/>
        <v>3.0348133442873191E-3</v>
      </c>
      <c r="H51" s="99" t="s">
        <v>55</v>
      </c>
      <c r="I51" s="91"/>
      <c r="J51" s="97"/>
    </row>
    <row r="52" spans="1:17" ht="13.5" x14ac:dyDescent="0.25">
      <c r="A52" s="92">
        <f t="shared" si="13"/>
        <v>0</v>
      </c>
      <c r="B52" s="98" t="str">
        <f>IFERROR(VLOOKUP(H52,[1]SEMIELABORADOS!$A$2:$M$6000,2,0),"")</f>
        <v>CREMA DULCE LECHE KILO</v>
      </c>
      <c r="C52" s="93">
        <f t="shared" si="14"/>
        <v>0</v>
      </c>
      <c r="D52" s="94" t="str">
        <f>IFERROR(VLOOKUP(H52,[1]SEMIELABORADOS!$A$2:$M$6000,6,0),"")</f>
        <v>Gramo</v>
      </c>
      <c r="E52" s="94">
        <f>IFERROR(VLOOKUP(H52,[1]SEMIELABORADOS!$A$2:$M$65536,12,0),"")</f>
        <v>1.1219999999999999E-2</v>
      </c>
      <c r="F52" s="94">
        <f t="shared" si="15"/>
        <v>0</v>
      </c>
      <c r="G52" s="95">
        <f t="shared" si="16"/>
        <v>0</v>
      </c>
      <c r="H52" s="99" t="s">
        <v>143</v>
      </c>
      <c r="I52" s="91"/>
      <c r="J52" s="97"/>
    </row>
    <row r="53" spans="1:17" ht="13.5" x14ac:dyDescent="0.25">
      <c r="A53" s="92">
        <f t="shared" si="13"/>
        <v>160</v>
      </c>
      <c r="B53" s="98" t="s">
        <v>60</v>
      </c>
      <c r="C53" s="93">
        <f t="shared" si="14"/>
        <v>160</v>
      </c>
      <c r="D53" s="94" t="s">
        <v>142</v>
      </c>
      <c r="E53" s="94">
        <f>+'costeo brittle'!E74</f>
        <v>0.56981320000000002</v>
      </c>
      <c r="F53" s="94">
        <f t="shared" si="15"/>
        <v>91.170112000000003</v>
      </c>
      <c r="G53" s="95">
        <f t="shared" si="16"/>
        <v>2.6829990060389768E-2</v>
      </c>
      <c r="H53" s="99"/>
      <c r="I53" s="91"/>
      <c r="J53" s="97"/>
    </row>
    <row r="54" spans="1:17" ht="13.5" hidden="1" x14ac:dyDescent="0.25">
      <c r="A54" s="92">
        <f t="shared" si="13"/>
        <v>0</v>
      </c>
      <c r="B54" s="98" t="str">
        <f>IFERROR(VLOOKUP(H54,[1]SEMIELABORADOS!$A$2:$M$6000,2,0),"")</f>
        <v/>
      </c>
      <c r="C54" s="93">
        <f t="shared" si="14"/>
        <v>0</v>
      </c>
      <c r="D54" s="94" t="str">
        <f>IFERROR(VLOOKUP(H54,[1]SEMIELABORADOS!$A$2:$M$6000,6,0),"")</f>
        <v/>
      </c>
      <c r="E54" s="94" t="str">
        <f>IFERROR(VLOOKUP(H54,[1]SEMIELABORADOS!$A$2:$M$65536,12,0),"")</f>
        <v/>
      </c>
      <c r="F54" s="94" t="str">
        <f t="shared" si="15"/>
        <v/>
      </c>
      <c r="G54" s="95" t="str">
        <f t="shared" si="16"/>
        <v/>
      </c>
      <c r="H54" s="99"/>
      <c r="I54" s="91"/>
      <c r="J54" s="97"/>
    </row>
    <row r="55" spans="1:17" ht="13.5" hidden="1" x14ac:dyDescent="0.25">
      <c r="A55" s="92">
        <f t="shared" si="13"/>
        <v>0</v>
      </c>
      <c r="B55" s="98" t="str">
        <f>IFERROR(VLOOKUP(H55,[1]SEMIELABORADOS!$A$2:$M$6000,2,0),"")</f>
        <v/>
      </c>
      <c r="C55" s="93">
        <f t="shared" si="14"/>
        <v>0</v>
      </c>
      <c r="D55" s="94" t="str">
        <f>IFERROR(VLOOKUP(H55,[1]SEMIELABORADOS!$A$2:$M$6000,6,0),"")</f>
        <v/>
      </c>
      <c r="E55" s="94" t="str">
        <f>IFERROR(VLOOKUP(H55,[1]SEMIELABORADOS!$A$2:$M$65536,12,0),"")</f>
        <v/>
      </c>
      <c r="F55" s="94" t="str">
        <f t="shared" si="15"/>
        <v/>
      </c>
      <c r="G55" s="95" t="str">
        <f t="shared" si="16"/>
        <v/>
      </c>
      <c r="H55" s="98"/>
      <c r="I55" s="91"/>
      <c r="J55" s="97"/>
    </row>
    <row r="56" spans="1:17" ht="13.5" x14ac:dyDescent="0.25">
      <c r="A56" s="92">
        <v>1</v>
      </c>
      <c r="B56" s="98" t="s">
        <v>102</v>
      </c>
      <c r="C56" s="93">
        <f>+A56</f>
        <v>1</v>
      </c>
      <c r="D56" s="93" t="s">
        <v>103</v>
      </c>
      <c r="E56" s="94">
        <f>+F70</f>
        <v>275</v>
      </c>
      <c r="F56" s="94">
        <f>IFERROR(C56*E56,"")</f>
        <v>275</v>
      </c>
      <c r="G56" s="95">
        <f>IFERROR(F56/$F$71,"")</f>
        <v>8.0928355847661851E-2</v>
      </c>
      <c r="H56" s="103"/>
      <c r="I56" s="103"/>
      <c r="J56" s="97"/>
    </row>
    <row r="57" spans="1:17" ht="14.25" thickBot="1" x14ac:dyDescent="0.3">
      <c r="A57" s="92"/>
      <c r="B57" s="98"/>
      <c r="C57" s="93"/>
      <c r="D57" s="93"/>
      <c r="E57" s="94"/>
      <c r="F57" s="94"/>
      <c r="G57" s="95"/>
      <c r="H57" s="103"/>
      <c r="I57" s="103"/>
      <c r="J57" s="97"/>
    </row>
    <row r="58" spans="1:17" ht="13.5" thickBot="1" x14ac:dyDescent="0.25">
      <c r="A58" s="104"/>
      <c r="B58" s="452" t="s">
        <v>104</v>
      </c>
      <c r="C58" s="452"/>
      <c r="D58" s="452"/>
      <c r="E58" s="452"/>
      <c r="F58" s="106">
        <f>SUM(F8:F14,F17:F24)</f>
        <v>2669.8226892578177</v>
      </c>
      <c r="G58" s="95">
        <f>+F58/$F$71</f>
        <v>0.78568858416879339</v>
      </c>
      <c r="H58" s="107">
        <f>+F58/$D$65</f>
        <v>2669.8226892578177</v>
      </c>
      <c r="I58" s="107"/>
      <c r="J58" s="108"/>
      <c r="K58" s="109"/>
      <c r="L58" s="109"/>
      <c r="M58" s="109"/>
      <c r="N58" s="109"/>
      <c r="O58" s="109"/>
      <c r="P58" s="109"/>
      <c r="Q58" s="110"/>
    </row>
    <row r="59" spans="1:17" x14ac:dyDescent="0.2">
      <c r="A59" s="104"/>
      <c r="B59" s="452" t="s">
        <v>105</v>
      </c>
      <c r="C59" s="452"/>
      <c r="D59" s="452"/>
      <c r="E59" s="452"/>
      <c r="F59" s="106">
        <f>SUM(F27:F37,F40:F46)</f>
        <v>399.84816129785963</v>
      </c>
      <c r="G59" s="95">
        <f>+F59/$F$71</f>
        <v>0.117669288300169</v>
      </c>
      <c r="H59" s="107">
        <f>+F59/$D$65</f>
        <v>399.84816129785963</v>
      </c>
      <c r="I59" s="107"/>
      <c r="J59" s="111"/>
      <c r="K59" s="453" t="s">
        <v>106</v>
      </c>
      <c r="L59" s="454"/>
      <c r="M59" s="454"/>
      <c r="N59" s="454"/>
      <c r="O59" s="112">
        <f>+F60</f>
        <v>3069.6708505556771</v>
      </c>
      <c r="P59" s="112"/>
      <c r="Q59" s="113"/>
    </row>
    <row r="60" spans="1:17" x14ac:dyDescent="0.2">
      <c r="A60" s="104"/>
      <c r="B60" s="452" t="s">
        <v>107</v>
      </c>
      <c r="C60" s="452"/>
      <c r="D60" s="452"/>
      <c r="E60" s="452"/>
      <c r="F60" s="106">
        <f>+F58+F59</f>
        <v>3069.6708505556771</v>
      </c>
      <c r="G60" s="95">
        <f>+F60/$F$71</f>
        <v>0.90335787246896238</v>
      </c>
      <c r="H60" s="107">
        <f>+F60/$D$65</f>
        <v>3069.6708505556771</v>
      </c>
      <c r="I60" s="107"/>
      <c r="J60" s="114"/>
      <c r="K60" s="115"/>
      <c r="L60" s="455" t="s">
        <v>108</v>
      </c>
      <c r="M60" s="455"/>
      <c r="N60" s="455"/>
      <c r="O60" s="112">
        <v>508.47</v>
      </c>
      <c r="P60" s="112"/>
      <c r="Q60" s="113"/>
    </row>
    <row r="61" spans="1:17" ht="13.5" thickBot="1" x14ac:dyDescent="0.25">
      <c r="A61" s="104"/>
      <c r="B61" s="105"/>
      <c r="C61" s="452" t="s">
        <v>109</v>
      </c>
      <c r="D61" s="452"/>
      <c r="E61" s="452"/>
      <c r="F61" s="106">
        <f>SUM(F49:F56)</f>
        <v>477.23723152102639</v>
      </c>
      <c r="G61" s="95">
        <f>+F61/$F$71</f>
        <v>0.14044372544104219</v>
      </c>
      <c r="H61" s="107">
        <f>+F61/$D$65</f>
        <v>477.23723152102639</v>
      </c>
      <c r="I61" s="107"/>
      <c r="J61" s="114"/>
      <c r="K61" s="115"/>
      <c r="L61" s="115"/>
      <c r="M61" s="115" t="s">
        <v>110</v>
      </c>
      <c r="N61" s="116"/>
      <c r="O61" s="112">
        <f>O59*N61</f>
        <v>0</v>
      </c>
      <c r="P61" s="112"/>
      <c r="Q61" s="113"/>
    </row>
    <row r="62" spans="1:17" ht="13.5" thickBot="1" x14ac:dyDescent="0.25">
      <c r="A62" s="104"/>
      <c r="B62" s="117"/>
      <c r="C62" s="117"/>
      <c r="D62" s="117"/>
      <c r="E62" s="117"/>
      <c r="F62" s="118"/>
      <c r="G62" s="95"/>
      <c r="H62" s="119"/>
      <c r="I62" s="107"/>
      <c r="J62" s="114"/>
      <c r="K62" s="120"/>
      <c r="M62" s="121" t="s">
        <v>111</v>
      </c>
      <c r="N62" s="122"/>
      <c r="O62" s="123">
        <f>SUM(O59:O61)</f>
        <v>3578.1408505556774</v>
      </c>
      <c r="P62" s="124"/>
      <c r="Q62" s="113"/>
    </row>
    <row r="63" spans="1:17" x14ac:dyDescent="0.2">
      <c r="B63" s="456" t="s">
        <v>112</v>
      </c>
      <c r="C63" s="456"/>
      <c r="D63" s="125">
        <v>950</v>
      </c>
      <c r="E63" s="126"/>
      <c r="G63" s="95"/>
      <c r="H63" s="119"/>
      <c r="I63" s="127"/>
      <c r="J63" s="114"/>
      <c r="K63" s="120"/>
      <c r="L63" s="115"/>
      <c r="M63" s="115" t="s">
        <v>188</v>
      </c>
      <c r="N63" s="128"/>
      <c r="O63" s="112">
        <v>426.95</v>
      </c>
      <c r="P63" s="112"/>
      <c r="Q63" s="113"/>
    </row>
    <row r="64" spans="1:17" x14ac:dyDescent="0.2">
      <c r="B64" s="456" t="s">
        <v>114</v>
      </c>
      <c r="C64" s="456"/>
      <c r="D64" s="129">
        <v>950</v>
      </c>
      <c r="E64" s="126"/>
      <c r="G64" s="95"/>
      <c r="H64" s="119"/>
      <c r="I64" s="127"/>
      <c r="J64" s="114"/>
      <c r="K64" s="120"/>
      <c r="L64" s="115"/>
      <c r="M64" s="455" t="s">
        <v>111</v>
      </c>
      <c r="N64" s="455"/>
      <c r="O64" s="112">
        <f>SUM(O62:O63)</f>
        <v>4005.0908505556772</v>
      </c>
      <c r="P64" s="112"/>
      <c r="Q64" s="113"/>
    </row>
    <row r="65" spans="2:17" ht="13.5" thickBot="1" x14ac:dyDescent="0.25">
      <c r="B65" s="457" t="s">
        <v>115</v>
      </c>
      <c r="C65" s="457"/>
      <c r="D65" s="125">
        <f>+D63/D64</f>
        <v>1</v>
      </c>
      <c r="E65" s="126"/>
      <c r="F65" s="130"/>
      <c r="G65" s="95"/>
      <c r="H65" s="119"/>
      <c r="I65" s="127"/>
      <c r="J65" s="114"/>
      <c r="K65" s="120"/>
      <c r="L65" s="455" t="s">
        <v>116</v>
      </c>
      <c r="M65" s="455"/>
      <c r="N65" s="128">
        <v>0.1</v>
      </c>
      <c r="O65" s="112">
        <f>+O64*N65</f>
        <v>400.50908505556777</v>
      </c>
      <c r="P65" s="112"/>
      <c r="Q65" s="113"/>
    </row>
    <row r="66" spans="2:17" ht="13.5" thickBot="1" x14ac:dyDescent="0.25">
      <c r="B66" s="457" t="s">
        <v>117</v>
      </c>
      <c r="C66" s="457"/>
      <c r="D66" s="131" t="s">
        <v>152</v>
      </c>
      <c r="E66" s="126"/>
      <c r="F66" s="130"/>
      <c r="G66" s="95"/>
      <c r="H66" s="119"/>
      <c r="I66" s="127"/>
      <c r="J66" s="114"/>
      <c r="K66" s="458" t="s">
        <v>118</v>
      </c>
      <c r="L66" s="459"/>
      <c r="M66" s="459"/>
      <c r="N66" s="460"/>
      <c r="O66" s="123">
        <f>+O64+O65</f>
        <v>4405.5999356112452</v>
      </c>
      <c r="P66" s="132" t="s">
        <v>119</v>
      </c>
      <c r="Q66" s="113"/>
    </row>
    <row r="67" spans="2:17" ht="13.5" thickBot="1" x14ac:dyDescent="0.25">
      <c r="C67" s="104" t="s">
        <v>120</v>
      </c>
      <c r="D67" s="133"/>
      <c r="E67" s="78" t="s">
        <v>121</v>
      </c>
      <c r="F67" s="134" t="s">
        <v>122</v>
      </c>
      <c r="G67" s="95"/>
      <c r="H67" s="119"/>
      <c r="I67" s="127"/>
      <c r="J67" s="135"/>
      <c r="K67" s="136"/>
      <c r="L67" s="461" t="s">
        <v>123</v>
      </c>
      <c r="M67" s="461"/>
      <c r="N67" s="461"/>
      <c r="O67" s="137">
        <f>+O66/D65</f>
        <v>4405.5999356112452</v>
      </c>
      <c r="P67" s="138">
        <f>+O67/D64</f>
        <v>4.6374736164328896</v>
      </c>
      <c r="Q67" s="139"/>
    </row>
    <row r="68" spans="2:17" ht="13.5" thickBot="1" x14ac:dyDescent="0.25">
      <c r="B68" s="462" t="s">
        <v>107</v>
      </c>
      <c r="C68" s="462"/>
      <c r="D68" s="462"/>
      <c r="E68" s="140">
        <f>+F68/F68</f>
        <v>1</v>
      </c>
      <c r="F68" s="141">
        <f>SUM(F60)</f>
        <v>3069.6708505556771</v>
      </c>
      <c r="G68" s="95">
        <f>+F68/$F$71</f>
        <v>0.90335787246896238</v>
      </c>
      <c r="H68" s="119"/>
      <c r="I68" s="127"/>
      <c r="K68" s="463"/>
      <c r="L68" s="464"/>
      <c r="M68" s="464"/>
      <c r="N68" s="464"/>
      <c r="O68" s="142"/>
      <c r="P68" s="143"/>
    </row>
    <row r="69" spans="2:17" ht="13.5" thickBot="1" x14ac:dyDescent="0.25">
      <c r="B69" s="465" t="s">
        <v>124</v>
      </c>
      <c r="C69" s="465"/>
      <c r="D69" s="465"/>
      <c r="E69" s="144">
        <v>0.02</v>
      </c>
      <c r="F69" s="141">
        <f>+F58*E69</f>
        <v>53.396453785156353</v>
      </c>
      <c r="G69" s="95">
        <f>+F69/$F$71</f>
        <v>1.5713771683375868E-2</v>
      </c>
      <c r="H69" s="107"/>
      <c r="I69" s="127"/>
      <c r="J69" s="145"/>
      <c r="O69" s="146">
        <v>3556.52</v>
      </c>
      <c r="P69" s="105"/>
    </row>
    <row r="70" spans="2:17" ht="13.5" thickBot="1" x14ac:dyDescent="0.25">
      <c r="B70" s="467" t="s">
        <v>125</v>
      </c>
      <c r="C70" s="468"/>
      <c r="D70" s="147">
        <v>5</v>
      </c>
      <c r="E70" s="148">
        <v>55</v>
      </c>
      <c r="F70" s="141">
        <f>+E70*D70</f>
        <v>275</v>
      </c>
      <c r="G70" s="95">
        <f>+F70/$F$71</f>
        <v>8.0928355847661851E-2</v>
      </c>
      <c r="H70" s="107"/>
      <c r="I70" s="107"/>
      <c r="J70" s="97"/>
    </row>
    <row r="71" spans="2:17" ht="13.5" thickBot="1" x14ac:dyDescent="0.25">
      <c r="B71" s="469" t="s">
        <v>126</v>
      </c>
      <c r="C71" s="470"/>
      <c r="D71" s="470"/>
      <c r="E71" s="471"/>
      <c r="F71" s="118">
        <f>SUM(F68:F70)</f>
        <v>3398.0673043408333</v>
      </c>
      <c r="G71" s="95">
        <f>+F71/$F$71</f>
        <v>1</v>
      </c>
      <c r="H71" s="472"/>
      <c r="I71" s="107"/>
      <c r="J71" s="97"/>
      <c r="N71" s="80">
        <f>+O69*10%</f>
        <v>355.65200000000004</v>
      </c>
    </row>
    <row r="72" spans="2:17" x14ac:dyDescent="0.2">
      <c r="C72" s="102"/>
      <c r="D72" s="102"/>
      <c r="E72" s="150"/>
      <c r="F72" s="141"/>
      <c r="G72" s="95"/>
      <c r="H72" s="472"/>
      <c r="I72" s="149"/>
      <c r="J72" s="80"/>
      <c r="N72" s="361">
        <f>3501.27+N71</f>
        <v>3856.922</v>
      </c>
    </row>
    <row r="73" spans="2:17" ht="13.5" thickBot="1" x14ac:dyDescent="0.25">
      <c r="B73" s="473" t="s">
        <v>127</v>
      </c>
      <c r="C73" s="473"/>
      <c r="D73" s="473"/>
      <c r="E73" s="473"/>
      <c r="F73" s="473"/>
      <c r="G73" s="95"/>
      <c r="H73" s="152"/>
      <c r="I73" s="149"/>
      <c r="J73" s="80"/>
    </row>
    <row r="74" spans="2:17" ht="13.5" thickBot="1" x14ac:dyDescent="0.25">
      <c r="B74" s="153" t="s">
        <v>128</v>
      </c>
      <c r="C74" s="154">
        <f>+F58</f>
        <v>2669.8226892578177</v>
      </c>
      <c r="D74" s="154">
        <f>+D63</f>
        <v>950</v>
      </c>
      <c r="E74" s="155">
        <f>+C74/D74</f>
        <v>2.8103396729029662</v>
      </c>
      <c r="F74" s="95"/>
      <c r="G74" s="152"/>
      <c r="H74" s="97"/>
      <c r="I74" s="152"/>
      <c r="J74" s="80"/>
      <c r="N74" s="80" t="s">
        <v>213</v>
      </c>
    </row>
    <row r="75" spans="2:17" x14ac:dyDescent="0.2">
      <c r="B75" s="156"/>
      <c r="C75" s="157"/>
      <c r="D75" s="158"/>
      <c r="E75" s="141"/>
      <c r="F75" s="95"/>
      <c r="G75" s="152"/>
      <c r="H75" s="97"/>
      <c r="I75" s="97"/>
      <c r="J75" s="80"/>
    </row>
    <row r="76" spans="2:17" x14ac:dyDescent="0.2">
      <c r="B76" s="153" t="s">
        <v>129</v>
      </c>
      <c r="C76" s="154">
        <f>SUM(F68:F69)</f>
        <v>3123.0673043408333</v>
      </c>
      <c r="D76" s="154">
        <f>+D63</f>
        <v>950</v>
      </c>
      <c r="E76" s="159">
        <f>+C76/D76</f>
        <v>3.2874392677271929</v>
      </c>
      <c r="F76" s="95"/>
      <c r="G76" s="152"/>
      <c r="H76" s="97"/>
      <c r="I76" s="97"/>
      <c r="J76" s="80"/>
    </row>
    <row r="77" spans="2:17" x14ac:dyDescent="0.2">
      <c r="B77" s="153"/>
      <c r="C77" s="154"/>
      <c r="D77" s="154"/>
      <c r="E77" s="159"/>
      <c r="F77" s="95"/>
      <c r="G77" s="152"/>
      <c r="H77" s="97"/>
      <c r="I77" s="97"/>
      <c r="J77" s="80"/>
    </row>
    <row r="78" spans="2:17" ht="13.5" thickBot="1" x14ac:dyDescent="0.25">
      <c r="B78" s="153" t="s">
        <v>130</v>
      </c>
      <c r="C78" s="154">
        <f>+F70</f>
        <v>275</v>
      </c>
      <c r="D78" s="154">
        <f>+D63</f>
        <v>950</v>
      </c>
      <c r="E78" s="159">
        <f>+C78/D78</f>
        <v>0.28947368421052633</v>
      </c>
      <c r="F78" s="95"/>
      <c r="G78" s="152"/>
      <c r="H78" s="97"/>
      <c r="I78" s="97"/>
      <c r="J78" s="80"/>
    </row>
    <row r="79" spans="2:17" ht="13.5" thickBot="1" x14ac:dyDescent="0.25">
      <c r="B79" s="153" t="s">
        <v>131</v>
      </c>
      <c r="C79" s="154">
        <f>+F61</f>
        <v>477.23723152102639</v>
      </c>
      <c r="D79" s="154">
        <f>+D78</f>
        <v>950</v>
      </c>
      <c r="E79" s="155">
        <f>+C79/D79</f>
        <v>0.50235498054844885</v>
      </c>
      <c r="F79" s="95"/>
      <c r="G79" s="152"/>
      <c r="H79" s="97"/>
      <c r="I79" s="97"/>
      <c r="J79" s="80"/>
    </row>
    <row r="80" spans="2:17" ht="13.5" thickBot="1" x14ac:dyDescent="0.25">
      <c r="B80" s="117"/>
      <c r="C80" s="118"/>
      <c r="D80" s="118"/>
      <c r="E80" s="159"/>
      <c r="F80" s="95"/>
      <c r="G80" s="152"/>
      <c r="H80" s="97"/>
      <c r="I80" s="97"/>
      <c r="J80" s="80"/>
    </row>
    <row r="81" spans="1:10" ht="13.5" thickBot="1" x14ac:dyDescent="0.25">
      <c r="B81" s="153" t="s">
        <v>132</v>
      </c>
      <c r="C81" s="154">
        <f>+F59</f>
        <v>399.84816129785963</v>
      </c>
      <c r="D81" s="154">
        <f>+D79</f>
        <v>950</v>
      </c>
      <c r="E81" s="155">
        <f>+C81/D81</f>
        <v>0.42089280136616802</v>
      </c>
      <c r="F81" s="95"/>
      <c r="G81" s="152"/>
      <c r="H81" s="97"/>
      <c r="I81" s="97"/>
      <c r="J81" s="97"/>
    </row>
    <row r="82" spans="1:10" ht="13.5" thickBot="1" x14ac:dyDescent="0.25">
      <c r="B82" s="117"/>
      <c r="C82" s="118"/>
      <c r="D82" s="118"/>
      <c r="E82" s="159"/>
      <c r="F82" s="95"/>
      <c r="G82" s="152"/>
      <c r="H82" s="97"/>
      <c r="I82" s="97"/>
    </row>
    <row r="83" spans="1:10" ht="13.5" thickBot="1" x14ac:dyDescent="0.25">
      <c r="B83" s="474" t="s">
        <v>133</v>
      </c>
      <c r="C83" s="475"/>
      <c r="D83" s="476"/>
      <c r="E83" s="155">
        <f>+E74+E79</f>
        <v>3.3126946534514152</v>
      </c>
      <c r="G83" s="95"/>
      <c r="H83" s="152"/>
      <c r="I83" s="97"/>
      <c r="J83" s="159"/>
    </row>
    <row r="84" spans="1:10" x14ac:dyDescent="0.2">
      <c r="I84" s="152"/>
      <c r="J84" s="80"/>
    </row>
    <row r="85" spans="1:10" ht="13.5" thickBot="1" x14ac:dyDescent="0.25">
      <c r="B85" s="473" t="s">
        <v>134</v>
      </c>
      <c r="C85" s="473"/>
      <c r="D85" s="473"/>
      <c r="E85" s="473"/>
      <c r="F85" s="473"/>
      <c r="G85" s="95"/>
      <c r="H85" s="152"/>
      <c r="J85" s="80"/>
    </row>
    <row r="86" spans="1:10" ht="13.5" thickBot="1" x14ac:dyDescent="0.25">
      <c r="B86" s="153" t="s">
        <v>128</v>
      </c>
      <c r="C86" s="154">
        <f>+C74</f>
        <v>2669.8226892578177</v>
      </c>
      <c r="D86" s="154">
        <f>+D65</f>
        <v>1</v>
      </c>
      <c r="E86" s="155">
        <f>+C86/D86</f>
        <v>2669.8226892578177</v>
      </c>
      <c r="F86" s="95"/>
      <c r="G86" s="152"/>
      <c r="H86" s="97"/>
      <c r="I86" s="152"/>
      <c r="J86" s="80"/>
    </row>
    <row r="87" spans="1:10" x14ac:dyDescent="0.2">
      <c r="B87" s="156"/>
      <c r="C87" s="157"/>
      <c r="D87" s="158"/>
      <c r="E87" s="141"/>
      <c r="F87" s="95"/>
      <c r="G87" s="152"/>
      <c r="H87" s="97"/>
      <c r="I87" s="97"/>
      <c r="J87" s="80"/>
    </row>
    <row r="88" spans="1:10" x14ac:dyDescent="0.2">
      <c r="B88" s="153" t="s">
        <v>129</v>
      </c>
      <c r="C88" s="154">
        <f>+C76</f>
        <v>3123.0673043408333</v>
      </c>
      <c r="D88" s="154">
        <f>+D65</f>
        <v>1</v>
      </c>
      <c r="E88" s="159">
        <f>+C88/D88</f>
        <v>3123.0673043408333</v>
      </c>
      <c r="F88" s="95"/>
      <c r="G88" s="152"/>
      <c r="H88" s="97"/>
      <c r="I88" s="97"/>
      <c r="J88" s="80"/>
    </row>
    <row r="89" spans="1:10" x14ac:dyDescent="0.2">
      <c r="B89" s="153"/>
      <c r="C89" s="154"/>
      <c r="D89" s="154"/>
      <c r="E89" s="159"/>
      <c r="F89" s="95"/>
      <c r="G89" s="152"/>
      <c r="H89" s="97"/>
      <c r="I89" s="97"/>
      <c r="J89" s="80"/>
    </row>
    <row r="90" spans="1:10" ht="13.5" thickBot="1" x14ac:dyDescent="0.25">
      <c r="B90" s="153" t="s">
        <v>131</v>
      </c>
      <c r="C90" s="154">
        <f>+C78</f>
        <v>275</v>
      </c>
      <c r="D90" s="154">
        <f>+D65</f>
        <v>1</v>
      </c>
      <c r="E90" s="159">
        <f>+C90/D90</f>
        <v>275</v>
      </c>
      <c r="F90" s="161"/>
      <c r="G90" s="151"/>
      <c r="H90" s="79"/>
      <c r="I90" s="97"/>
    </row>
    <row r="91" spans="1:10" ht="13.5" thickBot="1" x14ac:dyDescent="0.25">
      <c r="B91" s="153" t="s">
        <v>131</v>
      </c>
      <c r="C91" s="154">
        <f>+C79</f>
        <v>477.23723152102639</v>
      </c>
      <c r="D91" s="154">
        <f>+D90</f>
        <v>1</v>
      </c>
      <c r="E91" s="155">
        <f>+C91/D91</f>
        <v>477.23723152102639</v>
      </c>
      <c r="F91" s="160"/>
      <c r="G91" s="151"/>
      <c r="H91" s="79"/>
      <c r="I91" s="79"/>
    </row>
    <row r="92" spans="1:10" x14ac:dyDescent="0.2">
      <c r="I92" s="79"/>
    </row>
    <row r="93" spans="1:10" x14ac:dyDescent="0.2">
      <c r="A93" s="466"/>
      <c r="B93" s="466"/>
      <c r="C93" s="162"/>
      <c r="D93" s="162"/>
      <c r="E93" s="163"/>
      <c r="G93" s="164"/>
    </row>
    <row r="94" spans="1:10" x14ac:dyDescent="0.2">
      <c r="A94" s="98"/>
      <c r="B94" s="165"/>
      <c r="C94" s="166"/>
      <c r="D94" s="166"/>
      <c r="E94" s="167"/>
      <c r="G94" s="164"/>
    </row>
    <row r="95" spans="1:10" x14ac:dyDescent="0.2">
      <c r="A95" s="98"/>
      <c r="B95" s="165"/>
      <c r="C95" s="168"/>
      <c r="D95" s="168"/>
      <c r="E95" s="98"/>
      <c r="G95" s="164"/>
    </row>
    <row r="96" spans="1:10" x14ac:dyDescent="0.2">
      <c r="A96" s="98"/>
      <c r="B96" s="165"/>
      <c r="C96" s="169"/>
      <c r="D96" s="169"/>
      <c r="E96" s="98"/>
      <c r="G96" s="164"/>
    </row>
  </sheetData>
  <mergeCells count="31">
    <mergeCell ref="B68:D68"/>
    <mergeCell ref="K68:N68"/>
    <mergeCell ref="B69:D69"/>
    <mergeCell ref="A93:B93"/>
    <mergeCell ref="B70:C70"/>
    <mergeCell ref="B71:E71"/>
    <mergeCell ref="H71:H72"/>
    <mergeCell ref="B73:F73"/>
    <mergeCell ref="B83:D83"/>
    <mergeCell ref="B85:F85"/>
    <mergeCell ref="B65:C65"/>
    <mergeCell ref="L65:M65"/>
    <mergeCell ref="B66:C66"/>
    <mergeCell ref="K66:N66"/>
    <mergeCell ref="L67:N67"/>
    <mergeCell ref="B60:E60"/>
    <mergeCell ref="L60:N60"/>
    <mergeCell ref="C61:E61"/>
    <mergeCell ref="B63:C63"/>
    <mergeCell ref="B64:C64"/>
    <mergeCell ref="M64:N64"/>
    <mergeCell ref="K34:L34"/>
    <mergeCell ref="K35:L35"/>
    <mergeCell ref="B58:E58"/>
    <mergeCell ref="B59:E59"/>
    <mergeCell ref="K59:N59"/>
    <mergeCell ref="A4:H4"/>
    <mergeCell ref="A5:H5"/>
    <mergeCell ref="F6:G6"/>
    <mergeCell ref="K27:L27"/>
    <mergeCell ref="K33:L33"/>
  </mergeCells>
  <phoneticPr fontId="7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F9CAE-86DD-4229-9D30-C08D92E93E41}">
  <dimension ref="A1:AK43"/>
  <sheetViews>
    <sheetView topLeftCell="A16" workbookViewId="0">
      <selection activeCell="L28" sqref="L28"/>
    </sheetView>
  </sheetViews>
  <sheetFormatPr baseColWidth="10" defaultColWidth="8.42578125" defaultRowHeight="11.25" x14ac:dyDescent="0.2"/>
  <cols>
    <col min="1" max="1" width="7.5703125" style="170" customWidth="1"/>
    <col min="2" max="2" width="7.7109375" style="170" bestFit="1" customWidth="1"/>
    <col min="3" max="3" width="39.28515625" style="170" customWidth="1"/>
    <col min="4" max="4" width="10" style="170" bestFit="1" customWidth="1"/>
    <col min="5" max="5" width="9.42578125" style="170" bestFit="1" customWidth="1"/>
    <col min="6" max="6" width="11.7109375" style="434" customWidth="1"/>
    <col min="7" max="7" width="8.7109375" style="321" bestFit="1" customWidth="1"/>
    <col min="8" max="8" width="10.28515625" style="250" bestFit="1" customWidth="1"/>
    <col min="9" max="16384" width="8.42578125" style="170"/>
  </cols>
  <sheetData>
    <row r="1" spans="2:8" ht="36" customHeight="1" thickBot="1" x14ac:dyDescent="0.35">
      <c r="B1" s="600"/>
      <c r="C1" s="601"/>
      <c r="D1" s="601"/>
      <c r="E1" s="601"/>
      <c r="F1" s="601"/>
      <c r="G1" s="601"/>
      <c r="H1" s="602"/>
    </row>
    <row r="2" spans="2:8" ht="19.5" customHeight="1" thickBot="1" x14ac:dyDescent="0.25">
      <c r="B2" s="603" t="s">
        <v>153</v>
      </c>
      <c r="C2" s="603"/>
      <c r="D2" s="603"/>
      <c r="E2" s="603"/>
      <c r="F2" s="603"/>
      <c r="G2" s="603"/>
      <c r="H2" s="603"/>
    </row>
    <row r="3" spans="2:8" ht="19.5" customHeight="1" thickTop="1" x14ac:dyDescent="0.2">
      <c r="B3" s="607" t="s">
        <v>244</v>
      </c>
      <c r="C3" s="607"/>
      <c r="D3" s="607"/>
      <c r="E3" s="607"/>
      <c r="F3" s="607"/>
      <c r="G3" s="607"/>
      <c r="H3" s="607"/>
    </row>
    <row r="4" spans="2:8" ht="19.5" customHeight="1" x14ac:dyDescent="0.2">
      <c r="B4" s="409"/>
      <c r="C4" s="409"/>
      <c r="D4" s="409"/>
      <c r="E4" s="409"/>
      <c r="F4" s="608" t="s">
        <v>91</v>
      </c>
      <c r="G4" s="608"/>
      <c r="H4" s="86"/>
    </row>
    <row r="5" spans="2:8" ht="30" customHeight="1" x14ac:dyDescent="0.2">
      <c r="B5" s="174" t="s">
        <v>123</v>
      </c>
      <c r="C5" s="174" t="s">
        <v>93</v>
      </c>
      <c r="D5" s="174" t="s">
        <v>123</v>
      </c>
      <c r="E5" s="175" t="s">
        <v>155</v>
      </c>
      <c r="F5" s="175" t="s">
        <v>156</v>
      </c>
      <c r="G5" s="175" t="s">
        <v>157</v>
      </c>
      <c r="H5" s="175" t="s">
        <v>158</v>
      </c>
    </row>
    <row r="6" spans="2:8" s="192" customFormat="1" ht="20.100000000000001" customHeight="1" x14ac:dyDescent="0.2">
      <c r="B6" s="191">
        <v>1</v>
      </c>
      <c r="C6" s="192" t="s">
        <v>210</v>
      </c>
      <c r="D6" s="193">
        <f>+B6</f>
        <v>1</v>
      </c>
      <c r="E6" s="193">
        <f>+'COSTO ENSAM IND'!H58</f>
        <v>2669.8226892578177</v>
      </c>
      <c r="F6" s="410">
        <f>+D6*E6</f>
        <v>2669.8226892578177</v>
      </c>
      <c r="G6" s="411">
        <f>+F6/$F$23</f>
        <v>0.60600661164831782</v>
      </c>
      <c r="H6" s="196" t="s">
        <v>159</v>
      </c>
    </row>
    <row r="7" spans="2:8" s="192" customFormat="1" ht="20.100000000000001" customHeight="1" x14ac:dyDescent="0.2">
      <c r="B7" s="191"/>
      <c r="D7" s="193"/>
      <c r="E7" s="193"/>
      <c r="F7" s="410"/>
      <c r="G7" s="411"/>
      <c r="H7" s="196"/>
    </row>
    <row r="8" spans="2:8" ht="30" customHeight="1" x14ac:dyDescent="0.2">
      <c r="B8" s="174" t="s">
        <v>123</v>
      </c>
      <c r="C8" s="174" t="s">
        <v>25</v>
      </c>
      <c r="D8" s="174" t="s">
        <v>123</v>
      </c>
      <c r="E8" s="175" t="s">
        <v>155</v>
      </c>
      <c r="F8" s="175" t="s">
        <v>156</v>
      </c>
      <c r="G8" s="175" t="s">
        <v>157</v>
      </c>
      <c r="H8" s="175" t="s">
        <v>158</v>
      </c>
    </row>
    <row r="9" spans="2:8" s="192" customFormat="1" ht="20.100000000000001" customHeight="1" x14ac:dyDescent="0.2">
      <c r="B9" s="191">
        <v>1</v>
      </c>
      <c r="C9" s="192" t="s">
        <v>160</v>
      </c>
      <c r="D9" s="193">
        <f>+B9</f>
        <v>1</v>
      </c>
      <c r="E9" s="193">
        <f>+'COSTO ENSAM IND'!H59</f>
        <v>399.84816129785963</v>
      </c>
      <c r="F9" s="410">
        <f>+D9*E9</f>
        <v>399.84816129785963</v>
      </c>
      <c r="G9" s="411">
        <f>+F9/$F$23</f>
        <v>9.0759071895252244E-2</v>
      </c>
      <c r="H9" s="196" t="s">
        <v>161</v>
      </c>
    </row>
    <row r="10" spans="2:8" s="190" customFormat="1" ht="17.25" customHeight="1" x14ac:dyDescent="0.2">
      <c r="B10" s="412"/>
      <c r="C10" s="198"/>
      <c r="D10" s="413"/>
      <c r="E10" s="413"/>
      <c r="F10" s="414"/>
      <c r="G10" s="415"/>
      <c r="H10" s="416"/>
    </row>
    <row r="11" spans="2:8" s="190" customFormat="1" ht="12" x14ac:dyDescent="0.2">
      <c r="B11" s="191"/>
      <c r="C11" s="455" t="s">
        <v>170</v>
      </c>
      <c r="D11" s="455"/>
      <c r="E11" s="193"/>
      <c r="F11" s="112">
        <f>SUM(F6)</f>
        <v>2669.8226892578177</v>
      </c>
      <c r="G11" s="417">
        <f>+F11/$F$23</f>
        <v>0.60600661164831782</v>
      </c>
      <c r="H11" s="196"/>
    </row>
    <row r="12" spans="2:8" s="190" customFormat="1" ht="12.75" thickBot="1" x14ac:dyDescent="0.25">
      <c r="B12" s="191"/>
      <c r="C12" s="455" t="s">
        <v>171</v>
      </c>
      <c r="D12" s="455"/>
      <c r="E12" s="193"/>
      <c r="F12" s="220">
        <f>SUM(F9)</f>
        <v>399.84816129785963</v>
      </c>
      <c r="G12" s="417">
        <f>+F12/$F$23</f>
        <v>9.0759071895252244E-2</v>
      </c>
      <c r="H12" s="196"/>
    </row>
    <row r="13" spans="2:8" s="190" customFormat="1" ht="12.75" thickTop="1" x14ac:dyDescent="0.2">
      <c r="B13" s="191"/>
      <c r="C13" s="459" t="s">
        <v>106</v>
      </c>
      <c r="D13" s="459"/>
      <c r="E13" s="459"/>
      <c r="F13" s="124">
        <f>SUM(F11:F12)</f>
        <v>3069.6708505556771</v>
      </c>
      <c r="G13" s="417">
        <f>+F13/$F$23</f>
        <v>0.69676568354356994</v>
      </c>
      <c r="H13" s="196"/>
    </row>
    <row r="14" spans="2:8" s="190" customFormat="1" ht="12" x14ac:dyDescent="0.2">
      <c r="C14" s="120"/>
      <c r="D14" s="120"/>
      <c r="E14" s="221"/>
      <c r="F14" s="222"/>
      <c r="G14" s="417"/>
    </row>
    <row r="15" spans="2:8" s="190" customFormat="1" ht="12" x14ac:dyDescent="0.2">
      <c r="B15" s="455" t="s">
        <v>106</v>
      </c>
      <c r="C15" s="455"/>
      <c r="D15" s="455"/>
      <c r="E15" s="418" t="s">
        <v>172</v>
      </c>
      <c r="F15" s="112">
        <f>+F13</f>
        <v>3069.6708505556771</v>
      </c>
      <c r="G15" s="417">
        <f t="shared" ref="G15:G23" si="0">+F15/$F$23</f>
        <v>0.69676568354356994</v>
      </c>
      <c r="H15" s="199"/>
    </row>
    <row r="16" spans="2:8" s="190" customFormat="1" ht="12.75" customHeight="1" thickBot="1" x14ac:dyDescent="0.25">
      <c r="B16" s="115"/>
      <c r="C16" s="455" t="s">
        <v>108</v>
      </c>
      <c r="D16" s="455"/>
      <c r="E16" s="419"/>
      <c r="F16" s="112">
        <f>+'COSTO ENSAM IND'!O60</f>
        <v>508.47</v>
      </c>
      <c r="G16" s="417">
        <f t="shared" si="0"/>
        <v>0.11541447417636515</v>
      </c>
      <c r="H16" s="199"/>
    </row>
    <row r="17" spans="1:37" s="190" customFormat="1" ht="12.75" hidden="1" customHeight="1" x14ac:dyDescent="0.2">
      <c r="B17" s="115"/>
      <c r="C17" s="455" t="s">
        <v>173</v>
      </c>
      <c r="D17" s="455"/>
      <c r="E17" s="225">
        <v>0</v>
      </c>
      <c r="F17" s="112">
        <f>+(F15+F16)*E17</f>
        <v>0</v>
      </c>
      <c r="G17" s="417">
        <f t="shared" si="0"/>
        <v>0</v>
      </c>
      <c r="H17" s="199"/>
    </row>
    <row r="18" spans="1:37" s="190" customFormat="1" ht="12.75" hidden="1" thickBot="1" x14ac:dyDescent="0.25">
      <c r="B18" s="115"/>
      <c r="C18" s="455" t="s">
        <v>174</v>
      </c>
      <c r="D18" s="455"/>
      <c r="E18" s="225">
        <v>0</v>
      </c>
      <c r="F18" s="112">
        <f>+F16*E18</f>
        <v>0</v>
      </c>
      <c r="G18" s="417">
        <f t="shared" si="0"/>
        <v>0</v>
      </c>
      <c r="H18" s="199"/>
    </row>
    <row r="19" spans="1:37" s="190" customFormat="1" ht="12.75" thickBot="1" x14ac:dyDescent="0.25">
      <c r="B19" s="120"/>
      <c r="C19" s="609"/>
      <c r="D19" s="609"/>
      <c r="E19" s="610"/>
      <c r="F19" s="123">
        <f>SUM(F15:F18)</f>
        <v>3578.1408505556774</v>
      </c>
      <c r="G19" s="420">
        <f>+F19/$F$21</f>
        <v>0.89339817349192874</v>
      </c>
      <c r="H19" s="199"/>
    </row>
    <row r="20" spans="1:37" s="190" customFormat="1" ht="12" x14ac:dyDescent="0.2">
      <c r="B20" s="120"/>
      <c r="C20" s="455" t="s">
        <v>188</v>
      </c>
      <c r="D20" s="455"/>
      <c r="E20" s="315"/>
      <c r="F20" s="112">
        <f>+'COSTO ENSAM IND'!O63</f>
        <v>426.95</v>
      </c>
      <c r="G20" s="417">
        <f t="shared" si="0"/>
        <v>9.6910751370973894E-2</v>
      </c>
      <c r="H20" s="199"/>
    </row>
    <row r="21" spans="1:37" s="190" customFormat="1" ht="12" x14ac:dyDescent="0.2">
      <c r="B21" s="120"/>
      <c r="C21" s="455" t="s">
        <v>111</v>
      </c>
      <c r="D21" s="455"/>
      <c r="E21" s="455"/>
      <c r="F21" s="112">
        <f>SUM(F19:F20)</f>
        <v>4005.0908505556772</v>
      </c>
      <c r="G21" s="417">
        <f t="shared" si="0"/>
        <v>0.90909090909090906</v>
      </c>
      <c r="H21" s="199"/>
    </row>
    <row r="22" spans="1:37" s="190" customFormat="1" ht="12.75" thickBot="1" x14ac:dyDescent="0.25">
      <c r="B22" s="120"/>
      <c r="C22" s="455" t="s">
        <v>254</v>
      </c>
      <c r="D22" s="455"/>
      <c r="E22" s="315">
        <v>0.1</v>
      </c>
      <c r="F22" s="112">
        <f>+F21*E22</f>
        <v>400.50908505556777</v>
      </c>
      <c r="G22" s="417">
        <f t="shared" si="0"/>
        <v>9.0909090909090912E-2</v>
      </c>
      <c r="H22" s="199"/>
    </row>
    <row r="23" spans="1:37" s="190" customFormat="1" ht="12.75" thickBot="1" x14ac:dyDescent="0.25">
      <c r="B23" s="120"/>
      <c r="C23" s="459" t="s">
        <v>118</v>
      </c>
      <c r="D23" s="459"/>
      <c r="E23" s="460"/>
      <c r="F23" s="123">
        <f>SUM(F21:F22)</f>
        <v>4405.5999356112452</v>
      </c>
      <c r="G23" s="417">
        <f t="shared" si="0"/>
        <v>1</v>
      </c>
      <c r="H23" s="228"/>
    </row>
    <row r="24" spans="1:37" s="190" customFormat="1" ht="12.75" thickBot="1" x14ac:dyDescent="0.25">
      <c r="B24" s="120"/>
      <c r="C24" s="229"/>
      <c r="D24" s="229"/>
      <c r="E24" s="229"/>
      <c r="F24" s="124"/>
      <c r="G24" s="421"/>
      <c r="H24" s="228"/>
    </row>
    <row r="25" spans="1:37" s="346" customFormat="1" ht="19.5" customHeight="1" thickBot="1" x14ac:dyDescent="0.25">
      <c r="A25" s="611"/>
      <c r="B25" s="612"/>
      <c r="C25" s="612"/>
      <c r="D25" s="612"/>
      <c r="E25" s="612"/>
      <c r="F25" s="612"/>
      <c r="G25" s="612"/>
      <c r="H25" s="612"/>
      <c r="I25" s="190"/>
      <c r="J25" s="190"/>
      <c r="K25" s="190"/>
      <c r="L25" s="190"/>
      <c r="M25" s="190"/>
      <c r="N25" s="190"/>
      <c r="O25" s="190"/>
      <c r="P25" s="190"/>
      <c r="Q25" s="190"/>
      <c r="R25" s="190"/>
      <c r="S25" s="190"/>
      <c r="T25" s="190"/>
      <c r="U25" s="190"/>
      <c r="V25" s="190"/>
      <c r="W25" s="190"/>
      <c r="X25" s="190"/>
      <c r="Y25" s="190"/>
      <c r="Z25" s="190"/>
      <c r="AA25" s="190"/>
      <c r="AB25" s="190"/>
      <c r="AC25" s="190"/>
      <c r="AD25" s="190"/>
      <c r="AE25" s="190"/>
      <c r="AF25" s="190"/>
      <c r="AG25" s="190"/>
      <c r="AH25" s="190"/>
      <c r="AI25" s="190"/>
      <c r="AJ25" s="190"/>
      <c r="AK25" s="190"/>
    </row>
    <row r="26" spans="1:37" s="190" customFormat="1" ht="19.5" customHeight="1" thickBot="1" x14ac:dyDescent="0.25">
      <c r="F26" s="422"/>
      <c r="G26" s="423"/>
      <c r="H26" s="199"/>
    </row>
    <row r="27" spans="1:37" s="190" customFormat="1" ht="13.5" customHeight="1" thickBot="1" x14ac:dyDescent="0.25">
      <c r="B27" s="120"/>
      <c r="C27" s="459" t="s">
        <v>118</v>
      </c>
      <c r="D27" s="459"/>
      <c r="E27" s="460"/>
      <c r="F27" s="123">
        <f>+F23</f>
        <v>4405.5999356112452</v>
      </c>
      <c r="H27" s="199"/>
    </row>
    <row r="28" spans="1:37" s="190" customFormat="1" ht="13.5" customHeight="1" x14ac:dyDescent="0.2">
      <c r="B28" s="120"/>
      <c r="C28" s="614" t="s">
        <v>245</v>
      </c>
      <c r="D28" s="614" t="s">
        <v>246</v>
      </c>
      <c r="E28" s="315">
        <v>0.1</v>
      </c>
      <c r="F28" s="424">
        <f>+F27*E28</f>
        <v>440.55999356112454</v>
      </c>
      <c r="G28" s="425" t="s">
        <v>247</v>
      </c>
      <c r="H28" s="199" t="s">
        <v>248</v>
      </c>
    </row>
    <row r="29" spans="1:37" s="190" customFormat="1" ht="13.5" customHeight="1" x14ac:dyDescent="0.2">
      <c r="B29" s="120"/>
      <c r="C29" s="617" t="s">
        <v>249</v>
      </c>
      <c r="D29" s="617"/>
      <c r="E29" s="617"/>
      <c r="F29" s="424">
        <f>SUM(F27:F28)</f>
        <v>4846.1599291723696</v>
      </c>
      <c r="G29" s="425">
        <f>+F29/$F$31</f>
        <v>0.8</v>
      </c>
      <c r="H29" s="426">
        <f>1-(F29/F31)</f>
        <v>0.19999999999999996</v>
      </c>
    </row>
    <row r="30" spans="1:37" s="190" customFormat="1" ht="12" x14ac:dyDescent="0.2">
      <c r="B30" s="198"/>
      <c r="C30" s="614" t="s">
        <v>178</v>
      </c>
      <c r="D30" s="614"/>
      <c r="E30" s="315">
        <v>0.25</v>
      </c>
      <c r="F30" s="112">
        <f>+F29*E30</f>
        <v>1211.5399822930924</v>
      </c>
      <c r="G30" s="421"/>
      <c r="H30" s="241"/>
    </row>
    <row r="31" spans="1:37" s="190" customFormat="1" ht="12.75" thickBot="1" x14ac:dyDescent="0.25">
      <c r="B31" s="198"/>
      <c r="C31" s="618" t="s">
        <v>179</v>
      </c>
      <c r="D31" s="618"/>
      <c r="E31" s="435"/>
      <c r="F31" s="436">
        <f>SUM(F29:F30)</f>
        <v>6057.6999114654618</v>
      </c>
      <c r="G31" s="421"/>
      <c r="H31" s="228"/>
    </row>
    <row r="32" spans="1:37" s="190" customFormat="1" ht="12.75" thickBot="1" x14ac:dyDescent="0.25">
      <c r="B32" s="198"/>
      <c r="C32" s="619" t="s">
        <v>180</v>
      </c>
      <c r="D32" s="619"/>
      <c r="E32" s="427">
        <v>0.13</v>
      </c>
      <c r="F32" s="428">
        <f>+F31*(1+E32)</f>
        <v>6845.2008999559712</v>
      </c>
      <c r="G32" s="421"/>
      <c r="H32" s="228"/>
    </row>
    <row r="33" spans="1:37" s="190" customFormat="1" ht="12.75" thickBot="1" x14ac:dyDescent="0.25">
      <c r="A33" s="611"/>
      <c r="B33" s="612"/>
      <c r="C33" s="612"/>
      <c r="D33" s="612"/>
      <c r="E33" s="612"/>
      <c r="F33" s="612"/>
      <c r="G33" s="612"/>
      <c r="H33" s="612"/>
    </row>
    <row r="34" spans="1:37" s="190" customFormat="1" ht="12" x14ac:dyDescent="0.2">
      <c r="B34" s="198"/>
      <c r="C34" s="613" t="s">
        <v>250</v>
      </c>
      <c r="D34" s="613"/>
      <c r="E34" s="429">
        <v>0.65</v>
      </c>
      <c r="F34" s="430">
        <f>+F31/0.65</f>
        <v>9319.5383253314794</v>
      </c>
      <c r="G34" s="421"/>
      <c r="H34" s="228"/>
    </row>
    <row r="35" spans="1:37" s="190" customFormat="1" ht="12" x14ac:dyDescent="0.2">
      <c r="B35" s="198"/>
      <c r="C35" s="614" t="s">
        <v>251</v>
      </c>
      <c r="D35" s="614"/>
      <c r="E35" s="429">
        <v>0.13</v>
      </c>
      <c r="F35" s="430">
        <f>+F34*1.13</f>
        <v>10531.078307624572</v>
      </c>
      <c r="G35" s="421"/>
      <c r="H35" s="228"/>
    </row>
    <row r="36" spans="1:37" s="190" customFormat="1" ht="12.75" thickBot="1" x14ac:dyDescent="0.25">
      <c r="C36" s="522"/>
      <c r="D36" s="522"/>
      <c r="F36" s="431"/>
      <c r="G36" s="432"/>
      <c r="H36" s="199"/>
    </row>
    <row r="37" spans="1:37" s="346" customFormat="1" ht="19.5" customHeight="1" thickBot="1" x14ac:dyDescent="0.3">
      <c r="A37" s="615" t="s">
        <v>252</v>
      </c>
      <c r="B37" s="616"/>
      <c r="C37" s="616"/>
      <c r="D37" s="616"/>
      <c r="E37" s="616"/>
      <c r="F37" s="616"/>
      <c r="G37" s="616"/>
      <c r="H37" s="616"/>
      <c r="I37" s="190"/>
      <c r="J37" s="190"/>
      <c r="K37" s="190"/>
      <c r="L37" s="190"/>
      <c r="M37" s="190"/>
      <c r="N37" s="190"/>
      <c r="O37" s="190"/>
      <c r="P37" s="190"/>
      <c r="Q37" s="190"/>
      <c r="R37" s="190"/>
      <c r="S37" s="190"/>
      <c r="T37" s="190"/>
      <c r="U37" s="190"/>
      <c r="V37" s="190"/>
      <c r="W37" s="190"/>
      <c r="X37" s="190"/>
      <c r="Y37" s="190"/>
      <c r="Z37" s="190"/>
      <c r="AA37" s="190"/>
      <c r="AB37" s="190"/>
      <c r="AC37" s="190"/>
      <c r="AD37" s="190"/>
      <c r="AE37" s="190"/>
      <c r="AF37" s="190"/>
      <c r="AG37" s="190"/>
      <c r="AH37" s="190"/>
      <c r="AI37" s="190"/>
      <c r="AJ37" s="190"/>
      <c r="AK37" s="190"/>
    </row>
    <row r="38" spans="1:37" s="190" customFormat="1" ht="12" x14ac:dyDescent="0.2">
      <c r="F38" s="433"/>
      <c r="G38" s="432"/>
      <c r="H38" s="199"/>
    </row>
    <row r="43" spans="1:37" ht="12" x14ac:dyDescent="0.2">
      <c r="H43" s="414"/>
    </row>
  </sheetData>
  <mergeCells count="28">
    <mergeCell ref="C36:D36"/>
    <mergeCell ref="A37:H37"/>
    <mergeCell ref="C28:D28"/>
    <mergeCell ref="C29:E29"/>
    <mergeCell ref="C30:D30"/>
    <mergeCell ref="C31:D31"/>
    <mergeCell ref="C32:D32"/>
    <mergeCell ref="A33:H33"/>
    <mergeCell ref="C23:E23"/>
    <mergeCell ref="A25:H25"/>
    <mergeCell ref="C27:E27"/>
    <mergeCell ref="C34:D34"/>
    <mergeCell ref="C35:D35"/>
    <mergeCell ref="C18:D18"/>
    <mergeCell ref="C19:E19"/>
    <mergeCell ref="C20:D20"/>
    <mergeCell ref="C21:E21"/>
    <mergeCell ref="C22:D22"/>
    <mergeCell ref="C12:D12"/>
    <mergeCell ref="C13:E13"/>
    <mergeCell ref="B15:D15"/>
    <mergeCell ref="C16:D16"/>
    <mergeCell ref="C17:D17"/>
    <mergeCell ref="B1:H1"/>
    <mergeCell ref="B2:H2"/>
    <mergeCell ref="B3:H3"/>
    <mergeCell ref="F4:G4"/>
    <mergeCell ref="C11:D1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4D98D-A149-49AF-8E75-1AAC2F0273CC}">
  <dimension ref="A1:AF40"/>
  <sheetViews>
    <sheetView topLeftCell="A10" workbookViewId="0">
      <selection activeCell="F27" sqref="F27"/>
    </sheetView>
  </sheetViews>
  <sheetFormatPr baseColWidth="10" defaultColWidth="8.42578125" defaultRowHeight="11.25" x14ac:dyDescent="0.2"/>
  <cols>
    <col min="1" max="1" width="5" style="170" customWidth="1"/>
    <col min="2" max="2" width="7.7109375" style="170" bestFit="1" customWidth="1"/>
    <col min="3" max="3" width="39.28515625" style="170" customWidth="1"/>
    <col min="4" max="4" width="10" style="170" bestFit="1" customWidth="1"/>
    <col min="5" max="5" width="10.28515625" style="170" bestFit="1" customWidth="1"/>
    <col min="6" max="6" width="11.5703125" style="248" customWidth="1"/>
    <col min="7" max="7" width="10.42578125" style="249" bestFit="1" customWidth="1"/>
    <col min="8" max="8" width="10.7109375" style="250" bestFit="1" customWidth="1"/>
    <col min="9" max="9" width="6.7109375" style="171" bestFit="1" customWidth="1"/>
    <col min="10" max="16384" width="8.42578125" style="170"/>
  </cols>
  <sheetData>
    <row r="1" spans="1:9" ht="36" customHeight="1" thickBot="1" x14ac:dyDescent="0.35">
      <c r="B1" s="600"/>
      <c r="C1" s="601"/>
      <c r="D1" s="601"/>
      <c r="E1" s="601"/>
      <c r="F1" s="601"/>
      <c r="G1" s="601"/>
      <c r="H1" s="602"/>
    </row>
    <row r="2" spans="1:9" ht="19.5" customHeight="1" x14ac:dyDescent="0.2">
      <c r="B2" s="622" t="s">
        <v>153</v>
      </c>
      <c r="C2" s="622"/>
      <c r="D2" s="622"/>
      <c r="E2" s="622"/>
      <c r="F2" s="622"/>
      <c r="G2" s="622"/>
      <c r="H2" s="622"/>
    </row>
    <row r="3" spans="1:9" ht="19.5" customHeight="1" thickBot="1" x14ac:dyDescent="0.25">
      <c r="B3" s="623" t="s">
        <v>154</v>
      </c>
      <c r="C3" s="623"/>
      <c r="D3" s="623"/>
      <c r="E3" s="623"/>
      <c r="F3" s="623"/>
      <c r="G3" s="623"/>
      <c r="H3" s="623"/>
    </row>
    <row r="4" spans="1:9" ht="19.5" customHeight="1" thickTop="1" x14ac:dyDescent="0.2">
      <c r="B4" s="172"/>
      <c r="C4" s="172"/>
      <c r="D4" s="172"/>
      <c r="E4" s="172"/>
      <c r="F4" s="624" t="s">
        <v>91</v>
      </c>
      <c r="G4" s="624"/>
      <c r="H4" s="173"/>
    </row>
    <row r="5" spans="1:9" ht="30" customHeight="1" x14ac:dyDescent="0.2">
      <c r="B5" s="174" t="s">
        <v>123</v>
      </c>
      <c r="C5" s="174" t="s">
        <v>93</v>
      </c>
      <c r="D5" s="174" t="s">
        <v>123</v>
      </c>
      <c r="E5" s="175" t="s">
        <v>155</v>
      </c>
      <c r="F5" s="175" t="s">
        <v>156</v>
      </c>
      <c r="G5" s="175" t="s">
        <v>157</v>
      </c>
      <c r="H5" s="175" t="s">
        <v>158</v>
      </c>
    </row>
    <row r="6" spans="1:9" s="176" customFormat="1" ht="12" x14ac:dyDescent="0.2">
      <c r="B6" s="177">
        <v>1</v>
      </c>
      <c r="C6" s="178"/>
      <c r="D6" s="179">
        <f>+B6</f>
        <v>1</v>
      </c>
      <c r="E6" s="180"/>
      <c r="F6" s="180">
        <f>+'COSTEO ENSAMBLE'!H58</f>
        <v>2227.3038333149607</v>
      </c>
      <c r="G6" s="181">
        <f>+F6/$F$27</f>
        <v>0.50874916247486535</v>
      </c>
      <c r="H6" s="182" t="s">
        <v>159</v>
      </c>
    </row>
    <row r="7" spans="1:9" ht="17.25" customHeight="1" x14ac:dyDescent="0.2">
      <c r="B7" s="183"/>
      <c r="C7" s="184"/>
      <c r="D7" s="185"/>
      <c r="E7" s="185"/>
      <c r="F7" s="186"/>
      <c r="G7" s="187"/>
      <c r="H7" s="188"/>
    </row>
    <row r="8" spans="1:9" ht="21.75" x14ac:dyDescent="0.2">
      <c r="B8" s="174" t="s">
        <v>123</v>
      </c>
      <c r="C8" s="174" t="s">
        <v>25</v>
      </c>
      <c r="D8" s="174" t="s">
        <v>123</v>
      </c>
      <c r="E8" s="175" t="s">
        <v>155</v>
      </c>
      <c r="F8" s="175" t="s">
        <v>156</v>
      </c>
      <c r="G8" s="175" t="s">
        <v>157</v>
      </c>
      <c r="H8" s="175" t="s">
        <v>158</v>
      </c>
      <c r="I8" s="189"/>
    </row>
    <row r="9" spans="1:9" ht="20.100000000000001" customHeight="1" x14ac:dyDescent="0.2">
      <c r="A9" s="190"/>
      <c r="B9" s="191">
        <v>1</v>
      </c>
      <c r="C9" s="192" t="s">
        <v>160</v>
      </c>
      <c r="D9" s="193">
        <f>+B9</f>
        <v>1</v>
      </c>
      <c r="E9" s="193"/>
      <c r="F9" s="194">
        <f>+'COSTEO ENSAMBLE'!H59</f>
        <v>393.79409614585961</v>
      </c>
      <c r="G9" s="195">
        <f>+F9/$F$27</f>
        <v>8.994840021604833E-2</v>
      </c>
      <c r="H9" s="196" t="s">
        <v>161</v>
      </c>
      <c r="I9" s="197"/>
    </row>
    <row r="10" spans="1:9" s="206" customFormat="1" ht="20.100000000000001" customHeight="1" x14ac:dyDescent="0.2">
      <c r="A10" s="198"/>
      <c r="B10" s="199">
        <v>1</v>
      </c>
      <c r="C10" s="200" t="s">
        <v>162</v>
      </c>
      <c r="D10" s="201">
        <f>SUM(D11:D13)</f>
        <v>3</v>
      </c>
      <c r="E10" s="201">
        <f>SUM(E11:E13)</f>
        <v>32.038760293400102</v>
      </c>
      <c r="F10" s="202">
        <f>SUM(F11:F13)</f>
        <v>19.855640771700052</v>
      </c>
      <c r="G10" s="203">
        <f>+F10/$F$36</f>
        <v>1.7325759216843374E-3</v>
      </c>
      <c r="H10" s="204" t="s">
        <v>163</v>
      </c>
      <c r="I10" s="205"/>
    </row>
    <row r="11" spans="1:9" s="176" customFormat="1" ht="12" x14ac:dyDescent="0.2">
      <c r="B11" s="207">
        <v>0.5</v>
      </c>
      <c r="C11" s="208" t="s">
        <v>164</v>
      </c>
      <c r="D11" s="209">
        <f>+B11</f>
        <v>0.5</v>
      </c>
      <c r="E11" s="210">
        <v>18.181818181818183</v>
      </c>
      <c r="F11" s="210">
        <f>+E11*D11</f>
        <v>9.0909090909090917</v>
      </c>
      <c r="G11" s="211">
        <f>+F11/$F$36</f>
        <v>7.9326023160025965E-4</v>
      </c>
      <c r="H11" s="212" t="s">
        <v>165</v>
      </c>
    </row>
    <row r="12" spans="1:9" s="176" customFormat="1" ht="12" x14ac:dyDescent="0.2">
      <c r="B12" s="207">
        <v>0.5</v>
      </c>
      <c r="C12" s="208" t="s">
        <v>166</v>
      </c>
      <c r="D12" s="209">
        <f>+B12</f>
        <v>0.5</v>
      </c>
      <c r="E12" s="210">
        <v>11.299435028248588</v>
      </c>
      <c r="F12" s="210">
        <f>+E12*D12</f>
        <v>5.6497175141242941</v>
      </c>
      <c r="G12" s="211">
        <f>+F12/$F$36</f>
        <v>4.929865846103309E-4</v>
      </c>
      <c r="H12" s="212" t="s">
        <v>167</v>
      </c>
    </row>
    <row r="13" spans="1:9" s="176" customFormat="1" ht="12" x14ac:dyDescent="0.2">
      <c r="B13" s="207">
        <v>2</v>
      </c>
      <c r="C13" s="208" t="s">
        <v>168</v>
      </c>
      <c r="D13" s="209">
        <f>+B13</f>
        <v>2</v>
      </c>
      <c r="E13" s="210">
        <v>2.5575070833333333</v>
      </c>
      <c r="F13" s="210">
        <f>+E13*D13</f>
        <v>5.1150141666666666</v>
      </c>
      <c r="G13" s="211">
        <f>+F13/$F$36</f>
        <v>4.4632910547374701E-4</v>
      </c>
      <c r="H13" s="212" t="s">
        <v>169</v>
      </c>
    </row>
    <row r="14" spans="1:9" ht="12" x14ac:dyDescent="0.2">
      <c r="A14" s="190"/>
      <c r="B14" s="213"/>
      <c r="C14" s="214"/>
      <c r="D14" s="215"/>
      <c r="E14" s="215"/>
      <c r="F14" s="216"/>
      <c r="G14" s="217"/>
      <c r="H14" s="218"/>
      <c r="I14" s="219"/>
    </row>
    <row r="15" spans="1:9" ht="12" x14ac:dyDescent="0.2">
      <c r="A15" s="190"/>
      <c r="B15" s="191"/>
      <c r="C15" s="455" t="s">
        <v>170</v>
      </c>
      <c r="D15" s="455"/>
      <c r="E15" s="193"/>
      <c r="F15" s="112">
        <f>SUM(F6)</f>
        <v>2227.3038333149607</v>
      </c>
      <c r="G15" s="181">
        <f>+F15/$F$27</f>
        <v>0.50874916247486535</v>
      </c>
      <c r="H15" s="196"/>
      <c r="I15" s="219"/>
    </row>
    <row r="16" spans="1:9" ht="12.75" thickBot="1" x14ac:dyDescent="0.25">
      <c r="A16" s="190"/>
      <c r="B16" s="191"/>
      <c r="C16" s="455" t="s">
        <v>171</v>
      </c>
      <c r="D16" s="455"/>
      <c r="E16" s="193"/>
      <c r="F16" s="220">
        <f>SUM(F9)</f>
        <v>393.79409614585961</v>
      </c>
      <c r="G16" s="181">
        <f>+F16/$F$27</f>
        <v>8.994840021604833E-2</v>
      </c>
      <c r="H16" s="196"/>
      <c r="I16" s="219"/>
    </row>
    <row r="17" spans="1:32" ht="12.75" thickTop="1" x14ac:dyDescent="0.2">
      <c r="A17" s="190"/>
      <c r="B17" s="191"/>
      <c r="C17" s="459" t="s">
        <v>106</v>
      </c>
      <c r="D17" s="459"/>
      <c r="E17" s="459"/>
      <c r="F17" s="124">
        <f>SUM(F15:F16)</f>
        <v>2621.0979294608205</v>
      </c>
      <c r="G17" s="181">
        <f>+F17/$F$27</f>
        <v>0.59869756269091379</v>
      </c>
      <c r="H17" s="196"/>
      <c r="I17" s="170"/>
    </row>
    <row r="18" spans="1:32" ht="12" x14ac:dyDescent="0.2">
      <c r="A18" s="190"/>
      <c r="B18" s="190"/>
      <c r="C18" s="120"/>
      <c r="D18" s="120"/>
      <c r="E18" s="221"/>
      <c r="F18" s="222"/>
      <c r="G18" s="181"/>
      <c r="H18" s="190"/>
      <c r="I18" s="219"/>
    </row>
    <row r="19" spans="1:32" ht="12" x14ac:dyDescent="0.2">
      <c r="A19" s="190"/>
      <c r="B19" s="455" t="s">
        <v>106</v>
      </c>
      <c r="C19" s="455"/>
      <c r="D19" s="455"/>
      <c r="E19" s="223" t="s">
        <v>172</v>
      </c>
      <c r="F19" s="112">
        <f>+F17</f>
        <v>2621.0979294608205</v>
      </c>
      <c r="G19" s="181">
        <f t="shared" ref="G19:G27" si="0">+F19/$F$27</f>
        <v>0.59869756269091379</v>
      </c>
      <c r="H19" s="199"/>
      <c r="I19" s="219"/>
    </row>
    <row r="20" spans="1:32" ht="12" x14ac:dyDescent="0.2">
      <c r="A20" s="190"/>
      <c r="B20" s="115"/>
      <c r="C20" s="455" t="s">
        <v>108</v>
      </c>
      <c r="D20" s="455"/>
      <c r="E20" s="224"/>
      <c r="F20" s="112">
        <f>+'COSTEO ENSAMBLE'!O60</f>
        <v>508.47</v>
      </c>
      <c r="G20" s="181">
        <f t="shared" si="0"/>
        <v>0.11614207400639562</v>
      </c>
      <c r="H20" s="199"/>
      <c r="I20" s="219"/>
    </row>
    <row r="21" spans="1:32" ht="12.75" thickBot="1" x14ac:dyDescent="0.25">
      <c r="A21" s="190"/>
      <c r="B21" s="115"/>
      <c r="C21" s="455" t="s">
        <v>173</v>
      </c>
      <c r="D21" s="455"/>
      <c r="E21" s="225">
        <v>0.01</v>
      </c>
      <c r="F21" s="112">
        <f>+(F19)*E21</f>
        <v>26.210979294608205</v>
      </c>
      <c r="G21" s="181">
        <f t="shared" si="0"/>
        <v>5.9869756269091377E-3</v>
      </c>
      <c r="H21" s="199"/>
      <c r="I21" s="219"/>
    </row>
    <row r="22" spans="1:32" ht="12.75" hidden="1" thickBot="1" x14ac:dyDescent="0.25">
      <c r="A22" s="190"/>
      <c r="B22" s="115"/>
      <c r="C22" s="455" t="s">
        <v>174</v>
      </c>
      <c r="D22" s="455"/>
      <c r="E22" s="226">
        <v>0</v>
      </c>
      <c r="F22" s="112">
        <f>+F20*E22</f>
        <v>0</v>
      </c>
      <c r="G22" s="181">
        <f t="shared" si="0"/>
        <v>0</v>
      </c>
      <c r="H22" s="199"/>
      <c r="I22" s="219"/>
    </row>
    <row r="23" spans="1:32" ht="12.75" thickBot="1" x14ac:dyDescent="0.25">
      <c r="A23" s="190"/>
      <c r="B23" s="120"/>
      <c r="C23" s="609"/>
      <c r="D23" s="609"/>
      <c r="E23" s="610"/>
      <c r="F23" s="123">
        <f>SUM(F19:F22)</f>
        <v>3155.7789087554288</v>
      </c>
      <c r="G23" s="181">
        <f t="shared" si="0"/>
        <v>0.72082661232421852</v>
      </c>
      <c r="H23" s="199"/>
      <c r="I23" s="219"/>
    </row>
    <row r="24" spans="1:32" ht="12" x14ac:dyDescent="0.2">
      <c r="A24" s="190"/>
      <c r="B24" s="120"/>
      <c r="C24" s="455" t="s">
        <v>113</v>
      </c>
      <c r="D24" s="455"/>
      <c r="E24" s="227"/>
      <c r="F24" s="112">
        <f>+'COSTEO ENSAMBLE'!O63</f>
        <v>426.95</v>
      </c>
      <c r="G24" s="181">
        <f t="shared" si="0"/>
        <v>9.7521699406121515E-2</v>
      </c>
      <c r="H24" s="199"/>
      <c r="I24" s="219"/>
    </row>
    <row r="25" spans="1:32" ht="12" x14ac:dyDescent="0.2">
      <c r="A25" s="190"/>
      <c r="B25" s="120"/>
      <c r="C25" s="455" t="s">
        <v>111</v>
      </c>
      <c r="D25" s="455"/>
      <c r="E25" s="455"/>
      <c r="F25" s="112">
        <f>SUM(F23:F24)</f>
        <v>3582.7289087554286</v>
      </c>
      <c r="G25" s="181">
        <f t="shared" si="0"/>
        <v>0.81834831173034006</v>
      </c>
      <c r="H25" s="199"/>
      <c r="I25" s="219"/>
    </row>
    <row r="26" spans="1:32" ht="12.75" thickBot="1" x14ac:dyDescent="0.25">
      <c r="A26" s="190"/>
      <c r="B26" s="120"/>
      <c r="C26" s="455" t="s">
        <v>116</v>
      </c>
      <c r="D26" s="455"/>
      <c r="E26" s="227"/>
      <c r="F26" s="112">
        <f>+F25*E26</f>
        <v>0</v>
      </c>
      <c r="G26" s="181">
        <f t="shared" si="0"/>
        <v>0</v>
      </c>
      <c r="H26" s="199"/>
      <c r="I26" s="219"/>
    </row>
    <row r="27" spans="1:32" ht="17.25" customHeight="1" thickBot="1" x14ac:dyDescent="0.25">
      <c r="A27" s="190"/>
      <c r="B27" s="120"/>
      <c r="C27" s="459" t="s">
        <v>118</v>
      </c>
      <c r="D27" s="459"/>
      <c r="E27" s="460"/>
      <c r="F27" s="123">
        <v>4378</v>
      </c>
      <c r="G27" s="181">
        <f t="shared" si="0"/>
        <v>1</v>
      </c>
      <c r="H27" s="228"/>
      <c r="I27" s="219"/>
      <c r="J27" s="170">
        <v>3979.99</v>
      </c>
      <c r="L27" s="170" t="s">
        <v>189</v>
      </c>
    </row>
    <row r="28" spans="1:32" ht="12.75" thickBot="1" x14ac:dyDescent="0.25">
      <c r="A28" s="190"/>
      <c r="B28" s="120"/>
      <c r="C28" s="229"/>
      <c r="D28" s="229"/>
      <c r="E28" s="229" t="s">
        <v>175</v>
      </c>
      <c r="F28" s="124"/>
      <c r="G28" s="230"/>
      <c r="H28" s="228"/>
      <c r="I28" s="231"/>
      <c r="J28" s="170">
        <f>+J27*10%</f>
        <v>397.99900000000002</v>
      </c>
    </row>
    <row r="29" spans="1:32" s="232" customFormat="1" ht="19.5" customHeight="1" thickBot="1" x14ac:dyDescent="0.25">
      <c r="A29" s="611"/>
      <c r="B29" s="612"/>
      <c r="C29" s="612"/>
      <c r="D29" s="612"/>
      <c r="E29" s="612"/>
      <c r="F29" s="612"/>
      <c r="G29" s="612"/>
      <c r="H29" s="612"/>
      <c r="I29" s="171"/>
      <c r="J29" s="170">
        <f>+J27+J28</f>
        <v>4377.9889999999996</v>
      </c>
      <c r="K29" s="170"/>
      <c r="L29" s="170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  <c r="AA29" s="170"/>
      <c r="AB29" s="170"/>
      <c r="AC29" s="170"/>
      <c r="AD29" s="170"/>
      <c r="AE29" s="170"/>
      <c r="AF29" s="170"/>
    </row>
    <row r="30" spans="1:32" ht="19.5" customHeight="1" x14ac:dyDescent="0.2">
      <c r="A30" s="190"/>
      <c r="B30" s="190"/>
      <c r="C30" s="233"/>
      <c r="D30" s="233"/>
      <c r="E30" s="233"/>
      <c r="F30" s="234"/>
      <c r="G30" s="235"/>
      <c r="H30" s="199"/>
    </row>
    <row r="31" spans="1:32" ht="12" x14ac:dyDescent="0.2">
      <c r="A31" s="190"/>
      <c r="B31" s="120"/>
      <c r="C31" s="620" t="s">
        <v>118</v>
      </c>
      <c r="D31" s="620"/>
      <c r="E31" s="621"/>
      <c r="F31" s="236">
        <f>+F27</f>
        <v>4378</v>
      </c>
      <c r="G31" s="195">
        <f>+F31/$F$36</f>
        <v>0.382018262334053</v>
      </c>
      <c r="H31" s="228"/>
    </row>
    <row r="32" spans="1:32" ht="13.5" customHeight="1" x14ac:dyDescent="0.2">
      <c r="A32" s="190"/>
      <c r="B32" s="120"/>
      <c r="C32" s="455" t="s">
        <v>25</v>
      </c>
      <c r="D32" s="455"/>
      <c r="E32" s="237" t="s">
        <v>176</v>
      </c>
      <c r="F32" s="238">
        <f>+F10</f>
        <v>19.855640771700052</v>
      </c>
      <c r="G32" s="195">
        <f>+F32/$F$36</f>
        <v>1.7325759216843374E-3</v>
      </c>
      <c r="H32" s="199"/>
    </row>
    <row r="33" spans="1:32" ht="13.5" customHeight="1" thickBot="1" x14ac:dyDescent="0.25">
      <c r="A33" s="190"/>
      <c r="B33" s="190"/>
      <c r="C33" s="455" t="s">
        <v>173</v>
      </c>
      <c r="D33" s="455"/>
      <c r="E33" s="239">
        <v>2.5000000000000001E-2</v>
      </c>
      <c r="F33" s="238">
        <f>+(F32+F31)*E33</f>
        <v>109.94639101929249</v>
      </c>
      <c r="G33" s="195">
        <f>+F33/$F$36</f>
        <v>9.5937709563934329E-3</v>
      </c>
      <c r="H33" s="199"/>
    </row>
    <row r="34" spans="1:32" ht="13.5" customHeight="1" thickBot="1" x14ac:dyDescent="0.25">
      <c r="A34" s="190"/>
      <c r="B34" s="120"/>
      <c r="C34" s="609" t="s">
        <v>177</v>
      </c>
      <c r="D34" s="609"/>
      <c r="E34" s="610"/>
      <c r="F34" s="240">
        <f>SUM(F31:F33)</f>
        <v>4507.8020317909923</v>
      </c>
      <c r="G34" s="195">
        <f>+F34/$F$36</f>
        <v>0.39334460921213077</v>
      </c>
      <c r="H34" s="199"/>
    </row>
    <row r="35" spans="1:32" ht="12" x14ac:dyDescent="0.2">
      <c r="A35" s="190"/>
      <c r="B35" s="198"/>
      <c r="C35" s="614" t="s">
        <v>178</v>
      </c>
      <c r="D35" s="614"/>
      <c r="E35" s="227">
        <v>1.5423</v>
      </c>
      <c r="F35" s="238">
        <f>+F34*E35</f>
        <v>6952.3830736312475</v>
      </c>
      <c r="G35" s="230"/>
      <c r="H35" s="241"/>
    </row>
    <row r="36" spans="1:32" ht="12.75" thickBot="1" x14ac:dyDescent="0.25">
      <c r="A36" s="190"/>
      <c r="B36" s="198"/>
      <c r="C36" s="614" t="s">
        <v>179</v>
      </c>
      <c r="D36" s="614"/>
      <c r="E36" s="242"/>
      <c r="F36" s="238">
        <f>SUM(F34:F35)</f>
        <v>11460.185105422239</v>
      </c>
      <c r="G36" s="230"/>
      <c r="H36" s="253">
        <f>+H37/1.13</f>
        <v>11460.176991150443</v>
      </c>
      <c r="I36" s="254">
        <f>+(H36-F34)/F34</f>
        <v>1.5422981999493901</v>
      </c>
    </row>
    <row r="37" spans="1:32" ht="12.75" thickBot="1" x14ac:dyDescent="0.25">
      <c r="A37" s="190"/>
      <c r="B37" s="198"/>
      <c r="C37" s="614" t="s">
        <v>180</v>
      </c>
      <c r="D37" s="614"/>
      <c r="E37" s="243">
        <v>0.13</v>
      </c>
      <c r="F37" s="251">
        <f>+F36*(1+E37)</f>
        <v>12950.009169127128</v>
      </c>
      <c r="G37" s="230"/>
      <c r="H37" s="253">
        <v>12950</v>
      </c>
      <c r="I37" s="170"/>
    </row>
    <row r="38" spans="1:32" ht="13.5" thickBot="1" x14ac:dyDescent="0.25">
      <c r="A38" s="190"/>
      <c r="B38" s="589" t="s">
        <v>181</v>
      </c>
      <c r="C38" s="589"/>
      <c r="D38" s="589"/>
      <c r="E38" s="245">
        <v>0.23</v>
      </c>
      <c r="F38" s="252">
        <f>+F36*(1+E38)</f>
        <v>14096.027679669354</v>
      </c>
      <c r="G38" s="246"/>
      <c r="H38" s="253"/>
      <c r="I38" s="170"/>
    </row>
    <row r="39" spans="1:32" ht="13.5" thickBot="1" x14ac:dyDescent="0.25">
      <c r="A39" s="190"/>
      <c r="B39" s="244"/>
      <c r="C39" s="244"/>
      <c r="D39" s="244"/>
      <c r="E39" s="245"/>
      <c r="F39" s="247"/>
      <c r="G39" s="246"/>
      <c r="H39" s="199"/>
    </row>
    <row r="40" spans="1:32" s="232" customFormat="1" ht="19.5" customHeight="1" thickBot="1" x14ac:dyDescent="0.3">
      <c r="A40" s="590" t="s">
        <v>182</v>
      </c>
      <c r="B40" s="591"/>
      <c r="C40" s="591"/>
      <c r="D40" s="591"/>
      <c r="E40" s="591"/>
      <c r="F40" s="591"/>
      <c r="G40" s="591"/>
      <c r="H40" s="591"/>
      <c r="I40" s="171"/>
      <c r="J40" s="170"/>
      <c r="K40" s="170"/>
      <c r="L40" s="170"/>
      <c r="M40" s="170"/>
      <c r="N40" s="170"/>
      <c r="O40" s="170"/>
      <c r="P40" s="170"/>
      <c r="Q40" s="170"/>
      <c r="R40" s="170"/>
      <c r="S40" s="170"/>
      <c r="T40" s="170"/>
      <c r="U40" s="170"/>
      <c r="V40" s="170"/>
      <c r="W40" s="170"/>
      <c r="X40" s="170"/>
      <c r="Y40" s="170"/>
      <c r="Z40" s="170"/>
      <c r="AA40" s="170"/>
      <c r="AB40" s="170"/>
      <c r="AC40" s="170"/>
      <c r="AD40" s="170"/>
      <c r="AE40" s="170"/>
      <c r="AF40" s="170"/>
    </row>
  </sheetData>
  <mergeCells count="26">
    <mergeCell ref="C16:D16"/>
    <mergeCell ref="B1:H1"/>
    <mergeCell ref="B2:H2"/>
    <mergeCell ref="B3:H3"/>
    <mergeCell ref="F4:G4"/>
    <mergeCell ref="C15:D15"/>
    <mergeCell ref="C31:E31"/>
    <mergeCell ref="C17:E17"/>
    <mergeCell ref="B19:D19"/>
    <mergeCell ref="C20:D20"/>
    <mergeCell ref="C21:D21"/>
    <mergeCell ref="C22:D22"/>
    <mergeCell ref="C23:E23"/>
    <mergeCell ref="C24:D24"/>
    <mergeCell ref="C25:E25"/>
    <mergeCell ref="C26:D26"/>
    <mergeCell ref="C27:E27"/>
    <mergeCell ref="A29:H29"/>
    <mergeCell ref="B38:D38"/>
    <mergeCell ref="A40:H40"/>
    <mergeCell ref="C32:D32"/>
    <mergeCell ref="C33:D33"/>
    <mergeCell ref="C34:E34"/>
    <mergeCell ref="C35:D35"/>
    <mergeCell ref="C36:D36"/>
    <mergeCell ref="C37:D37"/>
  </mergeCell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4B914-AAF9-4B4D-997A-754180F8276C}">
  <dimension ref="A1:L47"/>
  <sheetViews>
    <sheetView topLeftCell="A4" workbookViewId="0">
      <selection activeCell="A15" sqref="A15"/>
    </sheetView>
  </sheetViews>
  <sheetFormatPr baseColWidth="10" defaultColWidth="9.28515625" defaultRowHeight="12.75" x14ac:dyDescent="0.2"/>
  <cols>
    <col min="1" max="1" width="16.28515625" style="3" customWidth="1"/>
    <col min="2" max="2" width="40.5703125" style="3" customWidth="1"/>
    <col min="3" max="3" width="15.5703125" style="3" customWidth="1"/>
    <col min="4" max="4" width="9.28515625" style="3" customWidth="1"/>
    <col min="5" max="5" width="13.28515625" style="3" customWidth="1"/>
    <col min="6" max="6" width="12.5703125" style="3" customWidth="1"/>
    <col min="7" max="7" width="15.5703125" style="3" customWidth="1"/>
    <col min="8" max="8" width="16" style="3" customWidth="1"/>
    <col min="9" max="16384" width="9.28515625" style="3"/>
  </cols>
  <sheetData>
    <row r="1" spans="1:8" ht="18" x14ac:dyDescent="0.25">
      <c r="A1" s="514"/>
      <c r="B1" s="517" t="s">
        <v>22</v>
      </c>
      <c r="C1" s="517"/>
      <c r="D1" s="517"/>
      <c r="E1" s="517"/>
      <c r="F1" s="517"/>
      <c r="G1" s="1" t="s">
        <v>21</v>
      </c>
      <c r="H1" s="2"/>
    </row>
    <row r="2" spans="1:8" ht="18" x14ac:dyDescent="0.25">
      <c r="A2" s="515"/>
      <c r="B2" s="518" t="s">
        <v>0</v>
      </c>
      <c r="C2" s="518"/>
      <c r="D2" s="518"/>
      <c r="E2" s="518"/>
      <c r="F2" s="518"/>
      <c r="G2" s="4" t="s">
        <v>20</v>
      </c>
      <c r="H2" s="5"/>
    </row>
    <row r="3" spans="1:8" ht="19.5" customHeight="1" x14ac:dyDescent="0.2">
      <c r="A3" s="515"/>
      <c r="B3" s="519" t="s">
        <v>83</v>
      </c>
      <c r="C3" s="519"/>
      <c r="D3" s="519"/>
      <c r="E3" s="519"/>
      <c r="F3" s="519"/>
      <c r="G3" s="520" t="s">
        <v>19</v>
      </c>
      <c r="H3" s="510"/>
    </row>
    <row r="4" spans="1:8" x14ac:dyDescent="0.2">
      <c r="A4" s="515"/>
      <c r="B4" s="30" t="s">
        <v>18</v>
      </c>
      <c r="C4" s="512" t="s">
        <v>41</v>
      </c>
      <c r="D4" s="512"/>
      <c r="E4" s="512"/>
      <c r="F4" s="512"/>
      <c r="G4" s="520"/>
      <c r="H4" s="510"/>
    </row>
    <row r="5" spans="1:8" ht="15" customHeight="1" thickBot="1" x14ac:dyDescent="0.25">
      <c r="A5" s="516"/>
      <c r="B5" s="31" t="s">
        <v>17</v>
      </c>
      <c r="C5" s="513" t="s">
        <v>40</v>
      </c>
      <c r="D5" s="513"/>
      <c r="E5" s="513"/>
      <c r="F5" s="513"/>
      <c r="G5" s="521"/>
      <c r="H5" s="511"/>
    </row>
    <row r="6" spans="1:8" ht="15" customHeight="1" x14ac:dyDescent="0.2">
      <c r="A6" s="25"/>
      <c r="B6" s="26"/>
      <c r="C6" s="27"/>
      <c r="D6" s="27"/>
      <c r="E6" s="27"/>
      <c r="F6" s="27"/>
      <c r="G6" s="28"/>
      <c r="H6" s="29"/>
    </row>
    <row r="7" spans="1:8" ht="21" customHeight="1" thickBot="1" x14ac:dyDescent="0.3">
      <c r="A7" s="443" t="s">
        <v>23</v>
      </c>
      <c r="B7" s="443"/>
      <c r="C7" s="444"/>
      <c r="D7" s="444"/>
      <c r="E7" s="444"/>
      <c r="F7" s="445" t="s">
        <v>24</v>
      </c>
      <c r="G7" s="445"/>
      <c r="H7" s="33"/>
    </row>
    <row r="8" spans="1:8" ht="25.5" x14ac:dyDescent="0.2">
      <c r="A8" s="523" t="s">
        <v>1</v>
      </c>
      <c r="B8" s="525" t="s">
        <v>2</v>
      </c>
      <c r="C8" s="525" t="s">
        <v>3</v>
      </c>
      <c r="D8" s="525" t="s">
        <v>4</v>
      </c>
      <c r="E8" s="525"/>
      <c r="F8" s="525" t="s">
        <v>16</v>
      </c>
      <c r="G8" s="525"/>
      <c r="H8" s="6" t="s">
        <v>5</v>
      </c>
    </row>
    <row r="9" spans="1:8" ht="26.25" thickBot="1" x14ac:dyDescent="0.25">
      <c r="A9" s="524"/>
      <c r="B9" s="526"/>
      <c r="C9" s="526"/>
      <c r="D9" s="7" t="s">
        <v>6</v>
      </c>
      <c r="E9" s="8" t="s">
        <v>7</v>
      </c>
      <c r="F9" s="7" t="s">
        <v>6</v>
      </c>
      <c r="G9" s="8" t="s">
        <v>7</v>
      </c>
      <c r="H9" s="32" t="s">
        <v>8</v>
      </c>
    </row>
    <row r="10" spans="1:8" ht="15.75" x14ac:dyDescent="0.25">
      <c r="A10" s="60" t="s">
        <v>42</v>
      </c>
      <c r="B10" s="61" t="s">
        <v>43</v>
      </c>
      <c r="C10" s="62" t="s">
        <v>31</v>
      </c>
      <c r="D10" s="62">
        <v>200</v>
      </c>
      <c r="E10" s="62" t="s">
        <v>36</v>
      </c>
      <c r="F10" s="63"/>
      <c r="G10" s="64"/>
      <c r="H10" s="65"/>
    </row>
    <row r="11" spans="1:8" ht="15" x14ac:dyDescent="0.2">
      <c r="A11" s="66" t="s">
        <v>44</v>
      </c>
      <c r="B11" s="59" t="s">
        <v>45</v>
      </c>
      <c r="C11" s="55" t="s">
        <v>31</v>
      </c>
      <c r="D11" s="55">
        <v>275</v>
      </c>
      <c r="E11" s="55" t="s">
        <v>36</v>
      </c>
      <c r="F11" s="40"/>
      <c r="G11" s="52"/>
      <c r="H11" s="51"/>
    </row>
    <row r="12" spans="1:8" ht="15.75" x14ac:dyDescent="0.25">
      <c r="A12" s="35">
        <v>410154</v>
      </c>
      <c r="B12" s="36" t="s">
        <v>53</v>
      </c>
      <c r="C12" s="49" t="s">
        <v>54</v>
      </c>
      <c r="D12" s="58">
        <v>120</v>
      </c>
      <c r="E12" s="49" t="s">
        <v>36</v>
      </c>
      <c r="F12" s="625"/>
      <c r="G12" s="626"/>
      <c r="H12" s="627"/>
    </row>
    <row r="13" spans="1:8" ht="15" x14ac:dyDescent="0.2">
      <c r="A13" s="66" t="s">
        <v>44</v>
      </c>
      <c r="B13" s="59" t="s">
        <v>45</v>
      </c>
      <c r="C13" s="55" t="s">
        <v>31</v>
      </c>
      <c r="D13" s="55">
        <v>275</v>
      </c>
      <c r="E13" s="55" t="s">
        <v>36</v>
      </c>
      <c r="F13" s="40"/>
      <c r="G13" s="52"/>
      <c r="H13" s="51"/>
    </row>
    <row r="14" spans="1:8" ht="15" x14ac:dyDescent="0.2">
      <c r="A14" s="69"/>
      <c r="B14" s="70" t="s">
        <v>57</v>
      </c>
      <c r="C14" s="55"/>
      <c r="D14" s="55"/>
      <c r="E14" s="55"/>
      <c r="F14" s="40"/>
      <c r="G14" s="52"/>
      <c r="H14" s="51"/>
    </row>
    <row r="15" spans="1:8" ht="15" x14ac:dyDescent="0.2">
      <c r="A15" s="34" t="s">
        <v>55</v>
      </c>
      <c r="B15" t="s">
        <v>56</v>
      </c>
      <c r="C15" s="55" t="s">
        <v>31</v>
      </c>
      <c r="D15" s="55">
        <v>55</v>
      </c>
      <c r="E15" s="55" t="s">
        <v>36</v>
      </c>
      <c r="F15" s="625" t="s">
        <v>61</v>
      </c>
      <c r="G15" s="626"/>
      <c r="H15" s="627"/>
    </row>
    <row r="16" spans="1:8" ht="15" x14ac:dyDescent="0.2">
      <c r="A16" s="34" t="s">
        <v>58</v>
      </c>
      <c r="B16" t="s">
        <v>59</v>
      </c>
      <c r="C16" s="55" t="s">
        <v>31</v>
      </c>
      <c r="D16" s="55">
        <v>100</v>
      </c>
      <c r="E16" s="55" t="s">
        <v>36</v>
      </c>
      <c r="F16" s="625" t="s">
        <v>62</v>
      </c>
      <c r="G16" s="626"/>
      <c r="H16" s="627"/>
    </row>
    <row r="17" spans="1:11" ht="15" x14ac:dyDescent="0.2">
      <c r="A17" s="34" t="s">
        <v>55</v>
      </c>
      <c r="B17" t="s">
        <v>56</v>
      </c>
      <c r="C17" s="55" t="s">
        <v>31</v>
      </c>
      <c r="D17" s="55" t="s">
        <v>63</v>
      </c>
      <c r="E17" s="55" t="s">
        <v>36</v>
      </c>
      <c r="F17" s="625" t="s">
        <v>64</v>
      </c>
      <c r="G17" s="626"/>
      <c r="H17" s="627"/>
    </row>
    <row r="18" spans="1:11" ht="15" x14ac:dyDescent="0.2">
      <c r="A18" s="57"/>
      <c r="B18" s="71" t="s">
        <v>60</v>
      </c>
      <c r="C18" s="55" t="s">
        <v>31</v>
      </c>
      <c r="D18" s="55">
        <v>100</v>
      </c>
      <c r="E18" s="55" t="s">
        <v>36</v>
      </c>
      <c r="F18" s="625" t="s">
        <v>65</v>
      </c>
      <c r="G18" s="626"/>
      <c r="H18" s="627"/>
    </row>
    <row r="19" spans="1:11" ht="15" x14ac:dyDescent="0.2">
      <c r="A19" s="72">
        <v>10700029</v>
      </c>
      <c r="B19" s="36" t="s">
        <v>66</v>
      </c>
      <c r="C19" s="55" t="s">
        <v>67</v>
      </c>
      <c r="D19" s="55">
        <v>1</v>
      </c>
      <c r="E19" s="55" t="s">
        <v>37</v>
      </c>
      <c r="F19" s="37"/>
      <c r="G19" s="67"/>
      <c r="H19" s="68"/>
    </row>
    <row r="20" spans="1:11" ht="15.75" x14ac:dyDescent="0.25">
      <c r="A20" s="66" t="s">
        <v>46</v>
      </c>
      <c r="B20" s="59" t="s">
        <v>47</v>
      </c>
      <c r="C20" s="49" t="s">
        <v>68</v>
      </c>
      <c r="D20" s="58">
        <v>20</v>
      </c>
      <c r="E20" s="49" t="s">
        <v>36</v>
      </c>
      <c r="F20" s="625" t="s">
        <v>48</v>
      </c>
      <c r="G20" s="626"/>
      <c r="H20" s="627"/>
    </row>
    <row r="21" spans="1:11" ht="15.75" x14ac:dyDescent="0.25">
      <c r="A21" s="57"/>
      <c r="B21" s="56" t="s">
        <v>25</v>
      </c>
      <c r="C21" s="55"/>
      <c r="D21" s="55"/>
      <c r="E21" s="55"/>
      <c r="F21" s="40"/>
      <c r="G21" s="52"/>
      <c r="H21" s="51"/>
    </row>
    <row r="22" spans="1:11" ht="15" x14ac:dyDescent="0.2">
      <c r="A22" s="72">
        <v>702182</v>
      </c>
      <c r="B22" s="36" t="s">
        <v>75</v>
      </c>
      <c r="C22" s="55" t="s">
        <v>76</v>
      </c>
      <c r="D22" s="55">
        <v>1</v>
      </c>
      <c r="E22" s="55" t="s">
        <v>37</v>
      </c>
      <c r="F22" s="40"/>
      <c r="G22" s="52"/>
      <c r="H22" s="51"/>
    </row>
    <row r="23" spans="1:11" ht="15" x14ac:dyDescent="0.2">
      <c r="A23" s="72">
        <v>703020</v>
      </c>
      <c r="B23" s="36" t="s">
        <v>73</v>
      </c>
      <c r="C23" s="55" t="s">
        <v>76</v>
      </c>
      <c r="D23" s="55">
        <v>60</v>
      </c>
      <c r="E23" s="55" t="s">
        <v>74</v>
      </c>
      <c r="F23" s="40"/>
      <c r="G23" s="52"/>
      <c r="H23" s="51"/>
    </row>
    <row r="24" spans="1:11" ht="15.75" x14ac:dyDescent="0.25">
      <c r="A24" s="54">
        <v>1950693</v>
      </c>
      <c r="B24" s="53" t="s">
        <v>49</v>
      </c>
      <c r="C24" s="49" t="s">
        <v>50</v>
      </c>
      <c r="D24" s="49">
        <v>1</v>
      </c>
      <c r="E24" s="49" t="s">
        <v>37</v>
      </c>
      <c r="F24" s="40"/>
      <c r="G24" s="52"/>
      <c r="H24" s="51"/>
    </row>
    <row r="25" spans="1:11" ht="15.75" x14ac:dyDescent="0.25">
      <c r="A25" s="72">
        <v>51400021</v>
      </c>
      <c r="B25" s="36" t="s">
        <v>69</v>
      </c>
      <c r="C25" s="49" t="s">
        <v>51</v>
      </c>
      <c r="D25" s="49">
        <v>1</v>
      </c>
      <c r="E25" s="49" t="s">
        <v>37</v>
      </c>
      <c r="F25" s="40"/>
      <c r="G25" s="52"/>
      <c r="H25" s="51"/>
    </row>
    <row r="26" spans="1:11" ht="15.75" x14ac:dyDescent="0.25">
      <c r="A26" s="72">
        <v>702123</v>
      </c>
      <c r="B26" s="36" t="s">
        <v>70</v>
      </c>
      <c r="C26" s="50" t="s">
        <v>52</v>
      </c>
      <c r="D26" s="49">
        <v>1</v>
      </c>
      <c r="E26" s="49" t="s">
        <v>37</v>
      </c>
      <c r="F26" s="39"/>
      <c r="G26" s="38"/>
      <c r="H26" s="48"/>
    </row>
    <row r="27" spans="1:11" ht="15.75" x14ac:dyDescent="0.25">
      <c r="A27" s="72">
        <v>701096</v>
      </c>
      <c r="B27" s="36" t="s">
        <v>71</v>
      </c>
      <c r="C27" s="50" t="s">
        <v>52</v>
      </c>
      <c r="D27" s="50">
        <v>1</v>
      </c>
      <c r="E27" s="49" t="s">
        <v>37</v>
      </c>
      <c r="F27" s="39"/>
      <c r="G27" s="38"/>
      <c r="H27" s="48"/>
    </row>
    <row r="28" spans="1:11" ht="15" x14ac:dyDescent="0.2">
      <c r="A28" s="72">
        <v>702007</v>
      </c>
      <c r="B28" s="36" t="s">
        <v>72</v>
      </c>
      <c r="C28" s="47" t="s">
        <v>77</v>
      </c>
      <c r="D28" s="46">
        <v>1</v>
      </c>
      <c r="E28" s="46" t="s">
        <v>37</v>
      </c>
      <c r="F28" s="39"/>
      <c r="G28" s="38"/>
      <c r="H28" s="41"/>
    </row>
    <row r="29" spans="1:11" ht="15" thickBot="1" x14ac:dyDescent="0.25">
      <c r="A29" s="45"/>
      <c r="B29" s="44"/>
      <c r="C29" s="43"/>
      <c r="D29" s="42"/>
      <c r="E29" s="42"/>
      <c r="F29" s="42"/>
      <c r="G29" s="42"/>
      <c r="H29" s="41"/>
      <c r="K29" s="11"/>
    </row>
    <row r="30" spans="1:11" ht="13.5" thickBot="1" x14ac:dyDescent="0.25">
      <c r="A30" s="12"/>
      <c r="B30" s="13"/>
      <c r="C30" s="14" t="s">
        <v>6</v>
      </c>
      <c r="D30" s="15" t="s">
        <v>15</v>
      </c>
      <c r="E30" s="16"/>
      <c r="F30" s="13"/>
      <c r="G30" s="13"/>
      <c r="H30" s="17"/>
      <c r="K30" s="11"/>
    </row>
    <row r="31" spans="1:11" x14ac:dyDescent="0.2">
      <c r="A31" s="527" t="s">
        <v>10</v>
      </c>
      <c r="B31" s="528"/>
      <c r="C31" s="18">
        <v>2000</v>
      </c>
      <c r="D31" s="19" t="s">
        <v>36</v>
      </c>
      <c r="E31" s="529"/>
      <c r="F31" s="529"/>
      <c r="G31" s="530"/>
      <c r="H31" s="531"/>
      <c r="K31" s="11"/>
    </row>
    <row r="32" spans="1:11" x14ac:dyDescent="0.2">
      <c r="A32" s="532" t="s">
        <v>9</v>
      </c>
      <c r="B32" s="533"/>
      <c r="C32" s="20">
        <v>20</v>
      </c>
      <c r="D32" s="10" t="s">
        <v>38</v>
      </c>
      <c r="E32" s="534"/>
      <c r="F32" s="534"/>
      <c r="G32" s="535"/>
      <c r="H32" s="536"/>
      <c r="K32" s="11"/>
    </row>
    <row r="33" spans="1:12" x14ac:dyDescent="0.2">
      <c r="A33" s="532" t="s">
        <v>14</v>
      </c>
      <c r="B33" s="533"/>
      <c r="C33" s="10">
        <v>1</v>
      </c>
      <c r="D33" s="10" t="s">
        <v>39</v>
      </c>
      <c r="E33" s="534"/>
      <c r="F33" s="534"/>
      <c r="G33" s="535"/>
      <c r="H33" s="536"/>
      <c r="K33" s="11"/>
    </row>
    <row r="34" spans="1:12" x14ac:dyDescent="0.2">
      <c r="A34" s="532" t="s">
        <v>13</v>
      </c>
      <c r="B34" s="533"/>
      <c r="C34" s="9">
        <v>2000</v>
      </c>
      <c r="D34" s="10" t="s">
        <v>36</v>
      </c>
      <c r="E34" s="540"/>
      <c r="F34" s="541"/>
      <c r="G34" s="535"/>
      <c r="H34" s="536"/>
      <c r="K34" s="11"/>
      <c r="L34" s="21"/>
    </row>
    <row r="35" spans="1:12" ht="13.5" thickBot="1" x14ac:dyDescent="0.25">
      <c r="A35" s="544" t="s">
        <v>12</v>
      </c>
      <c r="B35" s="545"/>
      <c r="C35" s="22">
        <f>SUM(D10:D21)-C31</f>
        <v>-854</v>
      </c>
      <c r="D35" s="23"/>
      <c r="E35" s="546"/>
      <c r="F35" s="546"/>
      <c r="G35" s="547"/>
      <c r="H35" s="548"/>
      <c r="K35" s="11"/>
    </row>
    <row r="36" spans="1:12" ht="13.5" thickBot="1" x14ac:dyDescent="0.25">
      <c r="A36" s="537" t="s">
        <v>11</v>
      </c>
      <c r="B36" s="538"/>
      <c r="C36" s="538"/>
      <c r="D36" s="538"/>
      <c r="E36" s="538"/>
      <c r="F36" s="538"/>
      <c r="G36" s="538"/>
      <c r="H36" s="539"/>
    </row>
    <row r="37" spans="1:12" ht="15" x14ac:dyDescent="0.2">
      <c r="A37" s="486" t="s">
        <v>78</v>
      </c>
      <c r="B37" s="487"/>
      <c r="C37" s="487"/>
      <c r="D37" s="487"/>
      <c r="E37" s="487"/>
      <c r="F37" s="487"/>
      <c r="G37" s="487"/>
      <c r="H37" s="488"/>
    </row>
    <row r="38" spans="1:12" ht="27.75" customHeight="1" x14ac:dyDescent="0.25">
      <c r="A38" s="477" t="s">
        <v>80</v>
      </c>
      <c r="B38" s="478"/>
      <c r="C38" s="478"/>
      <c r="D38" s="478"/>
      <c r="E38" s="478"/>
      <c r="F38" s="478"/>
      <c r="G38" s="478"/>
      <c r="H38" s="479"/>
    </row>
    <row r="39" spans="1:12" ht="15" x14ac:dyDescent="0.25">
      <c r="A39" s="477" t="s">
        <v>79</v>
      </c>
      <c r="B39" s="478"/>
      <c r="C39" s="478"/>
      <c r="D39" s="478"/>
      <c r="E39" s="478"/>
      <c r="F39" s="478"/>
      <c r="G39" s="478"/>
      <c r="H39" s="479"/>
    </row>
    <row r="40" spans="1:12" ht="30" customHeight="1" x14ac:dyDescent="0.25">
      <c r="A40" s="477" t="s">
        <v>81</v>
      </c>
      <c r="B40" s="478"/>
      <c r="C40" s="478"/>
      <c r="D40" s="478"/>
      <c r="E40" s="478"/>
      <c r="F40" s="478"/>
      <c r="G40" s="478"/>
      <c r="H40" s="479"/>
    </row>
    <row r="41" spans="1:12" ht="15" x14ac:dyDescent="0.25">
      <c r="A41" s="477" t="s">
        <v>82</v>
      </c>
      <c r="B41" s="478"/>
      <c r="C41" s="478"/>
      <c r="D41" s="478"/>
      <c r="E41" s="478"/>
      <c r="F41" s="478"/>
      <c r="G41" s="478"/>
      <c r="H41" s="479"/>
    </row>
    <row r="42" spans="1:12" ht="15" x14ac:dyDescent="0.25">
      <c r="A42" s="477"/>
      <c r="B42" s="478"/>
      <c r="C42" s="478"/>
      <c r="D42" s="478"/>
      <c r="E42" s="478"/>
      <c r="F42" s="478"/>
      <c r="G42" s="478"/>
      <c r="H42" s="479"/>
    </row>
    <row r="43" spans="1:12" ht="16.5" customHeight="1" x14ac:dyDescent="0.2">
      <c r="A43" s="440"/>
      <c r="B43" s="441"/>
      <c r="C43" s="441"/>
      <c r="D43" s="441"/>
      <c r="E43" s="441"/>
      <c r="F43" s="441"/>
      <c r="G43" s="441"/>
      <c r="H43" s="442"/>
    </row>
    <row r="44" spans="1:12" ht="16.5" customHeight="1" x14ac:dyDescent="0.2">
      <c r="A44" s="440"/>
      <c r="B44" s="441"/>
      <c r="C44" s="441"/>
      <c r="D44" s="441"/>
      <c r="E44" s="441"/>
      <c r="F44" s="441"/>
      <c r="G44" s="441"/>
      <c r="H44" s="442"/>
    </row>
    <row r="45" spans="1:12" ht="16.5" customHeight="1" thickBot="1" x14ac:dyDescent="0.25">
      <c r="A45" s="480"/>
      <c r="B45" s="481"/>
      <c r="C45" s="481"/>
      <c r="D45" s="481"/>
      <c r="E45" s="481"/>
      <c r="F45" s="481"/>
      <c r="G45" s="481"/>
      <c r="H45" s="482"/>
    </row>
    <row r="47" spans="1:12" x14ac:dyDescent="0.2">
      <c r="A47" s="24"/>
      <c r="B47" s="24"/>
    </row>
  </sheetData>
  <mergeCells count="47">
    <mergeCell ref="H3:H5"/>
    <mergeCell ref="C4:F4"/>
    <mergeCell ref="C5:F5"/>
    <mergeCell ref="A1:A5"/>
    <mergeCell ref="B1:F1"/>
    <mergeCell ref="B2:F2"/>
    <mergeCell ref="B3:F3"/>
    <mergeCell ref="G3:G5"/>
    <mergeCell ref="A7:B7"/>
    <mergeCell ref="C7:E7"/>
    <mergeCell ref="F7:G7"/>
    <mergeCell ref="A8:A9"/>
    <mergeCell ref="B8:B9"/>
    <mergeCell ref="C8:C9"/>
    <mergeCell ref="D8:E8"/>
    <mergeCell ref="F8:G8"/>
    <mergeCell ref="A31:B31"/>
    <mergeCell ref="E31:F31"/>
    <mergeCell ref="G31:H31"/>
    <mergeCell ref="A32:B32"/>
    <mergeCell ref="E32:F32"/>
    <mergeCell ref="G32:H32"/>
    <mergeCell ref="E35:F35"/>
    <mergeCell ref="G35:H35"/>
    <mergeCell ref="A36:H36"/>
    <mergeCell ref="A33:B33"/>
    <mergeCell ref="E33:F33"/>
    <mergeCell ref="G33:H33"/>
    <mergeCell ref="A34:B34"/>
    <mergeCell ref="E34:F34"/>
    <mergeCell ref="G34:H34"/>
    <mergeCell ref="A45:H45"/>
    <mergeCell ref="F12:H12"/>
    <mergeCell ref="F20:H20"/>
    <mergeCell ref="F15:H15"/>
    <mergeCell ref="F16:H16"/>
    <mergeCell ref="F17:H17"/>
    <mergeCell ref="F18:H18"/>
    <mergeCell ref="A37:H37"/>
    <mergeCell ref="A38:H38"/>
    <mergeCell ref="A39:H39"/>
    <mergeCell ref="A40:H40"/>
    <mergeCell ref="A41:H41"/>
    <mergeCell ref="A42:H42"/>
    <mergeCell ref="A43:H43"/>
    <mergeCell ref="A44:H44"/>
    <mergeCell ref="A35:B3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5EE5B550-918A-4BF3-8FF5-531E843A55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CB3A0AB-D170-4362-B16A-30A22F4205C5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37763027-8997-4957-A4F5-1F72F54876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0FAC670-4ECC-4ECC-9BEB-2F52E3EB3DD2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Hoja1</vt:lpstr>
      <vt:lpstr>costeo brittle</vt:lpstr>
      <vt:lpstr>EMPAQUE BRITTLE</vt:lpstr>
      <vt:lpstr>COSTO EMPAQUE BRITTLE</vt:lpstr>
      <vt:lpstr>ENSAMBLE 2</vt:lpstr>
      <vt:lpstr>Hoja5</vt:lpstr>
      <vt:lpstr>COSTEO ENSAMBLE</vt:lpstr>
      <vt:lpstr>INS</vt:lpstr>
      <vt:lpstr>PRECIO 2</vt:lpstr>
      <vt:lpstr>ENSAMBLE INDUSTRIA </vt:lpstr>
      <vt:lpstr>COSTO ENSAM IND</vt:lpstr>
      <vt:lpstr>PRECIO INDUSTRIA </vt:lpstr>
      <vt:lpstr>PRECIO</vt:lpstr>
      <vt:lpstr>Ensamble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rsolis</dc:creator>
  <cp:lastModifiedBy>Miguel Coto Consultor</cp:lastModifiedBy>
  <cp:lastPrinted>2025-04-07T21:05:11Z</cp:lastPrinted>
  <dcterms:created xsi:type="dcterms:W3CDTF">2009-03-11T22:07:15Z</dcterms:created>
  <dcterms:modified xsi:type="dcterms:W3CDTF">2025-04-07T21:05:13Z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Alejandro Rodriguez</vt:lpwstr>
  </property>
  <property fmtid="{D5CDD505-2E9C-101B-9397-08002B2CF9AE}" pid="3" name="Order">
    <vt:lpwstr>416600.000000000</vt:lpwstr>
  </property>
  <property fmtid="{D5CDD505-2E9C-101B-9397-08002B2CF9AE}" pid="4" name="display_urn:schemas-microsoft-com:office:office#Author">
    <vt:lpwstr>Alejandro Rodriguez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
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0" documentId="8_{13533B2E-DA1A-48CF-8862-EE4181400D57}" xr6:coauthVersionLast="47" xr6:coauthVersionMax="47" xr10:uidLastSave="{00000000-0000-0000-0000-000000000000}"/>
  <bookViews>
    <workbookView xWindow="-120" yWindow="-120" windowWidth="29040" windowHeight="15840" xr2:uid="{EFC2BE25-FFE8-4C4E-9636-20C03B22FB31}"/>
  </bookViews>
  <sheets>
    <sheet name="Mufin chiverre" sheetId="1" r:id="rId1"/>
  </sheets>
  <definedNames>
    <definedName name="_xlnm.Print_Area" localSheetId="0">'Mufin chiverre'!$A$1:$I$35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4" i="1"/>
  <c r="J15" i="1"/>
  <c r="J16" i="1"/>
  <c r="J17" i="1"/>
  <c r="D26" i="1"/>
</calcChain>
</file>

<file path=xl/sharedStrings.xml><?xml version="1.0" encoding="utf-8"?>
<sst xmlns="http://schemas.openxmlformats.org/spreadsheetml/2006/main" count="83" uniqueCount="68">
  <si>
    <t xml:space="preserve">CONTROL DE CAMBIOS </t>
  </si>
  <si>
    <t>3.- Llevar al horno a 180ºC por 20 minutos.</t>
  </si>
  <si>
    <t>2.- Luego colocar los 20g de chiverre y cerrar con los 35g de batido faltantes. Luego colocar los 5g de strousel sobre el mufin</t>
  </si>
  <si>
    <t>1.- Pesar primero 35g de batido en la capsula.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</si>
  <si>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</si>
  <si>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</si>
  <si>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</si>
  <si>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</si>
  <si>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</si>
  <si>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</si>
  <si>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</si>
  <si>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</si>
  <si>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</si>
  <si>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</si>
  <si>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</si>
  <si>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</si>
  <si>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</si>
  <si>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</si>
  <si>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</si>
  <si>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2 5/8X1 15/16 (UND)</t>
  </si>
  <si>
    <t>EM10011</t>
  </si>
  <si>
    <t>ETIQ.FECHA VENCIMIENTO BLANCO</t>
  </si>
  <si>
    <t>EM10004</t>
  </si>
  <si>
    <t>BOLSA TRANSPARENTE 56X96X1.80 (KILO)</t>
  </si>
  <si>
    <t>AS00028</t>
  </si>
  <si>
    <t>CAPSULA # 10 BLANCA (PAQ:500 UND)</t>
  </si>
  <si>
    <t>EM10067</t>
  </si>
  <si>
    <t>FAS</t>
  </si>
  <si>
    <t>BATIDO STROUSEL CHIVERRE</t>
  </si>
  <si>
    <t>SE00676</t>
  </si>
  <si>
    <t>NUEVO</t>
  </si>
  <si>
    <t>20g unidad</t>
  </si>
  <si>
    <t>CHIVERRE 5 kg</t>
  </si>
  <si>
    <t>MP10676</t>
  </si>
  <si>
    <t>uds</t>
  </si>
  <si>
    <t>70g unidad</t>
  </si>
  <si>
    <t>Batido Queque Seco Vainilla</t>
  </si>
  <si>
    <t>SE00411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</si>
  <si>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</si>
  <si>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</si>
  <si>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</si>
  <si>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</si>
  <si>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</si>
  <si>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</si>
  <si>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</si>
  <si>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</si>
  <si>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</si>
  <si>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Pastas</t>
  </si>
  <si>
    <t xml:space="preserve">AREA QUE EMPACA: </t>
  </si>
  <si>
    <t>Batidos</t>
  </si>
  <si>
    <t>AREA QUE PRODUCE:</t>
  </si>
  <si>
    <t>Esteban Cartin, Gte Manufactura</t>
  </si>
  <si>
    <t>Aprobado</t>
  </si>
  <si>
    <t>Juan Pablo Brenes , chef</t>
  </si>
  <si>
    <t>Elaborado</t>
  </si>
  <si>
    <t>FECHA DE APROBACIÓN:</t>
  </si>
  <si>
    <t>REVISIÓN:</t>
  </si>
  <si>
    <t>ESPECIFICACION DE RECETA</t>
  </si>
  <si>
    <t>ESP-RE-BAS-072</t>
  </si>
  <si>
    <t>CÓDIGO:</t>
  </si>
  <si>
    <t>SERVICIOS DE PASTELERIA S.A.</t>
  </si>
  <si>
    <t xml:space="preserve"> SE00677 Mufin de chiverre 90g</t>
  </si>
  <si>
    <t>MP10673</t>
  </si>
  <si>
    <t>Preservante Nataxul 7703</t>
  </si>
  <si>
    <t>5g unidad</t>
  </si>
  <si>
    <t>1g unidad</t>
  </si>
  <si>
    <t>Revision #2: Se agrega el nataxul.</t>
  </si>
  <si>
    <t>4.- colocar en bandejar y rociar con el preservante nataxul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</si>
</sst>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165">
    <xf numFmtId="0" fontId="0" fillId="0" borderId="0" xfId="0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 applyAlignment="1">
      <alignment horizontal="center" wrapText="1"/>
    </xf>
    <xf numFmtId="1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9" xfId="0" applyFont="1" applyFill="1" applyBorder="1"/>
    <xf numFmtId="164" fontId="2" fillId="4" borderId="29" xfId="0" applyNumberFormat="1" applyFont="1" applyFill="1" applyBorder="1" applyAlignment="1">
      <alignment horizontal="center" wrapText="1"/>
    </xf>
    <xf numFmtId="1" fontId="2" fillId="4" borderId="29" xfId="0" applyNumberFormat="1" applyFont="1" applyFill="1" applyBorder="1" applyAlignment="1">
      <alignment horizontal="center"/>
    </xf>
    <xf numFmtId="49" fontId="4" fillId="4" borderId="29" xfId="0" applyNumberFormat="1" applyFont="1" applyFill="1" applyBorder="1" applyAlignment="1">
      <alignment horizontal="left" vertical="center"/>
    </xf>
    <xf numFmtId="49" fontId="4" fillId="4" borderId="30" xfId="0" applyNumberFormat="1" applyFont="1" applyFill="1" applyBorder="1" applyAlignment="1">
      <alignment horizontal="left" vertical="center"/>
    </xf>
    <xf numFmtId="0" fontId="2" fillId="0" borderId="1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1" fontId="2" fillId="5" borderId="13" xfId="1" applyNumberFormat="1" applyFont="1" applyFill="1" applyBorder="1" applyAlignment="1">
      <alignment horizontal="center" wrapText="1"/>
    </xf>
    <xf numFmtId="1" fontId="2" fillId="5" borderId="13" xfId="1" applyNumberFormat="1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" fillId="5" borderId="13" xfId="0" applyFont="1" applyFill="1" applyBorder="1"/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5" xfId="0" applyFont="1" applyFill="1" applyBorder="1"/>
    <xf numFmtId="1" fontId="2" fillId="5" borderId="9" xfId="0" applyNumberFormat="1" applyFont="1" applyFill="1" applyBorder="1" applyAlignment="1">
      <alignment horizontal="center" wrapText="1"/>
    </xf>
    <xf numFmtId="1" fontId="2" fillId="5" borderId="9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3" xfId="0" applyFont="1" applyBorder="1"/>
    <xf numFmtId="0" fontId="7" fillId="0" borderId="13" xfId="0" applyFont="1" applyBorder="1" applyAlignment="1">
      <alignment horizontal="center"/>
    </xf>
    <xf numFmtId="0" fontId="1" fillId="5" borderId="12" xfId="0" applyFont="1" applyFill="1" applyBorder="1"/>
    <xf numFmtId="1" fontId="2" fillId="5" borderId="24" xfId="0" applyNumberFormat="1" applyFont="1" applyFill="1" applyBorder="1" applyAlignment="1">
      <alignment horizontal="center" wrapText="1"/>
    </xf>
    <xf numFmtId="1" fontId="2" fillId="5" borderId="13" xfId="0" applyNumberFormat="1" applyFont="1" applyFill="1" applyBorder="1" applyAlignment="1">
      <alignment horizontal="center"/>
    </xf>
    <xf numFmtId="1" fontId="3" fillId="5" borderId="9" xfId="0" applyNumberFormat="1" applyFont="1" applyFill="1" applyBorder="1" applyAlignment="1">
      <alignment horizontal="center"/>
    </xf>
    <xf numFmtId="12" fontId="2" fillId="5" borderId="13" xfId="0" applyNumberFormat="1" applyFont="1" applyFill="1" applyBorder="1" applyAlignment="1">
      <alignment horizontal="center"/>
    </xf>
    <xf numFmtId="0" fontId="1" fillId="6" borderId="13" xfId="0" applyFont="1" applyFill="1" applyBorder="1"/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1" fontId="2" fillId="6" borderId="13" xfId="0" applyNumberFormat="1" applyFont="1" applyFill="1" applyBorder="1" applyAlignment="1">
      <alignment horizontal="center"/>
    </xf>
    <xf numFmtId="1" fontId="2" fillId="5" borderId="13" xfId="0" applyNumberFormat="1" applyFont="1" applyFill="1" applyBorder="1" applyAlignment="1">
      <alignment horizontal="center" wrapText="1"/>
    </xf>
    <xf numFmtId="0" fontId="1" fillId="6" borderId="16" xfId="0" applyFont="1" applyFill="1" applyBorder="1"/>
    <xf numFmtId="1" fontId="2" fillId="6" borderId="26" xfId="0" applyNumberFormat="1" applyFont="1" applyFill="1" applyBorder="1" applyAlignment="1">
      <alignment horizontal="center" wrapText="1"/>
    </xf>
    <xf numFmtId="1" fontId="2" fillId="6" borderId="17" xfId="0" applyNumberFormat="1" applyFont="1" applyFill="1" applyBorder="1" applyAlignment="1">
      <alignment horizontal="center"/>
    </xf>
    <xf numFmtId="1" fontId="2" fillId="0" borderId="17" xfId="0" applyNumberFormat="1" applyFont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8" xfId="0" applyFont="1" applyBorder="1" applyAlignment="1">
      <alignment horizontal="center"/>
    </xf>
    <xf numFmtId="0" fontId="3" fillId="3" borderId="33" xfId="0" applyFont="1" applyFill="1" applyBorder="1" applyAlignment="1">
      <alignment horizontal="center" vertical="center"/>
    </xf>
    <xf numFmtId="1" fontId="3" fillId="3" borderId="31" xfId="0" applyNumberFormat="1" applyFont="1" applyFill="1" applyBorder="1" applyAlignment="1">
      <alignment horizontal="center" vertical="center" wrapText="1"/>
    </xf>
    <xf numFmtId="1" fontId="3" fillId="3" borderId="31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14" fontId="9" fillId="4" borderId="37" xfId="2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right"/>
    </xf>
    <xf numFmtId="0" fontId="11" fillId="0" borderId="13" xfId="0" applyFont="1" applyBorder="1" applyAlignment="1">
      <alignment horizontal="right"/>
    </xf>
    <xf numFmtId="0" fontId="11" fillId="0" borderId="12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3" fillId="3" borderId="2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0" xfId="0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4" fontId="2" fillId="0" borderId="23" xfId="0" applyNumberFormat="1" applyFont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164" fontId="2" fillId="0" borderId="2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" fillId="5" borderId="13" xfId="0" applyFont="1" applyFill="1" applyBorder="1" applyAlignment="1">
      <alignment horizontal="center"/>
    </xf>
    <xf numFmtId="12" fontId="2" fillId="5" borderId="24" xfId="1" applyNumberFormat="1" applyFont="1" applyFill="1" applyBorder="1" applyAlignment="1">
      <alignment horizontal="center"/>
    </xf>
    <xf numFmtId="12" fontId="2" fillId="5" borderId="14" xfId="1" applyNumberFormat="1" applyFont="1" applyFill="1" applyBorder="1" applyAlignment="1">
      <alignment horizontal="center"/>
    </xf>
    <xf numFmtId="0" fontId="3" fillId="0" borderId="28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164" fontId="2" fillId="0" borderId="17" xfId="0" applyNumberFormat="1" applyFont="1" applyBorder="1" applyAlignment="1">
      <alignment horizontal="right"/>
    </xf>
    <xf numFmtId="0" fontId="2" fillId="4" borderId="26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10" fillId="4" borderId="30" xfId="2" applyFont="1" applyFill="1" applyBorder="1" applyAlignment="1">
      <alignment horizontal="right" vertical="center"/>
    </xf>
    <xf numFmtId="0" fontId="10" fillId="4" borderId="29" xfId="2" applyFont="1" applyFill="1" applyBorder="1" applyAlignment="1">
      <alignment horizontal="right" vertical="center"/>
    </xf>
    <xf numFmtId="0" fontId="9" fillId="4" borderId="29" xfId="2" applyFont="1" applyFill="1" applyBorder="1" applyAlignment="1">
      <alignment horizontal="center" vertical="center"/>
    </xf>
    <xf numFmtId="0" fontId="10" fillId="4" borderId="29" xfId="2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14" fontId="2" fillId="4" borderId="33" xfId="2" applyNumberFormat="1" applyFont="1" applyFill="1" applyBorder="1" applyAlignment="1">
      <alignment horizontal="center" vertical="center" wrapText="1"/>
    </xf>
    <xf numFmtId="14" fontId="2" fillId="4" borderId="40" xfId="2" applyNumberFormat="1" applyFont="1" applyFill="1" applyBorder="1" applyAlignment="1">
      <alignment horizontal="center" vertical="center" wrapText="1"/>
    </xf>
    <xf numFmtId="14" fontId="2" fillId="4" borderId="38" xfId="2" applyNumberFormat="1" applyFont="1" applyFill="1" applyBorder="1" applyAlignment="1">
      <alignment horizontal="center" vertical="center" wrapText="1"/>
    </xf>
    <xf numFmtId="0" fontId="2" fillId="4" borderId="13" xfId="2" applyFont="1" applyFill="1" applyBorder="1" applyAlignment="1">
      <alignment horizontal="left"/>
    </xf>
    <xf numFmtId="0" fontId="2" fillId="4" borderId="2" xfId="2" applyFont="1" applyFill="1" applyBorder="1" applyAlignment="1">
      <alignment horizontal="left"/>
    </xf>
    <xf numFmtId="0" fontId="2" fillId="4" borderId="43" xfId="2" applyFont="1" applyFill="1" applyBorder="1" applyAlignment="1">
      <alignment horizontal="center"/>
    </xf>
    <xf numFmtId="0" fontId="2" fillId="4" borderId="42" xfId="2" applyFont="1" applyFill="1" applyBorder="1" applyAlignment="1">
      <alignment horizontal="center"/>
    </xf>
    <xf numFmtId="0" fontId="2" fillId="4" borderId="21" xfId="2" applyFont="1" applyFill="1" applyBorder="1" applyAlignment="1">
      <alignment horizontal="center"/>
    </xf>
    <xf numFmtId="0" fontId="2" fillId="4" borderId="0" xfId="2" applyFont="1" applyFill="1" applyAlignment="1">
      <alignment horizontal="center"/>
    </xf>
    <xf numFmtId="0" fontId="2" fillId="4" borderId="30" xfId="2" applyFont="1" applyFill="1" applyBorder="1" applyAlignment="1">
      <alignment horizontal="center"/>
    </xf>
    <xf numFmtId="0" fontId="2" fillId="4" borderId="29" xfId="2" applyFont="1" applyFill="1" applyBorder="1" applyAlignment="1">
      <alignment horizontal="center"/>
    </xf>
    <xf numFmtId="0" fontId="12" fillId="4" borderId="17" xfId="2" applyFont="1" applyFill="1" applyBorder="1" applyAlignment="1">
      <alignment horizontal="center"/>
    </xf>
    <xf numFmtId="0" fontId="12" fillId="4" borderId="31" xfId="2" applyFont="1" applyFill="1" applyBorder="1" applyAlignment="1">
      <alignment horizontal="center"/>
    </xf>
    <xf numFmtId="0" fontId="10" fillId="7" borderId="28" xfId="2" applyFont="1" applyFill="1" applyBorder="1" applyAlignment="1">
      <alignment horizontal="center" vertical="center" wrapText="1"/>
    </xf>
    <xf numFmtId="0" fontId="10" fillId="7" borderId="27" xfId="2" applyFont="1" applyFill="1" applyBorder="1" applyAlignment="1">
      <alignment horizontal="center" vertical="center" wrapText="1"/>
    </xf>
    <xf numFmtId="0" fontId="10" fillId="7" borderId="25" xfId="2" applyFont="1" applyFill="1" applyBorder="1" applyAlignment="1">
      <alignment horizontal="center" vertical="center" wrapText="1"/>
    </xf>
    <xf numFmtId="0" fontId="3" fillId="4" borderId="32" xfId="2" applyFont="1" applyFill="1" applyBorder="1" applyAlignment="1">
      <alignment horizontal="right" vertical="top" wrapText="1"/>
    </xf>
    <xf numFmtId="0" fontId="3" fillId="4" borderId="41" xfId="2" applyFont="1" applyFill="1" applyBorder="1" applyAlignment="1">
      <alignment horizontal="right" vertical="top" wrapText="1"/>
    </xf>
    <xf numFmtId="0" fontId="3" fillId="4" borderId="39" xfId="2" applyFont="1" applyFill="1" applyBorder="1" applyAlignment="1">
      <alignment horizontal="right" vertical="top" wrapText="1"/>
    </xf>
  </cellXfs>
  <cellStyles count="3">
    <cellStyle name="Normal" xfId="0" builtinId="0"/>
    <cellStyle name="Normal 2" xfId="1" xr:uid="{A77757A1-5045-421B-A952-C38F5444A31D}"/>
    <cellStyle name="Normal_CRITERIOS DE EVALUACION PT DE GB 2" xfId="2" xr:uid="{07C858B7-6C36-47DF-B45C-B98C998BF0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48B9-7666-478D-BD08-0B9E786970D3}">
  <dimension ref="A1:J43"/>
  <sheetViews>
    <sheetView tabSelected="1" view="pageBreakPreview" zoomScaleNormal="100" zoomScaleSheetLayoutView="100" workbookViewId="0">
      <selection activeCell="I2" sqref="I2"/>
    </sheetView>
  </sheetViews>
  <sheetFormatPr baseColWidth="10" defaultRowHeight="15" x14ac:dyDescent="0.25"/>
  <cols>
    <col min="3" max="3" width="39.5703125" customWidth="1"/>
    <col min="8" max="8" width="17.5703125" customWidth="1"/>
    <col min="9" max="9" width="19.85546875" bestFit="1" customWidth="1"/>
  </cols>
  <sheetData>
    <row r="1" spans="1:10" ht="16.5" x14ac:dyDescent="0.3">
      <c r="A1" s="151"/>
      <c r="B1" s="152"/>
      <c r="C1" s="157" t="s">
        <v>60</v>
      </c>
      <c r="D1" s="157"/>
      <c r="E1" s="157"/>
      <c r="F1" s="157"/>
      <c r="G1" s="157"/>
      <c r="H1" s="70" t="s">
        <v>59</v>
      </c>
      <c r="I1" s="69" t="s">
        <v>58</v>
      </c>
    </row>
    <row r="2" spans="1:10" ht="17.25" thickBot="1" x14ac:dyDescent="0.35">
      <c r="A2" s="153"/>
      <c r="B2" s="154"/>
      <c r="C2" s="158" t="s">
        <v>57</v>
      </c>
      <c r="D2" s="158"/>
      <c r="E2" s="158"/>
      <c r="F2" s="158"/>
      <c r="G2" s="158"/>
      <c r="H2" s="67" t="s">
        <v>56</v>
      </c>
      <c r="I2" s="68">
        <v>2</v>
      </c>
    </row>
    <row r="3" spans="1:10" ht="18" x14ac:dyDescent="0.25">
      <c r="A3" s="153"/>
      <c r="B3" s="154"/>
      <c r="C3" s="159" t="s">
        <v>61</v>
      </c>
      <c r="D3" s="160"/>
      <c r="E3" s="160"/>
      <c r="F3" s="160"/>
      <c r="G3" s="161"/>
      <c r="H3" s="162" t="s">
        <v>55</v>
      </c>
      <c r="I3" s="146">
        <v>45688</v>
      </c>
    </row>
    <row r="4" spans="1:10" ht="16.5" x14ac:dyDescent="0.3">
      <c r="A4" s="153"/>
      <c r="B4" s="154"/>
      <c r="C4" s="67" t="s">
        <v>54</v>
      </c>
      <c r="D4" s="149" t="s">
        <v>53</v>
      </c>
      <c r="E4" s="149"/>
      <c r="F4" s="149"/>
      <c r="G4" s="149"/>
      <c r="H4" s="163"/>
      <c r="I4" s="147"/>
    </row>
    <row r="5" spans="1:10" ht="17.25" thickBot="1" x14ac:dyDescent="0.35">
      <c r="A5" s="155"/>
      <c r="B5" s="156"/>
      <c r="C5" s="66" t="s">
        <v>52</v>
      </c>
      <c r="D5" s="150" t="s">
        <v>51</v>
      </c>
      <c r="E5" s="150"/>
      <c r="F5" s="150"/>
      <c r="G5" s="150"/>
      <c r="H5" s="164"/>
      <c r="I5" s="148"/>
    </row>
    <row r="6" spans="1:10" ht="18.75" thickBot="1" x14ac:dyDescent="0.3">
      <c r="A6" s="136" t="s">
        <v>50</v>
      </c>
      <c r="B6" s="137"/>
      <c r="C6" s="137"/>
      <c r="D6" s="138" t="s">
        <v>49</v>
      </c>
      <c r="E6" s="138"/>
      <c r="F6" s="138"/>
      <c r="G6" s="139" t="s">
        <v>48</v>
      </c>
      <c r="H6" s="139"/>
      <c r="I6" s="65" t="s">
        <v>47</v>
      </c>
    </row>
    <row r="7" spans="1:10" x14ac:dyDescent="0.25">
      <c r="A7" s="140" t="s">
        <v>46</v>
      </c>
      <c r="B7" s="142" t="s">
        <v>45</v>
      </c>
      <c r="C7" s="144" t="s">
        <v>44</v>
      </c>
      <c r="D7" s="144" t="s">
        <v>43</v>
      </c>
      <c r="E7" s="144" t="s">
        <v>42</v>
      </c>
      <c r="F7" s="144"/>
      <c r="G7" s="144" t="s">
        <v>41</v>
      </c>
      <c r="H7" s="144"/>
      <c r="I7" s="64" t="s">
        <v>40</v>
      </c>
    </row>
    <row r="8" spans="1:10" ht="26.25" thickBot="1" x14ac:dyDescent="0.3">
      <c r="A8" s="141"/>
      <c r="B8" s="143"/>
      <c r="C8" s="145"/>
      <c r="D8" s="145"/>
      <c r="E8" s="63" t="s">
        <v>18</v>
      </c>
      <c r="F8" s="62" t="s">
        <v>39</v>
      </c>
      <c r="G8" s="63" t="s">
        <v>18</v>
      </c>
      <c r="H8" s="62" t="s">
        <v>39</v>
      </c>
      <c r="I8" s="61" t="s">
        <v>38</v>
      </c>
    </row>
    <row r="9" spans="1:10" x14ac:dyDescent="0.25">
      <c r="A9" s="60"/>
      <c r="B9" s="59" t="s">
        <v>37</v>
      </c>
      <c r="C9" t="s">
        <v>36</v>
      </c>
      <c r="D9" s="58" t="s">
        <v>27</v>
      </c>
      <c r="E9" s="7">
        <v>19000</v>
      </c>
      <c r="F9" s="57" t="s">
        <v>5</v>
      </c>
      <c r="G9" s="56" t="s">
        <v>35</v>
      </c>
      <c r="H9" s="55">
        <v>270</v>
      </c>
      <c r="I9" s="54" t="s">
        <v>34</v>
      </c>
      <c r="J9">
        <f>+E9/$D$24</f>
        <v>70.370370370370367</v>
      </c>
    </row>
    <row r="10" spans="1:10" x14ac:dyDescent="0.25">
      <c r="A10" s="43">
        <v>106000007</v>
      </c>
      <c r="B10" s="43" t="s">
        <v>33</v>
      </c>
      <c r="C10" s="42" t="s">
        <v>32</v>
      </c>
      <c r="D10" s="33" t="s">
        <v>27</v>
      </c>
      <c r="E10" s="46">
        <v>5440</v>
      </c>
      <c r="F10" s="53" t="s">
        <v>5</v>
      </c>
      <c r="G10" s="52" t="s">
        <v>31</v>
      </c>
      <c r="H10" s="45"/>
      <c r="I10" s="44"/>
      <c r="J10">
        <f>+E10/$D$24</f>
        <v>20.148148148148149</v>
      </c>
    </row>
    <row r="11" spans="1:10" x14ac:dyDescent="0.25">
      <c r="A11" s="51" t="s">
        <v>30</v>
      </c>
      <c r="B11" s="50" t="s">
        <v>29</v>
      </c>
      <c r="C11" s="49" t="s">
        <v>28</v>
      </c>
      <c r="D11" s="33" t="s">
        <v>27</v>
      </c>
      <c r="E11" s="39">
        <v>1350</v>
      </c>
      <c r="F11" s="38" t="s">
        <v>5</v>
      </c>
      <c r="G11" s="48" t="s">
        <v>64</v>
      </c>
      <c r="H11" s="45"/>
      <c r="I11" s="44"/>
      <c r="J11">
        <f>+E11/$D$24</f>
        <v>5</v>
      </c>
    </row>
    <row r="12" spans="1:10" x14ac:dyDescent="0.25">
      <c r="A12" s="36"/>
      <c r="B12" s="59" t="s">
        <v>62</v>
      </c>
      <c r="C12" t="s">
        <v>63</v>
      </c>
      <c r="D12" s="33"/>
      <c r="E12" s="47">
        <v>270</v>
      </c>
      <c r="F12" s="38" t="s">
        <v>5</v>
      </c>
      <c r="G12" s="46" t="s">
        <v>65</v>
      </c>
      <c r="H12" s="45"/>
      <c r="I12" s="44"/>
    </row>
    <row r="13" spans="1:10" x14ac:dyDescent="0.25">
      <c r="A13" s="71"/>
      <c r="B13" s="71"/>
      <c r="C13" s="72"/>
      <c r="D13" s="33"/>
      <c r="E13" s="47"/>
      <c r="F13" s="38"/>
      <c r="G13" s="46"/>
      <c r="H13" s="45"/>
      <c r="I13" s="44"/>
    </row>
    <row r="14" spans="1:10" x14ac:dyDescent="0.25">
      <c r="A14" s="41">
        <v>1950733</v>
      </c>
      <c r="B14" s="41" t="s">
        <v>26</v>
      </c>
      <c r="C14" s="40" t="s">
        <v>25</v>
      </c>
      <c r="D14" s="33"/>
      <c r="E14" s="47">
        <v>270</v>
      </c>
      <c r="F14" s="38" t="s">
        <v>10</v>
      </c>
      <c r="G14" s="46"/>
      <c r="H14" s="45"/>
      <c r="I14" s="44"/>
      <c r="J14">
        <f>+E14/$D$24</f>
        <v>1</v>
      </c>
    </row>
    <row r="15" spans="1:10" x14ac:dyDescent="0.25">
      <c r="A15" s="41">
        <v>1950928</v>
      </c>
      <c r="B15" s="41" t="s">
        <v>24</v>
      </c>
      <c r="C15" s="40" t="s">
        <v>23</v>
      </c>
      <c r="D15" s="33"/>
      <c r="E15" s="39">
        <v>8</v>
      </c>
      <c r="F15" s="38" t="s">
        <v>10</v>
      </c>
      <c r="G15" s="127"/>
      <c r="H15" s="127"/>
      <c r="I15" s="37"/>
      <c r="J15">
        <f>+E15/$D$24</f>
        <v>2.9629629629629631E-2</v>
      </c>
    </row>
    <row r="16" spans="1:10" x14ac:dyDescent="0.25">
      <c r="A16" s="43">
        <v>702007</v>
      </c>
      <c r="B16" s="43" t="s">
        <v>22</v>
      </c>
      <c r="C16" s="42" t="s">
        <v>21</v>
      </c>
      <c r="D16" s="33"/>
      <c r="E16" s="39">
        <v>8</v>
      </c>
      <c r="F16" s="38" t="s">
        <v>10</v>
      </c>
      <c r="G16" s="127"/>
      <c r="H16" s="127"/>
      <c r="I16" s="37"/>
      <c r="J16">
        <f>+E16/$D$24</f>
        <v>2.9629629629629631E-2</v>
      </c>
    </row>
    <row r="17" spans="1:10" x14ac:dyDescent="0.25">
      <c r="A17" s="41">
        <v>702123</v>
      </c>
      <c r="B17" s="41" t="s">
        <v>20</v>
      </c>
      <c r="C17" s="40" t="s">
        <v>19</v>
      </c>
      <c r="D17" s="33"/>
      <c r="E17" s="39">
        <v>8</v>
      </c>
      <c r="F17" s="38" t="s">
        <v>10</v>
      </c>
      <c r="G17" s="127"/>
      <c r="H17" s="127"/>
      <c r="I17" s="37"/>
      <c r="J17">
        <f>+E17/$D$24</f>
        <v>2.9629629629629631E-2</v>
      </c>
    </row>
    <row r="18" spans="1:10" x14ac:dyDescent="0.25">
      <c r="A18" s="36"/>
      <c r="B18" s="35"/>
      <c r="C18" s="34"/>
      <c r="D18" s="33"/>
      <c r="E18" s="32"/>
      <c r="F18" s="31"/>
      <c r="G18" s="128"/>
      <c r="H18" s="129"/>
      <c r="I18" s="30"/>
    </row>
    <row r="19" spans="1:10" x14ac:dyDescent="0.25">
      <c r="A19" s="29"/>
      <c r="B19" s="28"/>
      <c r="C19" s="27"/>
      <c r="D19" s="26"/>
      <c r="E19" s="25"/>
      <c r="F19" s="24"/>
      <c r="G19" s="23"/>
      <c r="H19" s="22"/>
      <c r="I19" s="21"/>
    </row>
    <row r="20" spans="1:10" ht="15.75" thickBot="1" x14ac:dyDescent="0.3">
      <c r="A20" s="20"/>
      <c r="B20" s="19"/>
      <c r="C20" s="16"/>
      <c r="D20" s="16"/>
      <c r="E20" s="18"/>
      <c r="F20" s="17"/>
      <c r="G20" s="16"/>
      <c r="H20" s="16"/>
      <c r="I20" s="15"/>
    </row>
    <row r="21" spans="1:10" ht="15.75" thickBot="1" x14ac:dyDescent="0.3">
      <c r="A21" s="14"/>
      <c r="B21" s="13"/>
      <c r="C21" s="9"/>
      <c r="D21" s="12" t="s">
        <v>18</v>
      </c>
      <c r="E21" s="11" t="s">
        <v>17</v>
      </c>
      <c r="F21" s="10"/>
      <c r="G21" s="9"/>
      <c r="H21" s="9"/>
      <c r="I21" s="8"/>
    </row>
    <row r="22" spans="1:10" x14ac:dyDescent="0.25">
      <c r="A22" s="130" t="s">
        <v>16</v>
      </c>
      <c r="B22" s="131"/>
      <c r="C22" s="132"/>
      <c r="D22" s="7">
        <v>24440</v>
      </c>
      <c r="E22" s="6" t="s">
        <v>5</v>
      </c>
      <c r="F22" s="133" t="s">
        <v>15</v>
      </c>
      <c r="G22" s="133"/>
      <c r="H22" s="134"/>
      <c r="I22" s="135"/>
    </row>
    <row r="23" spans="1:10" x14ac:dyDescent="0.25">
      <c r="A23" s="116" t="s">
        <v>14</v>
      </c>
      <c r="B23" s="117"/>
      <c r="C23" s="118"/>
      <c r="D23" s="5">
        <v>55</v>
      </c>
      <c r="E23" s="5" t="s">
        <v>13</v>
      </c>
      <c r="F23" s="119" t="s">
        <v>12</v>
      </c>
      <c r="G23" s="119"/>
      <c r="H23" s="120"/>
      <c r="I23" s="121"/>
    </row>
    <row r="24" spans="1:10" x14ac:dyDescent="0.25">
      <c r="A24" s="116" t="s">
        <v>11</v>
      </c>
      <c r="B24" s="117"/>
      <c r="C24" s="118"/>
      <c r="D24" s="5">
        <v>270</v>
      </c>
      <c r="E24" s="5" t="s">
        <v>10</v>
      </c>
      <c r="F24" s="119" t="s">
        <v>9</v>
      </c>
      <c r="G24" s="119"/>
      <c r="H24" s="120"/>
      <c r="I24" s="121"/>
    </row>
    <row r="25" spans="1:10" x14ac:dyDescent="0.25">
      <c r="A25" s="116" t="s">
        <v>8</v>
      </c>
      <c r="B25" s="117"/>
      <c r="C25" s="118"/>
      <c r="D25" s="4">
        <v>90</v>
      </c>
      <c r="E25" s="3" t="s">
        <v>5</v>
      </c>
      <c r="F25" s="122" t="s">
        <v>7</v>
      </c>
      <c r="G25" s="122"/>
      <c r="H25" s="120"/>
      <c r="I25" s="121"/>
    </row>
    <row r="26" spans="1:10" ht="15.75" thickBot="1" x14ac:dyDescent="0.3">
      <c r="A26" s="123" t="s">
        <v>6</v>
      </c>
      <c r="B26" s="124"/>
      <c r="C26" s="125"/>
      <c r="D26" s="2">
        <f>SUM(E9:E11)-D22</f>
        <v>1350</v>
      </c>
      <c r="E26" s="1" t="s">
        <v>5</v>
      </c>
      <c r="F26" s="126"/>
      <c r="G26" s="126"/>
      <c r="H26" s="114"/>
      <c r="I26" s="115"/>
    </row>
    <row r="27" spans="1:10" ht="15.75" thickBot="1" x14ac:dyDescent="0.3">
      <c r="A27" s="85" t="s">
        <v>4</v>
      </c>
      <c r="B27" s="86"/>
      <c r="C27" s="86"/>
      <c r="D27" s="86"/>
      <c r="E27" s="86"/>
      <c r="F27" s="86"/>
      <c r="G27" s="86"/>
      <c r="H27" s="86"/>
      <c r="I27" s="87"/>
    </row>
    <row r="28" spans="1:10" x14ac:dyDescent="0.25">
      <c r="A28" s="88" t="s">
        <v>3</v>
      </c>
      <c r="B28" s="89"/>
      <c r="C28" s="90"/>
      <c r="D28" s="90"/>
      <c r="E28" s="90"/>
      <c r="F28" s="90"/>
      <c r="G28" s="90"/>
      <c r="H28" s="90"/>
      <c r="I28" s="91"/>
    </row>
    <row r="29" spans="1:10" x14ac:dyDescent="0.25">
      <c r="A29" s="92" t="s">
        <v>2</v>
      </c>
      <c r="B29" s="93"/>
      <c r="C29" s="94"/>
      <c r="D29" s="94"/>
      <c r="E29" s="94"/>
      <c r="F29" s="94"/>
      <c r="G29" s="94"/>
      <c r="H29" s="94"/>
      <c r="I29" s="95"/>
    </row>
    <row r="30" spans="1:10" x14ac:dyDescent="0.25">
      <c r="A30" s="96" t="s">
        <v>1</v>
      </c>
      <c r="B30" s="97"/>
      <c r="C30" s="98"/>
      <c r="D30" s="98"/>
      <c r="E30" s="98"/>
      <c r="F30" s="98"/>
      <c r="G30" s="98"/>
      <c r="H30" s="98"/>
      <c r="I30" s="99"/>
    </row>
    <row r="31" spans="1:10" x14ac:dyDescent="0.25">
      <c r="A31" s="100" t="s">
        <v>67</v>
      </c>
      <c r="B31" s="101"/>
      <c r="C31" s="101"/>
      <c r="D31" s="101"/>
      <c r="E31" s="101"/>
      <c r="F31" s="101"/>
      <c r="G31" s="101"/>
      <c r="H31" s="101"/>
      <c r="I31" s="102"/>
    </row>
    <row r="32" spans="1:10" x14ac:dyDescent="0.25">
      <c r="A32" s="81"/>
      <c r="B32" s="82"/>
      <c r="C32" s="83"/>
      <c r="D32" s="83"/>
      <c r="E32" s="83"/>
      <c r="F32" s="83"/>
      <c r="G32" s="83"/>
      <c r="H32" s="83"/>
      <c r="I32" s="84"/>
    </row>
    <row r="33" spans="1:9" ht="15.75" thickBot="1" x14ac:dyDescent="0.3">
      <c r="A33" s="103"/>
      <c r="B33" s="104"/>
      <c r="C33" s="105"/>
      <c r="D33" s="105"/>
      <c r="E33" s="105"/>
      <c r="F33" s="105"/>
      <c r="G33" s="105"/>
      <c r="H33" s="105"/>
      <c r="I33" s="106"/>
    </row>
    <row r="34" spans="1:9" x14ac:dyDescent="0.25">
      <c r="A34" s="107" t="s">
        <v>0</v>
      </c>
      <c r="B34" s="108"/>
      <c r="C34" s="108"/>
      <c r="D34" s="108"/>
      <c r="E34" s="108"/>
      <c r="F34" s="108"/>
      <c r="G34" s="108"/>
      <c r="H34" s="108"/>
      <c r="I34" s="109"/>
    </row>
    <row r="35" spans="1:9" ht="15.75" thickBot="1" x14ac:dyDescent="0.3">
      <c r="A35" s="110" t="s">
        <v>66</v>
      </c>
      <c r="B35" s="111"/>
      <c r="C35" s="112"/>
      <c r="D35" s="112"/>
      <c r="E35" s="112"/>
      <c r="F35" s="112"/>
      <c r="G35" s="112"/>
      <c r="H35" s="112"/>
      <c r="I35" s="113"/>
    </row>
    <row r="36" spans="1:9" ht="15.75" thickBot="1" x14ac:dyDescent="0.3">
      <c r="A36" s="77"/>
      <c r="B36" s="78"/>
      <c r="C36" s="79"/>
      <c r="D36" s="79"/>
      <c r="E36" s="79"/>
      <c r="F36" s="79"/>
      <c r="G36" s="79"/>
      <c r="H36" s="79"/>
      <c r="I36" s="80"/>
    </row>
    <row r="37" spans="1:9" ht="15.75" thickBot="1" x14ac:dyDescent="0.3">
      <c r="A37" s="77"/>
      <c r="B37" s="78"/>
      <c r="C37" s="79"/>
      <c r="D37" s="79"/>
      <c r="E37" s="79"/>
      <c r="F37" s="79"/>
      <c r="G37" s="79"/>
      <c r="H37" s="79"/>
      <c r="I37" s="80"/>
    </row>
    <row r="38" spans="1:9" ht="15.75" thickBot="1" x14ac:dyDescent="0.3">
      <c r="A38" s="77"/>
      <c r="B38" s="78"/>
      <c r="C38" s="79"/>
      <c r="D38" s="79"/>
      <c r="E38" s="79"/>
      <c r="F38" s="79"/>
      <c r="G38" s="79"/>
      <c r="H38" s="79"/>
      <c r="I38" s="80"/>
    </row>
    <row r="39" spans="1:9" ht="15.75" thickBot="1" x14ac:dyDescent="0.3">
      <c r="A39" s="77"/>
      <c r="B39" s="78"/>
      <c r="C39" s="79"/>
      <c r="D39" s="79"/>
      <c r="E39" s="79"/>
      <c r="F39" s="79"/>
      <c r="G39" s="79"/>
      <c r="H39" s="79"/>
      <c r="I39" s="80"/>
    </row>
    <row r="40" spans="1:9" ht="15.75" thickBot="1" x14ac:dyDescent="0.3">
      <c r="A40" s="77"/>
      <c r="B40" s="78"/>
      <c r="C40" s="79"/>
      <c r="D40" s="79"/>
      <c r="E40" s="79"/>
      <c r="F40" s="79"/>
      <c r="G40" s="79"/>
      <c r="H40" s="79"/>
      <c r="I40" s="80"/>
    </row>
    <row r="41" spans="1:9" ht="15.75" thickBot="1" x14ac:dyDescent="0.3">
      <c r="A41" s="77"/>
      <c r="B41" s="78"/>
      <c r="C41" s="79"/>
      <c r="D41" s="79"/>
      <c r="E41" s="79"/>
      <c r="F41" s="79"/>
      <c r="G41" s="79"/>
      <c r="H41" s="79"/>
      <c r="I41" s="80"/>
    </row>
    <row r="42" spans="1:9" ht="15.75" thickBot="1" x14ac:dyDescent="0.3">
      <c r="A42" s="77"/>
      <c r="B42" s="78"/>
      <c r="C42" s="79"/>
      <c r="D42" s="79"/>
      <c r="E42" s="79"/>
      <c r="F42" s="79"/>
      <c r="G42" s="79"/>
      <c r="H42" s="79"/>
      <c r="I42" s="80"/>
    </row>
    <row r="43" spans="1:9" ht="15.75" thickBot="1" x14ac:dyDescent="0.3">
      <c r="A43" s="73"/>
      <c r="B43" s="74"/>
      <c r="C43" s="75"/>
      <c r="D43" s="75"/>
      <c r="E43" s="75"/>
      <c r="F43" s="75"/>
      <c r="G43" s="75"/>
      <c r="H43" s="75"/>
      <c r="I43" s="76"/>
    </row>
  </sheetData>
  <mergeCells count="5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5:H15"/>
    <mergeCell ref="G16:H16"/>
    <mergeCell ref="G17:H17"/>
    <mergeCell ref="G18:H18"/>
    <mergeCell ref="A22:C22"/>
    <mergeCell ref="F22:G22"/>
    <mergeCell ref="H22:I22"/>
    <mergeCell ref="H26:I26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A27:I27"/>
    <mergeCell ref="A28:I28"/>
    <mergeCell ref="A29:I29"/>
    <mergeCell ref="A30:I30"/>
    <mergeCell ref="A31:I31"/>
    <mergeCell ref="A43:I43"/>
    <mergeCell ref="A38:I38"/>
    <mergeCell ref="A32:I32"/>
    <mergeCell ref="A39:I39"/>
    <mergeCell ref="A40:I40"/>
    <mergeCell ref="A41:I41"/>
    <mergeCell ref="A42:I42"/>
    <mergeCell ref="A33:I33"/>
    <mergeCell ref="A34:I34"/>
    <mergeCell ref="A35:I35"/>
    <mergeCell ref="A36:I36"/>
    <mergeCell ref="A37:I37"/>
  </mergeCells>
  <pageMargins left="0.7" right="0.7" top="0.75" bottom="0.75" header="0.3" footer="0.3"/>
  <pageSetup paperSize="9" scale="5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8E71A06-FCEA-4A15-BC6C-DC9DFA471F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15965B-2FB2-4894-906F-DA42B0FFDE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172E62-95C7-41FF-A5B8-1099D267E9A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Mufin chiverre</vt:lpstr>
      <vt:lpstr>'Mufin chiverre'!Área_de_impresión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2025-02-18T22:43:57Z</cp:lastPrinted>
  <dcterms:created xsi:type="dcterms:W3CDTF">2025-01-31T20:50:58Z</dcterms:created>
  <dcterms:modified xsi:type="dcterms:W3CDTF">2025-02-18T22:44:18Z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
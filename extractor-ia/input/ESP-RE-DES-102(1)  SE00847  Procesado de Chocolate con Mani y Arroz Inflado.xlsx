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16A2AE3C-1C92-4083-A823-4970785E915E}" xr6:coauthVersionLast="47" xr6:coauthVersionMax="47" xr10:uidLastSave="{785A3BC1-B98B-4972-B7B3-BC5F591E1C71}"/>
  <bookViews>
    <workbookView xWindow="-120" yWindow="-120" windowWidth="20730" windowHeight="11040" xr2:uid="{4356BD28-5BA2-433D-AD90-8E9B0A17B992}"/>
  </bookViews>
  <sheets>
    <sheet name="Procesado Choco Mani y Arr" sheetId="1" r:id="rId1"/>
  </sheets>
  <definedNames>
    <definedName name="_xlnm.Print_Area" localSheetId="0">'Procesado Choco Mani y Arr'!$A$1:$I$31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1" l="1"/>
  <c r="K10" i="1" s="1"/>
  <c r="D24" i="1"/>
</calcChain>
</file>

<file path=xl/sharedStrings.xml><?xml version="1.0" encoding="utf-8"?>
<sst xmlns="http://schemas.openxmlformats.org/spreadsheetml/2006/main" count="62" uniqueCount="55">
  <si>
    <t>CONTROL DE CAMBIOS</t>
  </si>
  <si>
    <t xml:space="preserve">2.- Colocar en topper plasticos, etiquetar. Refigerar. </t>
  </si>
  <si>
    <t>1.- Pasar el chocolate con mani y arroz inflado por la maquina trituradora.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</si>
  <si>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</si>
  <si>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</si>
  <si>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</si>
  <si>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</si>
  <si>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</si>
  <si>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</si>
  <si>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</si>
  <si>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</si>
  <si>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</si>
  <si>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</si>
  <si>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</si>
  <si>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</si>
  <si>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</si>
  <si>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</si>
  <si>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</si>
  <si>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</si>
  <si>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BOLSA 17x25 TRANSP KILO</t>
  </si>
  <si>
    <t>EM10013</t>
  </si>
  <si>
    <t>CEMUSA</t>
  </si>
  <si>
    <t>ETIQUETA BLANCA 2 5/8X1 15/16 (UND)</t>
  </si>
  <si>
    <t>EM10011</t>
  </si>
  <si>
    <t>Empaque</t>
  </si>
  <si>
    <t>Decoración</t>
  </si>
  <si>
    <t>FAS</t>
  </si>
  <si>
    <t>Chocolate con Mani y Arroz Inflado</t>
  </si>
  <si>
    <t>SE00848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</si>
  <si>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</si>
  <si>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</si>
  <si>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</si>
  <si>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</si>
  <si>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</si>
  <si>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</si>
  <si>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</si>
  <si>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</si>
  <si>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</si>
  <si>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</si>
  <si>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Decoración </t>
  </si>
  <si>
    <t xml:space="preserve">AREA QUE EMPACA: </t>
  </si>
  <si>
    <t xml:space="preserve">Decoracion </t>
  </si>
  <si>
    <t>AREA QUE PRODUCE:</t>
  </si>
  <si>
    <t>Sebastian Díaz, Gte Manufactura</t>
  </si>
  <si>
    <t>Aprobado</t>
  </si>
  <si>
    <t>Mariela Barrantes, Chef</t>
  </si>
  <si>
    <t>Elaborado</t>
  </si>
  <si>
    <t>FECHA DE APROBACIÓN:</t>
  </si>
  <si>
    <t xml:space="preserve"> SE00847  Procesado de Chocolate con Mani y Arroz Inflado</t>
  </si>
  <si>
    <t>REVISIÓN:</t>
  </si>
  <si>
    <t>ESPECIFICACION DE RECETA</t>
  </si>
  <si>
    <t>CÓDIGO:</t>
  </si>
  <si>
    <t>SERVICIOS DE PASTELERIA S.A.</t>
  </si>
  <si>
    <t>01</t>
  </si>
  <si>
    <t>ESP-RE-DES-102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</si>
</sst>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134">
    <xf numFmtId="0" fontId="0" fillId="0" borderId="0" xfId="0"/>
    <xf numFmtId="0" fontId="4" fillId="4" borderId="10" xfId="3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4" borderId="9" xfId="3" applyFont="1" applyFill="1" applyBorder="1" applyAlignment="1">
      <alignment horizontal="center"/>
    </xf>
    <xf numFmtId="0" fontId="3" fillId="4" borderId="10" xfId="3" applyFont="1" applyFill="1" applyBorder="1"/>
    <xf numFmtId="164" fontId="3" fillId="4" borderId="10" xfId="3" applyNumberFormat="1" applyFont="1" applyFill="1" applyBorder="1" applyAlignment="1">
      <alignment horizontal="center" wrapText="1"/>
    </xf>
    <xf numFmtId="1" fontId="4" fillId="4" borderId="10" xfId="3" applyNumberFormat="1" applyFont="1" applyFill="1" applyBorder="1" applyAlignment="1">
      <alignment horizontal="center"/>
    </xf>
    <xf numFmtId="0" fontId="3" fillId="4" borderId="10" xfId="3" applyFont="1" applyFill="1" applyBorder="1" applyAlignment="1">
      <alignment horizontal="center"/>
    </xf>
    <xf numFmtId="0" fontId="3" fillId="4" borderId="11" xfId="3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/>
    </xf>
    <xf numFmtId="0" fontId="3" fillId="2" borderId="0" xfId="3" applyFont="1" applyFill="1"/>
    <xf numFmtId="164" fontId="3" fillId="2" borderId="0" xfId="3" applyNumberFormat="1" applyFont="1" applyFill="1" applyAlignment="1">
      <alignment horizontal="center" wrapText="1"/>
    </xf>
    <xf numFmtId="1" fontId="3" fillId="2" borderId="0" xfId="3" applyNumberFormat="1" applyFont="1" applyFill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49" fontId="6" fillId="2" borderId="25" xfId="3" applyNumberFormat="1" applyFont="1" applyFill="1" applyBorder="1" applyAlignment="1">
      <alignment horizontal="center" vertical="center"/>
    </xf>
    <xf numFmtId="0" fontId="3" fillId="0" borderId="26" xfId="3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1" fontId="3" fillId="0" borderId="1" xfId="3" applyNumberFormat="1" applyFont="1" applyBorder="1" applyAlignment="1">
      <alignment horizontal="center" wrapText="1"/>
    </xf>
    <xf numFmtId="49" fontId="3" fillId="0" borderId="1" xfId="3" applyNumberFormat="1" applyFont="1" applyBorder="1"/>
    <xf numFmtId="49" fontId="3" fillId="0" borderId="17" xfId="3" applyNumberFormat="1" applyFont="1" applyBorder="1" applyAlignment="1">
      <alignment horizontal="center"/>
    </xf>
    <xf numFmtId="49" fontId="3" fillId="0" borderId="27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165" fontId="4" fillId="5" borderId="1" xfId="1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7" fillId="0" borderId="1" xfId="4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0" fontId="7" fillId="0" borderId="0" xfId="0" applyFont="1"/>
    <xf numFmtId="1" fontId="4" fillId="0" borderId="1" xfId="3" applyNumberFormat="1" applyFont="1" applyBorder="1" applyAlignment="1">
      <alignment horizontal="center"/>
    </xf>
    <xf numFmtId="166" fontId="4" fillId="0" borderId="1" xfId="3" applyNumberFormat="1" applyFont="1" applyBorder="1" applyAlignment="1">
      <alignment horizontal="center"/>
    </xf>
    <xf numFmtId="0" fontId="4" fillId="0" borderId="17" xfId="3" applyFont="1" applyBorder="1" applyAlignment="1">
      <alignment horizontal="center"/>
    </xf>
    <xf numFmtId="0" fontId="8" fillId="5" borderId="1" xfId="3" applyFont="1" applyFill="1" applyBorder="1" applyAlignment="1">
      <alignment vertical="center"/>
    </xf>
    <xf numFmtId="16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6" fontId="3" fillId="0" borderId="1" xfId="3" applyNumberFormat="1" applyFont="1" applyBorder="1" applyAlignment="1">
      <alignment horizontal="center"/>
    </xf>
    <xf numFmtId="0" fontId="4" fillId="5" borderId="1" xfId="3" applyFont="1" applyFill="1" applyBorder="1" applyAlignment="1">
      <alignment horizontal="left"/>
    </xf>
    <xf numFmtId="12" fontId="3" fillId="0" borderId="6" xfId="0" applyNumberFormat="1" applyFont="1" applyBorder="1" applyAlignment="1">
      <alignment horizontal="center"/>
    </xf>
    <xf numFmtId="16" fontId="3" fillId="0" borderId="1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1" fontId="3" fillId="5" borderId="1" xfId="0" applyNumberFormat="1" applyFont="1" applyFill="1" applyBorder="1" applyAlignment="1">
      <alignment horizontal="center" wrapText="1"/>
    </xf>
    <xf numFmtId="1" fontId="3" fillId="5" borderId="1" xfId="0" applyNumberFormat="1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5" borderId="6" xfId="0" applyFont="1" applyFill="1" applyBorder="1"/>
    <xf numFmtId="0" fontId="7" fillId="5" borderId="1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4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4" fillId="0" borderId="17" xfId="3" applyFont="1" applyBorder="1" applyAlignment="1">
      <alignment horizontal="center" vertical="center"/>
    </xf>
    <xf numFmtId="0" fontId="4" fillId="0" borderId="27" xfId="3" applyFont="1" applyBorder="1" applyAlignment="1">
      <alignment horizontal="center" vertical="center"/>
    </xf>
    <xf numFmtId="0" fontId="9" fillId="4" borderId="28" xfId="3" applyFont="1" applyFill="1" applyBorder="1" applyAlignment="1">
      <alignment horizontal="center"/>
    </xf>
    <xf numFmtId="1" fontId="9" fillId="4" borderId="14" xfId="3" applyNumberFormat="1" applyFont="1" applyFill="1" applyBorder="1" applyAlignment="1">
      <alignment horizontal="center" wrapText="1"/>
    </xf>
    <xf numFmtId="1" fontId="9" fillId="4" borderId="14" xfId="3" applyNumberFormat="1" applyFont="1" applyFill="1" applyBorder="1" applyAlignment="1">
      <alignment horizontal="center"/>
    </xf>
    <xf numFmtId="0" fontId="9" fillId="4" borderId="29" xfId="3" applyFont="1" applyFill="1" applyBorder="1" applyAlignment="1">
      <alignment horizontal="center" vertical="center" wrapText="1"/>
    </xf>
    <xf numFmtId="14" fontId="10" fillId="2" borderId="0" xfId="2" applyNumberFormat="1" applyFont="1" applyFill="1" applyAlignment="1">
      <alignment horizontal="center" vertical="center" wrapText="1"/>
    </xf>
    <xf numFmtId="0" fontId="12" fillId="2" borderId="1" xfId="2" applyFont="1" applyFill="1" applyBorder="1" applyAlignment="1">
      <alignment horizontal="right"/>
    </xf>
    <xf numFmtId="0" fontId="12" fillId="2" borderId="6" xfId="2" applyFont="1" applyFill="1" applyBorder="1" applyAlignment="1">
      <alignment horizontal="right"/>
    </xf>
    <xf numFmtId="49" fontId="12" fillId="2" borderId="26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right"/>
    </xf>
    <xf numFmtId="0" fontId="12" fillId="2" borderId="29" xfId="2" applyFont="1" applyFill="1" applyBorder="1" applyAlignment="1">
      <alignment horizontal="center"/>
    </xf>
    <xf numFmtId="0" fontId="9" fillId="2" borderId="30" xfId="2" applyFont="1" applyFill="1" applyBorder="1" applyAlignment="1">
      <alignment horizontal="right"/>
    </xf>
    <xf numFmtId="49" fontId="4" fillId="0" borderId="1" xfId="3" applyNumberFormat="1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3" borderId="1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left"/>
    </xf>
    <xf numFmtId="0" fontId="4" fillId="0" borderId="16" xfId="3" applyFont="1" applyBorder="1" applyAlignment="1">
      <alignment horizontal="right"/>
    </xf>
    <xf numFmtId="0" fontId="4" fillId="0" borderId="15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164" fontId="3" fillId="0" borderId="13" xfId="3" applyNumberFormat="1" applyFont="1" applyBorder="1" applyAlignment="1">
      <alignment horizontal="center"/>
    </xf>
    <xf numFmtId="164" fontId="3" fillId="0" borderId="12" xfId="3" applyNumberFormat="1" applyFont="1" applyBorder="1" applyAlignment="1">
      <alignment horizontal="center"/>
    </xf>
    <xf numFmtId="0" fontId="4" fillId="4" borderId="11" xfId="3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4" fillId="4" borderId="9" xfId="3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19" xfId="3" applyFont="1" applyBorder="1" applyAlignment="1">
      <alignment horizontal="right"/>
    </xf>
    <xf numFmtId="0" fontId="4" fillId="0" borderId="18" xfId="3" applyFont="1" applyBorder="1" applyAlignment="1">
      <alignment horizontal="right"/>
    </xf>
    <xf numFmtId="0" fontId="4" fillId="0" borderId="17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164" fontId="3" fillId="0" borderId="13" xfId="3" applyNumberFormat="1" applyFont="1" applyBorder="1" applyAlignment="1">
      <alignment horizontal="right" wrapText="1"/>
    </xf>
    <xf numFmtId="164" fontId="3" fillId="0" borderId="17" xfId="3" applyNumberFormat="1" applyFont="1" applyBorder="1" applyAlignment="1">
      <alignment horizontal="right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 wrapText="1"/>
    </xf>
    <xf numFmtId="0" fontId="4" fillId="0" borderId="23" xfId="3" applyFont="1" applyBorder="1" applyAlignment="1">
      <alignment horizontal="right"/>
    </xf>
    <xf numFmtId="0" fontId="4" fillId="0" borderId="22" xfId="3" applyFont="1" applyBorder="1" applyAlignment="1">
      <alignment horizontal="right"/>
    </xf>
    <xf numFmtId="0" fontId="4" fillId="0" borderId="7" xfId="3" applyFont="1" applyBorder="1" applyAlignment="1">
      <alignment horizontal="right"/>
    </xf>
    <xf numFmtId="164" fontId="3" fillId="0" borderId="6" xfId="3" applyNumberFormat="1" applyFont="1" applyBorder="1" applyAlignment="1">
      <alignment horizontal="right"/>
    </xf>
    <xf numFmtId="0" fontId="3" fillId="2" borderId="21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11" fillId="2" borderId="0" xfId="2" applyFont="1" applyFill="1" applyAlignment="1">
      <alignment horizontal="right"/>
    </xf>
    <xf numFmtId="0" fontId="10" fillId="2" borderId="32" xfId="2" applyFont="1" applyFill="1" applyBorder="1" applyAlignment="1">
      <alignment horizontal="center"/>
    </xf>
    <xf numFmtId="0" fontId="11" fillId="2" borderId="0" xfId="2" applyFont="1" applyFill="1"/>
    <xf numFmtId="0" fontId="9" fillId="4" borderId="31" xfId="3" applyFont="1" applyFill="1" applyBorder="1" applyAlignment="1">
      <alignment horizontal="center" vertical="center"/>
    </xf>
    <xf numFmtId="0" fontId="9" fillId="4" borderId="16" xfId="3" applyFont="1" applyFill="1" applyBorder="1" applyAlignment="1">
      <alignment horizontal="center" vertical="center"/>
    </xf>
    <xf numFmtId="0" fontId="9" fillId="4" borderId="31" xfId="3" applyFont="1" applyFill="1" applyBorder="1" applyAlignment="1">
      <alignment horizontal="center" vertical="center" wrapText="1"/>
    </xf>
    <xf numFmtId="0" fontId="9" fillId="4" borderId="16" xfId="3" applyFont="1" applyFill="1" applyBorder="1" applyAlignment="1">
      <alignment horizontal="center" vertical="center" wrapText="1"/>
    </xf>
    <xf numFmtId="0" fontId="9" fillId="4" borderId="30" xfId="3" applyFont="1" applyFill="1" applyBorder="1" applyAlignment="1">
      <alignment horizontal="center" vertical="center"/>
    </xf>
    <xf numFmtId="0" fontId="9" fillId="4" borderId="14" xfId="3" applyFont="1" applyFill="1" applyBorder="1" applyAlignment="1">
      <alignment horizontal="center" vertical="center"/>
    </xf>
    <xf numFmtId="14" fontId="12" fillId="2" borderId="39" xfId="2" applyNumberFormat="1" applyFont="1" applyFill="1" applyBorder="1" applyAlignment="1">
      <alignment horizontal="center" vertical="center" wrapText="1"/>
    </xf>
    <xf numFmtId="14" fontId="12" fillId="2" borderId="34" xfId="2" applyNumberFormat="1" applyFont="1" applyFill="1" applyBorder="1" applyAlignment="1">
      <alignment horizontal="center" vertical="center" wrapText="1"/>
    </xf>
    <xf numFmtId="14" fontId="12" fillId="2" borderId="5" xfId="2" applyNumberFormat="1" applyFont="1" applyFill="1" applyBorder="1" applyAlignment="1">
      <alignment horizontal="center" vertical="center" wrapText="1"/>
    </xf>
    <xf numFmtId="0" fontId="12" fillId="2" borderId="38" xfId="2" applyFont="1" applyFill="1" applyBorder="1" applyAlignment="1">
      <alignment horizontal="left"/>
    </xf>
    <xf numFmtId="0" fontId="12" fillId="2" borderId="37" xfId="2" applyFont="1" applyFill="1" applyBorder="1" applyAlignment="1">
      <alignment horizontal="left"/>
    </xf>
    <xf numFmtId="0" fontId="12" fillId="2" borderId="36" xfId="2" applyFont="1" applyFill="1" applyBorder="1" applyAlignment="1">
      <alignment horizontal="left"/>
    </xf>
    <xf numFmtId="0" fontId="12" fillId="2" borderId="13" xfId="2" applyFont="1" applyFill="1" applyBorder="1" applyAlignment="1">
      <alignment horizontal="left"/>
    </xf>
    <xf numFmtId="0" fontId="12" fillId="2" borderId="18" xfId="2" applyFont="1" applyFill="1" applyBorder="1" applyAlignment="1">
      <alignment horizontal="left"/>
    </xf>
    <xf numFmtId="0" fontId="12" fillId="2" borderId="17" xfId="2" applyFont="1" applyFill="1" applyBorder="1" applyAlignment="1">
      <alignment horizontal="left"/>
    </xf>
    <xf numFmtId="0" fontId="12" fillId="2" borderId="44" xfId="2" applyFont="1" applyFill="1" applyBorder="1" applyAlignment="1">
      <alignment horizontal="center"/>
    </xf>
    <xf numFmtId="0" fontId="12" fillId="2" borderId="43" xfId="2" applyFont="1" applyFill="1" applyBorder="1" applyAlignment="1">
      <alignment horizontal="center"/>
    </xf>
    <xf numFmtId="0" fontId="12" fillId="2" borderId="25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23" xfId="2" applyFont="1" applyFill="1" applyBorder="1" applyAlignment="1">
      <alignment horizontal="center"/>
    </xf>
    <xf numFmtId="0" fontId="12" fillId="2" borderId="22" xfId="2" applyFont="1" applyFill="1" applyBorder="1" applyAlignment="1">
      <alignment horizontal="center"/>
    </xf>
    <xf numFmtId="0" fontId="14" fillId="2" borderId="30" xfId="2" applyFont="1" applyFill="1" applyBorder="1" applyAlignment="1">
      <alignment horizontal="center"/>
    </xf>
    <xf numFmtId="0" fontId="14" fillId="2" borderId="42" xfId="2" applyFont="1" applyFill="1" applyBorder="1" applyAlignment="1">
      <alignment horizontal="center"/>
    </xf>
    <xf numFmtId="0" fontId="14" fillId="2" borderId="41" xfId="2" applyFont="1" applyFill="1" applyBorder="1" applyAlignment="1">
      <alignment horizontal="center"/>
    </xf>
    <xf numFmtId="0" fontId="14" fillId="2" borderId="15" xfId="2" applyFont="1" applyFill="1" applyBorder="1" applyAlignment="1">
      <alignment horizontal="center"/>
    </xf>
    <xf numFmtId="0" fontId="13" fillId="6" borderId="11" xfId="2" applyFont="1" applyFill="1" applyBorder="1" applyAlignment="1">
      <alignment horizontal="center" vertical="center" wrapText="1"/>
    </xf>
    <xf numFmtId="0" fontId="13" fillId="6" borderId="10" xfId="2" applyFont="1" applyFill="1" applyBorder="1" applyAlignment="1">
      <alignment horizontal="center" vertical="center" wrapText="1"/>
    </xf>
    <xf numFmtId="0" fontId="13" fillId="6" borderId="9" xfId="2" applyFont="1" applyFill="1" applyBorder="1" applyAlignment="1">
      <alignment horizontal="center" vertical="center" wrapText="1"/>
    </xf>
    <xf numFmtId="0" fontId="9" fillId="2" borderId="40" xfId="2" applyFont="1" applyFill="1" applyBorder="1" applyAlignment="1">
      <alignment horizontal="right" vertical="top" wrapText="1"/>
    </xf>
    <xf numFmtId="0" fontId="9" fillId="2" borderId="35" xfId="2" applyFont="1" applyFill="1" applyBorder="1" applyAlignment="1">
      <alignment horizontal="right" vertical="top" wrapText="1"/>
    </xf>
    <xf numFmtId="0" fontId="9" fillId="2" borderId="33" xfId="2" applyFont="1" applyFill="1" applyBorder="1" applyAlignment="1">
      <alignment horizontal="right" vertical="top" wrapText="1"/>
    </xf>
  </cellXfs>
  <cellStyles count="5">
    <cellStyle name="Millares" xfId="1" builtinId="3"/>
    <cellStyle name="Normal" xfId="0" builtinId="0"/>
    <cellStyle name="Normal 2" xfId="3" xr:uid="{6BEE2296-1FC8-487C-ADD8-EB7126CEED64}"/>
    <cellStyle name="Normal 3" xfId="4" xr:uid="{3263E6AE-7438-4D56-B4E7-CC5FA66788B5}"/>
    <cellStyle name="Normal_CRITERIOS DE EVALUACION PT DE GB 2" xfId="2" xr:uid="{1148EFDF-275F-4038-81AF-4BB66B9D4E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197167</xdr:rowOff>
    </xdr:from>
    <xdr:ext cx="1699606" cy="767239"/>
    <xdr:pic>
      <xdr:nvPicPr>
        <xdr:cNvPr id="2" name="Imagen 1">
          <a:extLst>
            <a:ext uri="{FF2B5EF4-FFF2-40B4-BE49-F238E27FC236}">
              <a16:creationId xmlns:a16="http://schemas.microsoft.com/office/drawing/2014/main" id="{F7D2C3FE-F2B0-4C98-9C12-A9CBC74D3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167"/>
          <a:ext cx="1699606" cy="767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5B35-C2D7-4F4D-B18E-093641945D24}">
  <sheetPr>
    <pageSetUpPr fitToPage="1"/>
  </sheetPr>
  <dimension ref="A1:K3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7109375" customWidth="1"/>
    <col min="3" max="3" width="56.28515625" customWidth="1"/>
    <col min="4" max="4" width="19" customWidth="1"/>
    <col min="5" max="5" width="14.28515625" customWidth="1"/>
    <col min="6" max="6" width="12.140625" customWidth="1"/>
    <col min="7" max="7" width="21.42578125" customWidth="1"/>
    <col min="8" max="8" width="17.42578125" customWidth="1"/>
    <col min="9" max="9" width="17.42578125" bestFit="1" customWidth="1"/>
  </cols>
  <sheetData>
    <row r="1" spans="1:11" ht="15.75" x14ac:dyDescent="0.25">
      <c r="A1" s="118"/>
      <c r="B1" s="119"/>
      <c r="C1" s="124" t="s">
        <v>52</v>
      </c>
      <c r="D1" s="124"/>
      <c r="E1" s="124"/>
      <c r="F1" s="124"/>
      <c r="G1" s="124"/>
      <c r="H1" s="66" t="s">
        <v>51</v>
      </c>
      <c r="I1" s="65" t="s">
        <v>54</v>
      </c>
    </row>
    <row r="2" spans="1:11" ht="16.5" thickBot="1" x14ac:dyDescent="0.3">
      <c r="A2" s="120"/>
      <c r="B2" s="121"/>
      <c r="C2" s="125" t="s">
        <v>50</v>
      </c>
      <c r="D2" s="126"/>
      <c r="E2" s="126"/>
      <c r="F2" s="126"/>
      <c r="G2" s="127"/>
      <c r="H2" s="64" t="s">
        <v>49</v>
      </c>
      <c r="I2" s="63" t="s">
        <v>53</v>
      </c>
    </row>
    <row r="3" spans="1:11" ht="26.25" customHeight="1" thickBot="1" x14ac:dyDescent="0.3">
      <c r="A3" s="120"/>
      <c r="B3" s="121"/>
      <c r="C3" s="128" t="s">
        <v>48</v>
      </c>
      <c r="D3" s="129"/>
      <c r="E3" s="129"/>
      <c r="F3" s="129"/>
      <c r="G3" s="130"/>
      <c r="H3" s="131" t="s">
        <v>47</v>
      </c>
      <c r="I3" s="109">
        <v>46148</v>
      </c>
    </row>
    <row r="4" spans="1:11" ht="18" customHeight="1" x14ac:dyDescent="0.25">
      <c r="A4" s="120"/>
      <c r="B4" s="121"/>
      <c r="C4" s="62" t="s">
        <v>46</v>
      </c>
      <c r="D4" s="112" t="s">
        <v>45</v>
      </c>
      <c r="E4" s="113"/>
      <c r="F4" s="113"/>
      <c r="G4" s="114"/>
      <c r="H4" s="132"/>
      <c r="I4" s="110"/>
    </row>
    <row r="5" spans="1:11" ht="15.75" thickBot="1" x14ac:dyDescent="0.3">
      <c r="A5" s="122"/>
      <c r="B5" s="123"/>
      <c r="C5" s="61" t="s">
        <v>44</v>
      </c>
      <c r="D5" s="115" t="s">
        <v>43</v>
      </c>
      <c r="E5" s="116"/>
      <c r="F5" s="116"/>
      <c r="G5" s="117"/>
      <c r="H5" s="133"/>
      <c r="I5" s="111"/>
    </row>
    <row r="6" spans="1:11" ht="18.75" thickBot="1" x14ac:dyDescent="0.3">
      <c r="A6" s="100" t="s">
        <v>42</v>
      </c>
      <c r="B6" s="100"/>
      <c r="C6" s="100"/>
      <c r="D6" s="101" t="s">
        <v>41</v>
      </c>
      <c r="E6" s="101"/>
      <c r="F6" s="101"/>
      <c r="G6" s="102" t="s">
        <v>40</v>
      </c>
      <c r="H6" s="102"/>
      <c r="I6" s="60" t="s">
        <v>39</v>
      </c>
    </row>
    <row r="7" spans="1:11" ht="25.5" x14ac:dyDescent="0.25">
      <c r="A7" s="103" t="s">
        <v>38</v>
      </c>
      <c r="B7" s="105" t="s">
        <v>37</v>
      </c>
      <c r="C7" s="107" t="s">
        <v>36</v>
      </c>
      <c r="D7" s="107" t="s">
        <v>35</v>
      </c>
      <c r="E7" s="107" t="s">
        <v>34</v>
      </c>
      <c r="F7" s="107"/>
      <c r="G7" s="107" t="s">
        <v>33</v>
      </c>
      <c r="H7" s="107"/>
      <c r="I7" s="59" t="s">
        <v>32</v>
      </c>
    </row>
    <row r="8" spans="1:11" ht="27" thickBot="1" x14ac:dyDescent="0.3">
      <c r="A8" s="104"/>
      <c r="B8" s="106"/>
      <c r="C8" s="108"/>
      <c r="D8" s="108"/>
      <c r="E8" s="58" t="s">
        <v>17</v>
      </c>
      <c r="F8" s="57" t="s">
        <v>31</v>
      </c>
      <c r="G8" s="58" t="s">
        <v>17</v>
      </c>
      <c r="H8" s="57" t="s">
        <v>31</v>
      </c>
      <c r="I8" s="56" t="s">
        <v>30</v>
      </c>
    </row>
    <row r="9" spans="1:11" ht="20.25" x14ac:dyDescent="0.3">
      <c r="A9" s="55"/>
      <c r="B9" s="54"/>
      <c r="C9" s="53" t="s">
        <v>29</v>
      </c>
      <c r="D9" s="52"/>
      <c r="E9" s="34"/>
      <c r="F9" s="26"/>
      <c r="G9" s="34"/>
      <c r="H9" s="26"/>
      <c r="I9" s="20"/>
    </row>
    <row r="10" spans="1:11" ht="20.25" x14ac:dyDescent="0.3">
      <c r="A10" s="51"/>
      <c r="B10" s="50" t="s">
        <v>28</v>
      </c>
      <c r="C10" s="49" t="s">
        <v>27</v>
      </c>
      <c r="D10" s="48" t="s">
        <v>26</v>
      </c>
      <c r="E10" s="47">
        <v>1000</v>
      </c>
      <c r="F10" s="46" t="s">
        <v>4</v>
      </c>
      <c r="G10" s="45"/>
      <c r="H10" s="43"/>
      <c r="I10" s="20"/>
      <c r="J10">
        <f>+E10/D20</f>
        <v>1.0526315789473684</v>
      </c>
      <c r="K10">
        <f>+J10*1000</f>
        <v>1052.6315789473683</v>
      </c>
    </row>
    <row r="11" spans="1:11" ht="20.25" x14ac:dyDescent="0.3">
      <c r="A11" s="40"/>
      <c r="B11" s="40"/>
      <c r="C11" s="39"/>
      <c r="D11" s="44"/>
      <c r="E11" s="5"/>
      <c r="F11" s="28"/>
      <c r="G11" s="34"/>
      <c r="H11" s="43"/>
      <c r="I11" s="20"/>
    </row>
    <row r="12" spans="1:11" ht="20.25" x14ac:dyDescent="0.3">
      <c r="A12" s="25"/>
      <c r="B12" s="24"/>
      <c r="C12" s="42" t="s">
        <v>25</v>
      </c>
      <c r="D12" s="21"/>
      <c r="E12" s="41"/>
      <c r="F12" s="22"/>
      <c r="G12" s="34"/>
      <c r="H12" s="26"/>
      <c r="I12" s="20"/>
    </row>
    <row r="13" spans="1:11" ht="20.25" x14ac:dyDescent="0.3">
      <c r="A13" s="40"/>
      <c r="B13" s="40"/>
      <c r="C13" s="39"/>
      <c r="D13" s="38"/>
      <c r="E13" s="5"/>
      <c r="F13" s="28"/>
      <c r="G13" s="34"/>
      <c r="H13" s="26"/>
      <c r="I13" s="20"/>
    </row>
    <row r="14" spans="1:11" ht="20.25" x14ac:dyDescent="0.3">
      <c r="A14" s="67"/>
      <c r="B14" s="67"/>
      <c r="C14" s="37" t="s">
        <v>24</v>
      </c>
      <c r="D14" s="36"/>
      <c r="E14" s="35"/>
      <c r="F14" s="26"/>
      <c r="G14" s="34"/>
      <c r="H14" s="33"/>
      <c r="I14" s="20"/>
    </row>
    <row r="15" spans="1:11" ht="20.25" x14ac:dyDescent="0.3">
      <c r="A15" s="32"/>
      <c r="B15" s="32" t="s">
        <v>23</v>
      </c>
      <c r="C15" s="31" t="s">
        <v>22</v>
      </c>
      <c r="D15" s="4" t="s">
        <v>21</v>
      </c>
      <c r="E15" s="5">
        <v>1</v>
      </c>
      <c r="F15" s="28" t="s">
        <v>18</v>
      </c>
      <c r="G15" s="27"/>
      <c r="H15" s="26"/>
      <c r="I15" s="20"/>
    </row>
    <row r="16" spans="1:11" ht="20.25" x14ac:dyDescent="0.3">
      <c r="A16" s="30"/>
      <c r="B16" s="30" t="s">
        <v>20</v>
      </c>
      <c r="C16" s="29" t="s">
        <v>19</v>
      </c>
      <c r="D16" s="4"/>
      <c r="E16" s="5">
        <v>1</v>
      </c>
      <c r="F16" s="28" t="s">
        <v>18</v>
      </c>
      <c r="G16" s="27"/>
      <c r="H16" s="26"/>
      <c r="I16" s="20"/>
    </row>
    <row r="17" spans="1:9" ht="20.25" x14ac:dyDescent="0.3">
      <c r="A17" s="25"/>
      <c r="B17" s="24"/>
      <c r="C17" s="23"/>
      <c r="D17" s="21"/>
      <c r="E17" s="21"/>
      <c r="F17" s="22"/>
      <c r="G17" s="21"/>
      <c r="H17" s="21"/>
      <c r="I17" s="20"/>
    </row>
    <row r="18" spans="1:9" ht="21" thickBot="1" x14ac:dyDescent="0.35">
      <c r="A18" s="19"/>
      <c r="B18" s="18"/>
      <c r="C18" s="15"/>
      <c r="D18" s="15"/>
      <c r="E18" s="17"/>
      <c r="F18" s="16"/>
      <c r="G18" s="15"/>
      <c r="H18" s="15"/>
      <c r="I18" s="14"/>
    </row>
    <row r="19" spans="1:9" ht="21" thickBot="1" x14ac:dyDescent="0.35">
      <c r="A19" s="13"/>
      <c r="B19" s="12"/>
      <c r="C19" s="9"/>
      <c r="D19" s="1" t="s">
        <v>17</v>
      </c>
      <c r="E19" s="11" t="s">
        <v>16</v>
      </c>
      <c r="F19" s="10"/>
      <c r="G19" s="9"/>
      <c r="H19" s="9"/>
      <c r="I19" s="8"/>
    </row>
    <row r="20" spans="1:9" ht="20.25" x14ac:dyDescent="0.3">
      <c r="A20" s="94" t="s">
        <v>15</v>
      </c>
      <c r="B20" s="95"/>
      <c r="C20" s="96"/>
      <c r="D20" s="7">
        <v>950</v>
      </c>
      <c r="E20" s="6" t="s">
        <v>4</v>
      </c>
      <c r="F20" s="97" t="s">
        <v>14</v>
      </c>
      <c r="G20" s="97"/>
      <c r="H20" s="98"/>
      <c r="I20" s="99"/>
    </row>
    <row r="21" spans="1:9" ht="20.25" x14ac:dyDescent="0.3">
      <c r="A21" s="86" t="s">
        <v>13</v>
      </c>
      <c r="B21" s="87"/>
      <c r="C21" s="88"/>
      <c r="D21" s="4">
        <v>4</v>
      </c>
      <c r="E21" s="4" t="s">
        <v>12</v>
      </c>
      <c r="F21" s="89" t="s">
        <v>11</v>
      </c>
      <c r="G21" s="89"/>
      <c r="H21" s="77"/>
      <c r="I21" s="78"/>
    </row>
    <row r="22" spans="1:9" ht="20.25" x14ac:dyDescent="0.3">
      <c r="A22" s="86" t="s">
        <v>10</v>
      </c>
      <c r="B22" s="87"/>
      <c r="C22" s="88"/>
      <c r="D22" s="4">
        <v>1</v>
      </c>
      <c r="E22" s="4" t="s">
        <v>9</v>
      </c>
      <c r="F22" s="89" t="s">
        <v>8</v>
      </c>
      <c r="G22" s="89"/>
      <c r="H22" s="77"/>
      <c r="I22" s="78"/>
    </row>
    <row r="23" spans="1:9" ht="20.25" x14ac:dyDescent="0.3">
      <c r="A23" s="86" t="s">
        <v>7</v>
      </c>
      <c r="B23" s="87"/>
      <c r="C23" s="88"/>
      <c r="D23" s="5">
        <v>950</v>
      </c>
      <c r="E23" s="4" t="s">
        <v>4</v>
      </c>
      <c r="F23" s="90" t="s">
        <v>6</v>
      </c>
      <c r="G23" s="91"/>
      <c r="H23" s="92"/>
      <c r="I23" s="93"/>
    </row>
    <row r="24" spans="1:9" ht="21" thickBot="1" x14ac:dyDescent="0.35">
      <c r="A24" s="73" t="s">
        <v>5</v>
      </c>
      <c r="B24" s="74"/>
      <c r="C24" s="75"/>
      <c r="D24" s="3">
        <f>SUM(E10)-D20</f>
        <v>50</v>
      </c>
      <c r="E24" s="2" t="s">
        <v>4</v>
      </c>
      <c r="F24" s="76"/>
      <c r="G24" s="76"/>
      <c r="H24" s="77"/>
      <c r="I24" s="78"/>
    </row>
    <row r="25" spans="1:9" ht="21" thickBot="1" x14ac:dyDescent="0.35">
      <c r="A25" s="79" t="s">
        <v>3</v>
      </c>
      <c r="B25" s="80"/>
      <c r="C25" s="80"/>
      <c r="D25" s="80"/>
      <c r="E25" s="80"/>
      <c r="F25" s="80"/>
      <c r="G25" s="80"/>
      <c r="H25" s="80"/>
      <c r="I25" s="81"/>
    </row>
    <row r="26" spans="1:9" ht="20.25" x14ac:dyDescent="0.3">
      <c r="A26" s="82" t="s">
        <v>2</v>
      </c>
      <c r="B26" s="83"/>
      <c r="C26" s="84"/>
      <c r="D26" s="84"/>
      <c r="E26" s="84"/>
      <c r="F26" s="84"/>
      <c r="G26" s="84"/>
      <c r="H26" s="84"/>
      <c r="I26" s="85"/>
    </row>
    <row r="27" spans="1:9" ht="20.25" x14ac:dyDescent="0.3">
      <c r="A27" s="82" t="s">
        <v>1</v>
      </c>
      <c r="B27" s="83"/>
      <c r="C27" s="84"/>
      <c r="D27" s="84"/>
      <c r="E27" s="84"/>
      <c r="F27" s="84"/>
      <c r="G27" s="84"/>
      <c r="H27" s="84"/>
      <c r="I27" s="85"/>
    </row>
    <row r="28" spans="1:9" ht="20.25" x14ac:dyDescent="0.3">
      <c r="A28" s="68"/>
      <c r="B28" s="69"/>
      <c r="C28" s="69"/>
      <c r="D28" s="69"/>
      <c r="E28" s="69"/>
      <c r="F28" s="69"/>
      <c r="G28" s="69"/>
      <c r="H28" s="69"/>
      <c r="I28" s="70"/>
    </row>
    <row r="29" spans="1:9" ht="20.25" x14ac:dyDescent="0.3">
      <c r="A29" s="71" t="s">
        <v>0</v>
      </c>
      <c r="B29" s="71"/>
      <c r="C29" s="71"/>
      <c r="D29" s="71"/>
      <c r="E29" s="71"/>
      <c r="F29" s="71"/>
      <c r="G29" s="71"/>
      <c r="H29" s="71"/>
      <c r="I29" s="71"/>
    </row>
    <row r="30" spans="1:9" ht="20.25" x14ac:dyDescent="0.3">
      <c r="A30" s="72"/>
      <c r="B30" s="72"/>
      <c r="C30" s="72"/>
      <c r="D30" s="72"/>
      <c r="E30" s="72"/>
      <c r="F30" s="72"/>
      <c r="G30" s="72"/>
      <c r="H30" s="72"/>
      <c r="I30" s="72"/>
    </row>
    <row r="31" spans="1:9" ht="20.25" x14ac:dyDescent="0.3">
      <c r="A31" s="72"/>
      <c r="B31" s="72"/>
      <c r="C31" s="72"/>
      <c r="D31" s="72"/>
      <c r="E31" s="72"/>
      <c r="F31" s="72"/>
      <c r="G31" s="72"/>
      <c r="H31" s="72"/>
      <c r="I31" s="72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8:I28"/>
    <mergeCell ref="A29:I29"/>
    <mergeCell ref="A30:I30"/>
    <mergeCell ref="A31:I31"/>
    <mergeCell ref="A24:C24"/>
    <mergeCell ref="F24:G24"/>
    <mergeCell ref="H24:I24"/>
    <mergeCell ref="A25:I25"/>
    <mergeCell ref="A26:I26"/>
    <mergeCell ref="A27:I27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8D48A5A9-3D1D-4693-BF82-206F9CB4FB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35469B-F07A-4DD1-BB69-4344E7226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78BD70-EE1A-471A-8BA3-B122EF91140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Procesado Choco Mani y Arr</vt:lpstr>
      <vt:lpstr>'Procesado Choco Mani y Arr'!Área_de_impresión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2026-05-06T21:55:53Z</cp:lastPrinted>
  <dcterms:created xsi:type="dcterms:W3CDTF">2026-05-06T21:47:14Z</dcterms:created>
  <dcterms:modified xsi:type="dcterms:W3CDTF">2026-05-06T22:04:28Z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
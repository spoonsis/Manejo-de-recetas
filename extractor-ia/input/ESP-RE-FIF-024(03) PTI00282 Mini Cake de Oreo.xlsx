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5" documentId="8_{6E7B3288-FE9C-4002-97EA-B1DB570AE852}" xr6:coauthVersionLast="47" xr6:coauthVersionMax="47" xr10:uidLastSave="{C2A5E9EB-EEF3-4BB0-8F87-C532EBC34603}"/>
  <bookViews>
    <workbookView xWindow="-120" yWindow="-120" windowWidth="20730" windowHeight="11040" firstSheet="1" activeTab="1" xr2:uid="{41217312-CCD0-4891-B01D-CD26B7F470F9}"/>
  </bookViews>
  <sheets>
    <sheet name="Mini Cake Oreo" sheetId="3" state="hidden" r:id="rId1"/>
    <sheet name="Mini CAke Oreo 2" sheetId="5" r:id="rId2"/>
    <sheet name="Costo Mini Cake" sheetId="4" state="hidden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4" l="1"/>
  <c r="C32" i="4"/>
  <c r="B32" i="4"/>
  <c r="F31" i="4"/>
  <c r="D31" i="4"/>
  <c r="C31" i="4"/>
  <c r="B31" i="4"/>
  <c r="D30" i="4"/>
  <c r="C30" i="4"/>
  <c r="B30" i="4"/>
  <c r="F30" i="4" l="1"/>
  <c r="F32" i="4"/>
  <c r="D76" i="4" l="1"/>
  <c r="D77" i="4" s="1"/>
  <c r="D79" i="4" s="1"/>
  <c r="D74" i="4"/>
  <c r="D72" i="4"/>
  <c r="F68" i="4"/>
  <c r="E54" i="4" s="1"/>
  <c r="D63" i="4"/>
  <c r="D88" i="4" s="1"/>
  <c r="D89" i="4" s="1"/>
  <c r="C54" i="4"/>
  <c r="E53" i="4"/>
  <c r="D53" i="4"/>
  <c r="B53" i="4"/>
  <c r="E44" i="4"/>
  <c r="D44" i="4"/>
  <c r="B44" i="4"/>
  <c r="A44" i="4"/>
  <c r="A53" i="4" s="1"/>
  <c r="C53" i="4" s="1"/>
  <c r="A43" i="4"/>
  <c r="C43" i="4" s="1"/>
  <c r="A42" i="4"/>
  <c r="C42" i="4" s="1"/>
  <c r="A41" i="4"/>
  <c r="A50" i="4" s="1"/>
  <c r="C50" i="4" s="1"/>
  <c r="A40" i="4"/>
  <c r="C40" i="4" s="1"/>
  <c r="A39" i="4"/>
  <c r="A48" i="4" s="1"/>
  <c r="C48" i="4" s="1"/>
  <c r="F48" i="4" s="1"/>
  <c r="A38" i="4"/>
  <c r="A47" i="4" s="1"/>
  <c r="C47" i="4" s="1"/>
  <c r="E35" i="4"/>
  <c r="D35" i="4"/>
  <c r="C35" i="4"/>
  <c r="B35" i="4"/>
  <c r="F34" i="4"/>
  <c r="C34" i="4"/>
  <c r="D33" i="4"/>
  <c r="C33" i="4"/>
  <c r="B33" i="4"/>
  <c r="D29" i="4"/>
  <c r="C29" i="4"/>
  <c r="B29" i="4"/>
  <c r="E28" i="4"/>
  <c r="D28" i="4"/>
  <c r="C28" i="4"/>
  <c r="B28" i="4"/>
  <c r="F27" i="4"/>
  <c r="C27" i="4"/>
  <c r="E24" i="4"/>
  <c r="F24" i="4" s="1"/>
  <c r="D24" i="4"/>
  <c r="C24" i="4"/>
  <c r="B24" i="4"/>
  <c r="E23" i="4"/>
  <c r="F23" i="4" s="1"/>
  <c r="D23" i="4"/>
  <c r="C23" i="4"/>
  <c r="B23" i="4"/>
  <c r="C22" i="4"/>
  <c r="F22" i="4" s="1"/>
  <c r="C21" i="4"/>
  <c r="C20" i="4"/>
  <c r="C19" i="4"/>
  <c r="C18" i="4"/>
  <c r="C17" i="4"/>
  <c r="B15" i="4"/>
  <c r="E14" i="4"/>
  <c r="D14" i="4"/>
  <c r="C14" i="4"/>
  <c r="B14" i="4"/>
  <c r="E13" i="4"/>
  <c r="F13" i="4" s="1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C8" i="4"/>
  <c r="H6" i="4"/>
  <c r="F28" i="4" l="1"/>
  <c r="F33" i="4"/>
  <c r="F29" i="4"/>
  <c r="F35" i="4"/>
  <c r="F9" i="4"/>
  <c r="F11" i="4"/>
  <c r="C39" i="4"/>
  <c r="C44" i="4"/>
  <c r="F44" i="4" s="1"/>
  <c r="F54" i="4"/>
  <c r="F14" i="4"/>
  <c r="F43" i="4"/>
  <c r="F10" i="4"/>
  <c r="F21" i="4"/>
  <c r="C41" i="4"/>
  <c r="F41" i="4" s="1"/>
  <c r="F20" i="4"/>
  <c r="F12" i="4"/>
  <c r="F8" i="4"/>
  <c r="F19" i="4"/>
  <c r="F40" i="4"/>
  <c r="F39" i="4"/>
  <c r="F18" i="4"/>
  <c r="C38" i="4"/>
  <c r="F38" i="4" s="1"/>
  <c r="F17" i="4"/>
  <c r="F53" i="4"/>
  <c r="F50" i="4"/>
  <c r="F42" i="4"/>
  <c r="F47" i="4"/>
  <c r="D84" i="4"/>
  <c r="C76" i="4"/>
  <c r="A52" i="4"/>
  <c r="C52" i="4" s="1"/>
  <c r="F52" i="4" s="1"/>
  <c r="D86" i="4"/>
  <c r="A49" i="4"/>
  <c r="C49" i="4" s="1"/>
  <c r="F49" i="4" s="1"/>
  <c r="A51" i="4"/>
  <c r="C51" i="4" s="1"/>
  <c r="F51" i="4" s="1"/>
  <c r="F56" i="4" l="1"/>
  <c r="C72" i="4" s="1"/>
  <c r="C88" i="4"/>
  <c r="E88" i="4" s="1"/>
  <c r="E76" i="4"/>
  <c r="F59" i="4"/>
  <c r="F57" i="4"/>
  <c r="D47" i="3"/>
  <c r="F67" i="4" l="1"/>
  <c r="F58" i="4"/>
  <c r="O57" i="4" s="1"/>
  <c r="H56" i="4"/>
  <c r="F2" i="4" s="1"/>
  <c r="H59" i="4"/>
  <c r="C77" i="4"/>
  <c r="E72" i="4"/>
  <c r="C84" i="4"/>
  <c r="E84" i="4" s="1"/>
  <c r="C79" i="4"/>
  <c r="E79" i="4" s="1"/>
  <c r="H57" i="4"/>
  <c r="G2" i="4" s="1"/>
  <c r="H58" i="4" l="1"/>
  <c r="F66" i="4"/>
  <c r="C74" i="4" s="1"/>
  <c r="C89" i="4"/>
  <c r="E89" i="4" s="1"/>
  <c r="E77" i="4"/>
  <c r="E81" i="4" s="1"/>
  <c r="O59" i="4"/>
  <c r="O58" i="4"/>
  <c r="H2" i="4"/>
  <c r="H61" i="4"/>
  <c r="H62" i="4" s="1"/>
  <c r="O61" i="4" s="1"/>
  <c r="O60" i="4" l="1"/>
  <c r="O62" i="4" s="1"/>
  <c r="O63" i="4" s="1"/>
  <c r="O64" i="4" s="1"/>
  <c r="O65" i="4" s="1"/>
  <c r="F69" i="4"/>
  <c r="E66" i="4"/>
  <c r="C86" i="4"/>
  <c r="E86" i="4" s="1"/>
  <c r="E74" i="4"/>
  <c r="G66" i="4" l="1"/>
  <c r="G30" i="4"/>
  <c r="G32" i="4"/>
  <c r="G31" i="4"/>
  <c r="G52" i="4"/>
  <c r="G27" i="4"/>
  <c r="G11" i="4"/>
  <c r="G18" i="4"/>
  <c r="G33" i="4"/>
  <c r="G58" i="4"/>
  <c r="G35" i="4"/>
  <c r="G21" i="4"/>
  <c r="G9" i="4"/>
  <c r="G59" i="4"/>
  <c r="G29" i="4"/>
  <c r="G34" i="4"/>
  <c r="G57" i="4"/>
  <c r="G24" i="4"/>
  <c r="G40" i="4"/>
  <c r="G41" i="4"/>
  <c r="G28" i="4"/>
  <c r="G43" i="4"/>
  <c r="G17" i="4"/>
  <c r="G68" i="4"/>
  <c r="G22" i="4"/>
  <c r="G48" i="4"/>
  <c r="G47" i="4"/>
  <c r="G38" i="4"/>
  <c r="G69" i="4"/>
  <c r="G44" i="4"/>
  <c r="G42" i="4"/>
  <c r="G51" i="4"/>
  <c r="G67" i="4"/>
  <c r="G10" i="4"/>
  <c r="G54" i="4"/>
  <c r="G49" i="4"/>
  <c r="G12" i="4"/>
  <c r="G13" i="4"/>
  <c r="G56" i="4"/>
  <c r="G8" i="4"/>
  <c r="G14" i="4"/>
  <c r="G53" i="4"/>
  <c r="G19" i="4"/>
  <c r="G39" i="4"/>
  <c r="G50" i="4"/>
  <c r="G20" i="4"/>
  <c r="G23" i="4"/>
  <c r="P65" i="4"/>
  <c r="E2" i="4"/>
</calcChain>
</file>

<file path=xl/sharedStrings.xml><?xml version="1.0" encoding="utf-8"?>
<sst xmlns="http://schemas.openxmlformats.org/spreadsheetml/2006/main" count="416" uniqueCount="170">
  <si>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</si>
  <si>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</si>
  <si>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</si>
  <si>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</si>
  <si>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</si>
  <si>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</si>
  <si>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</si>
  <si>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</si>
  <si>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</si>
  <si>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</si>
  <si>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</si>
  <si>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</si>
  <si>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</si>
  <si>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</si>
  <si>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</si>
  <si>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FAS</t>
  </si>
  <si>
    <t>Decoración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</si>
  <si>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</si>
  <si>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</si>
  <si>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</si>
  <si>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</si>
  <si>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</si>
  <si>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</si>
  <si>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</si>
  <si>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</si>
  <si>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</si>
  <si>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</si>
  <si>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</si>
  <si>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</si>
  <si>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</si>
  <si>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</si>
  <si>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</si>
  <si>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</si>
  <si>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</si>
  <si>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</si>
  <si>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910000001</t>
  </si>
  <si>
    <t>SE00477</t>
  </si>
  <si>
    <t>902000175</t>
  </si>
  <si>
    <t>SE00513</t>
  </si>
  <si>
    <t>908000045</t>
  </si>
  <si>
    <t>SE00051</t>
  </si>
  <si>
    <t>902000176</t>
  </si>
  <si>
    <t>SE00514</t>
  </si>
  <si>
    <t>908000032</t>
  </si>
  <si>
    <t>SE00001</t>
  </si>
  <si>
    <t>10100346</t>
  </si>
  <si>
    <t>MP10617</t>
  </si>
  <si>
    <t>EMPAQUE</t>
  </si>
  <si>
    <t>EM10004</t>
  </si>
  <si>
    <t>ETIQ.FECHA VENCIMIENTO BLANCO (ROLLO)</t>
  </si>
  <si>
    <t>EM10135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</si>
  <si>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</si>
  <si>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</si>
  <si>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</si>
  <si>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</si>
  <si>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</si>
  <si>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</si>
  <si>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</si>
  <si>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</si>
  <si>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</si>
  <si>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</si>
  <si>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</si>
  <si>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</si>
  <si>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</si>
  <si>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</si>
  <si>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</si>
  <si>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</si>
  <si>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</si>
  <si>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</si>
  <si>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</si>
  <si>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</si>
  <si>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</si>
  <si>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</si>
  <si>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</si>
  <si>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</si>
  <si>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</si>
  <si>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</si>
  <si>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</si>
  <si>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</si>
  <si>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</si>
  <si>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</si>
  <si>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</si>
  <si>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</si>
  <si>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</si>
  <si>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</si>
  <si>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</si>
  <si>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</si>
  <si>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</si>
  <si>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</si>
  <si>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</si>
  <si>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</si>
  <si>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</si>
  <si>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</si>
  <si>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</si>
  <si>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</si>
  <si>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</si>
  <si>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</si>
  <si>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</si>
  <si>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</si>
  <si>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</si>
  <si>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>und</t>
  </si>
  <si>
    <t>UND</t>
  </si>
  <si>
    <t>0702077</t>
  </si>
  <si>
    <t>0702007</t>
  </si>
  <si>
    <t>Und</t>
  </si>
  <si>
    <t>Figuras</t>
  </si>
  <si>
    <t>2.- Rellenar con ganache de chocolate luego con crema de oreo y al final con galleta con chocolate blanco.</t>
  </si>
  <si>
    <t># Código Netsuite</t>
  </si>
  <si>
    <t>Ensamble</t>
  </si>
  <si>
    <t>1 UND</t>
  </si>
  <si>
    <t>MEZCLA CREMA CHOCOLATE CON AGUA</t>
  </si>
  <si>
    <t>CREMA OREO</t>
  </si>
  <si>
    <t>GANACHE CHOCOLATE BLANCO</t>
  </si>
  <si>
    <t>GALLETA OREO BAÑADA CHOCOLATE BLANCO</t>
  </si>
  <si>
    <t/>
  </si>
  <si>
    <t>GANACHE CHOCOLATE OSCURO</t>
  </si>
  <si>
    <t>GALLETA OREO ENTERA 1/12 UD</t>
  </si>
  <si>
    <t>1/2 TAZA</t>
  </si>
  <si>
    <t>Empaque</t>
  </si>
  <si>
    <t>EM10288</t>
  </si>
  <si>
    <t>QUEQUERA MINI CAKE (CAJA:100 UND)</t>
  </si>
  <si>
    <t>ud</t>
  </si>
  <si>
    <t>EM10119</t>
  </si>
  <si>
    <t>ETIQ. GENERICA PEQUEÑA V-274 (UND)</t>
  </si>
  <si>
    <t>LITOGRAFIA CR</t>
  </si>
  <si>
    <t>EM10011</t>
  </si>
  <si>
    <t>ETIQUETA BLANCA 2 5/8X1 15/16 (UND)</t>
  </si>
  <si>
    <t xml:space="preserve">ETIQUETA SELLO DE SEGURIDAD (ROLLO:1000 U) </t>
  </si>
  <si>
    <t>EM10035</t>
  </si>
  <si>
    <t>BASE PARA ROSQUETE (UND)</t>
  </si>
  <si>
    <t>EM10124</t>
  </si>
  <si>
    <t>ETIQUETA BLANCA R-153 (UND)</t>
  </si>
  <si>
    <t xml:space="preserve">NUEVO </t>
  </si>
  <si>
    <t>ETIQUETA ESPECIAL</t>
  </si>
  <si>
    <t>1 tapa</t>
  </si>
  <si>
    <t>SE00394</t>
  </si>
  <si>
    <t>ROSQUETE CHOCOLATE DAWN 100g</t>
  </si>
  <si>
    <t xml:space="preserve">10g x ud </t>
  </si>
  <si>
    <t>1.- Cortas rosquete a la mitad y Humedecer cada tapa con mezcla de chocolate con agua</t>
  </si>
  <si>
    <t>3.- Encremar con la crema de oreo</t>
  </si>
  <si>
    <t xml:space="preserve">4.-Colocar en el centro el ganache oscuro, colocar la galleta con chocolate blanco y por ultimo una tapa de galleta ore. </t>
  </si>
  <si>
    <t>5, Tapar y etiquetar</t>
  </si>
  <si>
    <t>Mariela Barrantes Sánchez</t>
  </si>
  <si>
    <t>Sebastian Díaz, Gte Manufactura</t>
  </si>
  <si>
    <t>Mini Cake de Oreo</t>
  </si>
  <si>
    <t xml:space="preserve">1 Cucharada </t>
  </si>
  <si>
    <t>% GIF</t>
  </si>
  <si>
    <t>MODI 77 COLONES X MIN</t>
  </si>
  <si>
    <t xml:space="preserve">Gf 83 colones min </t>
  </si>
  <si>
    <t>Gramos</t>
  </si>
  <si>
    <t>Nuevo</t>
  </si>
  <si>
    <t>51400047</t>
  </si>
  <si>
    <t>0702123</t>
  </si>
  <si>
    <t>702174</t>
  </si>
  <si>
    <t>1950699</t>
  </si>
  <si>
    <t>701096</t>
  </si>
  <si>
    <t>EM10345</t>
  </si>
  <si>
    <t>Etiqueta oreo pequeña</t>
  </si>
  <si>
    <t>Uds</t>
  </si>
  <si>
    <t>PTI00282 Mini Cake de Oreo</t>
  </si>
  <si>
    <t>ESP-RE-FIF-024</t>
  </si>
  <si>
    <t>CREMA BLANCA C/GALLETA CHOCO (KILO)</t>
  </si>
  <si>
    <t>Boquilla 1B</t>
  </si>
  <si>
    <t>1/8 taza</t>
  </si>
  <si>
    <t>2, Se actualizan datos receta</t>
  </si>
  <si>
    <t xml:space="preserve">3. Se actualiza datos recetas </t>
  </si>
  <si>
    <t>910000019</t>
  </si>
  <si>
    <t>SE00081</t>
  </si>
  <si>
    <t>03</t>
  </si>
  <si>
    <t xml:space="preserve">4.-Colocar en el centro el ganache oscuro, colocar la galleta con chocolate blanco y por ultimo una tapa de galleta oreo.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</si>
</sst>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0.0000"/>
  </numFmts>
  <fonts count="5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b/>
      <sz val="14"/>
      <name val="Century Gothic"/>
      <family val="2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0"/>
      <color indexed="8"/>
      <name val="MS Sans Serif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  <font>
      <sz val="10"/>
      <name val="Century Gothic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/>
    <xf numFmtId="0" fontId="35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432">
    <xf numFmtId="0" fontId="0" fillId="0" borderId="0" xfId="0"/>
    <xf numFmtId="0" fontId="3" fillId="6" borderId="0" xfId="0" applyFont="1" applyFill="1" applyAlignment="1">
      <alignment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3" fontId="6" fillId="0" borderId="6" xfId="7" applyFont="1" applyFill="1" applyBorder="1" applyAlignment="1">
      <alignment horizontal="center" vertical="center"/>
    </xf>
    <xf numFmtId="43" fontId="6" fillId="0" borderId="0" xfId="7" applyFont="1" applyFill="1" applyBorder="1" applyAlignment="1">
      <alignment horizontal="center" vertical="center"/>
    </xf>
    <xf numFmtId="43" fontId="9" fillId="0" borderId="0" xfId="7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7" fontId="12" fillId="0" borderId="0" xfId="0" applyNumberFormat="1" applyFont="1" applyAlignment="1">
      <alignment horizontal="center" vertical="center" wrapText="1"/>
    </xf>
    <xf numFmtId="0" fontId="6" fillId="8" borderId="41" xfId="0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 wrapText="1"/>
    </xf>
    <xf numFmtId="0" fontId="6" fillId="8" borderId="3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8" applyNumberFormat="1" applyFont="1" applyFill="1" applyAlignment="1">
      <alignment horizontal="center" vertical="center"/>
    </xf>
    <xf numFmtId="4" fontId="6" fillId="0" borderId="0" xfId="8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0" xfId="0" applyFont="1"/>
    <xf numFmtId="49" fontId="6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43" fontId="3" fillId="0" borderId="0" xfId="7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" fontId="6" fillId="0" borderId="0" xfId="7" applyNumberFormat="1" applyFont="1" applyFill="1" applyAlignment="1">
      <alignment vertical="center"/>
    </xf>
    <xf numFmtId="43" fontId="15" fillId="0" borderId="0" xfId="7" applyFont="1" applyFill="1" applyAlignment="1">
      <alignment horizontal="center" vertical="center"/>
    </xf>
    <xf numFmtId="0" fontId="3" fillId="8" borderId="12" xfId="0" applyFont="1" applyFill="1" applyBorder="1" applyAlignment="1">
      <alignment vertical="center"/>
    </xf>
    <xf numFmtId="0" fontId="3" fillId="8" borderId="48" xfId="0" applyFont="1" applyFill="1" applyBorder="1" applyAlignment="1">
      <alignment vertical="center"/>
    </xf>
    <xf numFmtId="43" fontId="15" fillId="8" borderId="49" xfId="7" applyFont="1" applyFill="1" applyBorder="1" applyAlignment="1">
      <alignment horizontal="center" vertical="center"/>
    </xf>
    <xf numFmtId="43" fontId="17" fillId="0" borderId="0" xfId="7" applyFont="1" applyFill="1" applyBorder="1" applyAlignment="1">
      <alignment horizontal="right"/>
    </xf>
    <xf numFmtId="0" fontId="3" fillId="8" borderId="49" xfId="0" applyFont="1" applyFill="1" applyBorder="1" applyAlignment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  <xf numFmtId="0" fontId="15" fillId="0" borderId="0" xfId="0" applyFont="1" applyAlignment="1">
      <alignment horizontal="right" vertical="center"/>
    </xf>
    <xf numFmtId="4" fontId="15" fillId="0" borderId="0" xfId="7" applyNumberFormat="1" applyFont="1" applyFill="1" applyAlignment="1">
      <alignment vertical="center"/>
    </xf>
    <xf numFmtId="4" fontId="15" fillId="0" borderId="0" xfId="8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24" xfId="0" applyFont="1" applyBorder="1" applyAlignment="1">
      <alignment horizontal="right"/>
    </xf>
    <xf numFmtId="43" fontId="21" fillId="5" borderId="43" xfId="7" applyFont="1" applyFill="1" applyBorder="1" applyAlignment="1">
      <alignment horizontal="right"/>
    </xf>
    <xf numFmtId="43" fontId="21" fillId="0" borderId="0" xfId="7" applyFont="1" applyFill="1" applyBorder="1" applyAlignment="1">
      <alignment horizontal="right"/>
    </xf>
    <xf numFmtId="43" fontId="6" fillId="0" borderId="6" xfId="7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5" fillId="0" borderId="0" xfId="8" applyNumberFormat="1" applyFont="1" applyFill="1" applyAlignment="1">
      <alignment horizontal="center" vertical="center"/>
    </xf>
    <xf numFmtId="169" fontId="6" fillId="8" borderId="6" xfId="7" applyNumberFormat="1" applyFont="1" applyFill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43" fontId="6" fillId="9" borderId="6" xfId="7" applyFont="1" applyFill="1" applyBorder="1" applyAlignment="1">
      <alignment vertical="center"/>
    </xf>
    <xf numFmtId="166" fontId="24" fillId="0" borderId="0" xfId="0" applyNumberFormat="1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8" fillId="8" borderId="50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7" applyNumberFormat="1" applyFont="1" applyFill="1" applyBorder="1" applyAlignment="1">
      <alignment horizontal="center"/>
    </xf>
    <xf numFmtId="2" fontId="20" fillId="0" borderId="0" xfId="7" applyNumberFormat="1" applyFont="1" applyFill="1" applyBorder="1" applyAlignment="1">
      <alignment horizontal="center"/>
    </xf>
    <xf numFmtId="0" fontId="3" fillId="8" borderId="50" xfId="0" applyFont="1" applyFill="1" applyBorder="1" applyAlignment="1">
      <alignment vertical="center"/>
    </xf>
    <xf numFmtId="4" fontId="3" fillId="0" borderId="0" xfId="7" applyNumberFormat="1" applyFont="1" applyFill="1" applyAlignment="1">
      <alignment vertical="center"/>
    </xf>
    <xf numFmtId="43" fontId="21" fillId="8" borderId="12" xfId="7" applyFont="1" applyFill="1" applyBorder="1" applyAlignment="1">
      <alignment horizontal="right"/>
    </xf>
    <xf numFmtId="0" fontId="6" fillId="8" borderId="11" xfId="0" applyFont="1" applyFill="1" applyBorder="1" applyAlignment="1">
      <alignment horizontal="right" vertical="center"/>
    </xf>
    <xf numFmtId="10" fontId="27" fillId="0" borderId="0" xfId="7" applyNumberFormat="1" applyFont="1" applyFill="1" applyAlignment="1">
      <alignment vertical="center"/>
    </xf>
    <xf numFmtId="166" fontId="28" fillId="0" borderId="0" xfId="0" applyNumberFormat="1" applyFont="1" applyAlignment="1">
      <alignment horizontal="center" vertical="center"/>
    </xf>
    <xf numFmtId="0" fontId="3" fillId="6" borderId="43" xfId="0" applyFont="1" applyFill="1" applyBorder="1" applyAlignment="1">
      <alignment horizontal="center" vertical="center"/>
    </xf>
    <xf numFmtId="43" fontId="29" fillId="0" borderId="0" xfId="7" applyFont="1" applyFill="1" applyAlignment="1">
      <alignment vertical="center"/>
    </xf>
    <xf numFmtId="4" fontId="30" fillId="0" borderId="0" xfId="8" applyNumberFormat="1" applyFont="1" applyFill="1" applyAlignment="1">
      <alignment horizontal="center" vertical="center" wrapText="1"/>
    </xf>
    <xf numFmtId="9" fontId="3" fillId="0" borderId="0" xfId="7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7" applyNumberFormat="1" applyFont="1" applyFill="1" applyAlignment="1">
      <alignment vertical="center"/>
    </xf>
    <xf numFmtId="4" fontId="6" fillId="11" borderId="43" xfId="7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3" fontId="31" fillId="0" borderId="0" xfId="7" applyFont="1" applyFill="1" applyAlignment="1">
      <alignment vertical="center"/>
    </xf>
    <xf numFmtId="9" fontId="31" fillId="0" borderId="0" xfId="7" applyNumberFormat="1" applyFont="1" applyFill="1" applyAlignment="1">
      <alignment vertical="center"/>
    </xf>
    <xf numFmtId="4" fontId="6" fillId="0" borderId="0" xfId="7" applyNumberFormat="1" applyFont="1" applyFill="1" applyAlignment="1">
      <alignment horizontal="center" vertical="center"/>
    </xf>
    <xf numFmtId="43" fontId="24" fillId="0" borderId="0" xfId="7" applyFont="1" applyFill="1" applyBorder="1" applyAlignment="1">
      <alignment vertical="center"/>
    </xf>
    <xf numFmtId="4" fontId="3" fillId="0" borderId="0" xfId="0" applyNumberFormat="1" applyFont="1" applyAlignment="1">
      <alignment horizontal="center"/>
    </xf>
    <xf numFmtId="43" fontId="3" fillId="0" borderId="0" xfId="7" applyFont="1" applyFill="1" applyBorder="1"/>
    <xf numFmtId="0" fontId="24" fillId="0" borderId="0" xfId="0" applyFont="1" applyAlignment="1">
      <alignment horizontal="right"/>
    </xf>
    <xf numFmtId="43" fontId="3" fillId="0" borderId="0" xfId="7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166" fontId="6" fillId="0" borderId="0" xfId="0" applyNumberFormat="1" applyFont="1"/>
    <xf numFmtId="0" fontId="5" fillId="2" borderId="28" xfId="1" applyFont="1" applyFill="1" applyBorder="1" applyAlignment="1">
      <alignment horizontal="right"/>
    </xf>
    <xf numFmtId="0" fontId="36" fillId="2" borderId="27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right"/>
    </xf>
    <xf numFmtId="49" fontId="36" fillId="2" borderId="5" xfId="1" applyNumberFormat="1" applyFont="1" applyFill="1" applyBorder="1" applyAlignment="1">
      <alignment horizontal="center"/>
    </xf>
    <xf numFmtId="0" fontId="36" fillId="2" borderId="9" xfId="1" applyFont="1" applyFill="1" applyBorder="1" applyAlignment="1">
      <alignment horizontal="right"/>
    </xf>
    <xf numFmtId="0" fontId="36" fillId="2" borderId="6" xfId="1" applyFont="1" applyFill="1" applyBorder="1" applyAlignment="1">
      <alignment horizontal="right"/>
    </xf>
    <xf numFmtId="14" fontId="37" fillId="2" borderId="0" xfId="6" applyNumberFormat="1" applyFont="1" applyFill="1" applyAlignment="1">
      <alignment horizontal="center" vertical="center" wrapText="1"/>
    </xf>
    <xf numFmtId="0" fontId="5" fillId="4" borderId="27" xfId="2" applyFont="1" applyFill="1" applyBorder="1" applyAlignment="1">
      <alignment horizontal="center" vertical="center" wrapText="1"/>
    </xf>
    <xf numFmtId="1" fontId="5" fillId="4" borderId="3" xfId="2" applyNumberFormat="1" applyFont="1" applyFill="1" applyBorder="1" applyAlignment="1">
      <alignment horizontal="center"/>
    </xf>
    <xf numFmtId="1" fontId="5" fillId="4" borderId="3" xfId="2" applyNumberFormat="1" applyFont="1" applyFill="1" applyBorder="1" applyAlignment="1">
      <alignment horizontal="center" wrapText="1"/>
    </xf>
    <xf numFmtId="0" fontId="5" fillId="4" borderId="2" xfId="2" applyFont="1" applyFill="1" applyBorder="1" applyAlignment="1">
      <alignment horizontal="center"/>
    </xf>
    <xf numFmtId="0" fontId="38" fillId="0" borderId="7" xfId="2" applyFont="1" applyBorder="1" applyAlignment="1">
      <alignment horizontal="center" vertical="center"/>
    </xf>
    <xf numFmtId="0" fontId="38" fillId="0" borderId="18" xfId="2" applyFont="1" applyBorder="1" applyAlignment="1">
      <alignment horizontal="center" vertical="center"/>
    </xf>
    <xf numFmtId="0" fontId="39" fillId="0" borderId="6" xfId="2" applyFont="1" applyBorder="1" applyAlignment="1">
      <alignment vertical="center"/>
    </xf>
    <xf numFmtId="0" fontId="38" fillId="0" borderId="6" xfId="2" applyFont="1" applyBorder="1" applyAlignment="1">
      <alignment horizontal="center" vertical="center"/>
    </xf>
    <xf numFmtId="1" fontId="38" fillId="0" borderId="6" xfId="2" applyNumberFormat="1" applyFont="1" applyBorder="1" applyAlignment="1">
      <alignment horizontal="center"/>
    </xf>
    <xf numFmtId="1" fontId="38" fillId="0" borderId="6" xfId="2" applyNumberFormat="1" applyFont="1" applyBorder="1" applyAlignment="1">
      <alignment horizontal="center" wrapText="1"/>
    </xf>
    <xf numFmtId="0" fontId="40" fillId="0" borderId="5" xfId="2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41" fillId="0" borderId="6" xfId="0" applyFont="1" applyBorder="1" applyAlignment="1">
      <alignment horizontal="center"/>
    </xf>
    <xf numFmtId="0" fontId="41" fillId="0" borderId="0" xfId="0" applyFont="1"/>
    <xf numFmtId="0" fontId="40" fillId="0" borderId="6" xfId="2" applyFont="1" applyBorder="1" applyAlignment="1">
      <alignment horizontal="center"/>
    </xf>
    <xf numFmtId="1" fontId="40" fillId="6" borderId="6" xfId="2" applyNumberFormat="1" applyFont="1" applyFill="1" applyBorder="1" applyAlignment="1">
      <alignment horizontal="center"/>
    </xf>
    <xf numFmtId="1" fontId="40" fillId="0" borderId="6" xfId="2" applyNumberFormat="1" applyFont="1" applyBorder="1" applyAlignment="1">
      <alignment horizontal="center" wrapText="1"/>
    </xf>
    <xf numFmtId="1" fontId="40" fillId="0" borderId="6" xfId="0" applyNumberFormat="1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1" fontId="40" fillId="0" borderId="6" xfId="2" applyNumberFormat="1" applyFont="1" applyBorder="1" applyAlignment="1">
      <alignment horizontal="center"/>
    </xf>
    <xf numFmtId="0" fontId="41" fillId="0" borderId="22" xfId="0" applyFont="1" applyBorder="1"/>
    <xf numFmtId="2" fontId="36" fillId="0" borderId="9" xfId="2" applyNumberFormat="1" applyFont="1" applyBorder="1" applyAlignment="1">
      <alignment horizontal="center"/>
    </xf>
    <xf numFmtId="0" fontId="41" fillId="6" borderId="7" xfId="0" applyFont="1" applyFill="1" applyBorder="1" applyAlignment="1">
      <alignment horizontal="center"/>
    </xf>
    <xf numFmtId="0" fontId="41" fillId="6" borderId="6" xfId="0" applyFont="1" applyFill="1" applyBorder="1" applyAlignment="1">
      <alignment horizontal="center"/>
    </xf>
    <xf numFmtId="0" fontId="41" fillId="6" borderId="6" xfId="0" applyFont="1" applyFill="1" applyBorder="1"/>
    <xf numFmtId="16" fontId="40" fillId="0" borderId="6" xfId="0" applyNumberFormat="1" applyFont="1" applyBorder="1" applyAlignment="1">
      <alignment horizontal="center"/>
    </xf>
    <xf numFmtId="170" fontId="42" fillId="0" borderId="9" xfId="0" applyNumberFormat="1" applyFont="1" applyBorder="1" applyAlignment="1">
      <alignment horizontal="center" wrapText="1"/>
    </xf>
    <xf numFmtId="0" fontId="41" fillId="0" borderId="6" xfId="0" applyFont="1" applyBorder="1"/>
    <xf numFmtId="0" fontId="40" fillId="6" borderId="6" xfId="0" applyFont="1" applyFill="1" applyBorder="1" applyAlignment="1">
      <alignment horizontal="center"/>
    </xf>
    <xf numFmtId="1" fontId="40" fillId="6" borderId="6" xfId="0" applyNumberFormat="1" applyFont="1" applyFill="1" applyBorder="1" applyAlignment="1">
      <alignment horizontal="center"/>
    </xf>
    <xf numFmtId="1" fontId="40" fillId="6" borderId="6" xfId="0" applyNumberFormat="1" applyFont="1" applyFill="1" applyBorder="1" applyAlignment="1">
      <alignment horizontal="center" wrapText="1"/>
    </xf>
    <xf numFmtId="0" fontId="41" fillId="0" borderId="6" xfId="9" applyFont="1" applyBorder="1" applyAlignment="1">
      <alignment horizontal="center"/>
    </xf>
    <xf numFmtId="0" fontId="43" fillId="6" borderId="6" xfId="10" applyFont="1" applyFill="1" applyBorder="1" applyAlignment="1">
      <alignment horizontal="center" vertical="center"/>
    </xf>
    <xf numFmtId="0" fontId="38" fillId="6" borderId="6" xfId="0" applyFont="1" applyFill="1" applyBorder="1"/>
    <xf numFmtId="2" fontId="41" fillId="0" borderId="6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16" fontId="42" fillId="0" borderId="6" xfId="2" applyNumberFormat="1" applyFont="1" applyBorder="1" applyAlignment="1">
      <alignment horizontal="center"/>
    </xf>
    <xf numFmtId="1" fontId="42" fillId="0" borderId="0" xfId="2" applyNumberFormat="1" applyFont="1" applyAlignment="1">
      <alignment horizontal="center"/>
    </xf>
    <xf numFmtId="1" fontId="42" fillId="0" borderId="0" xfId="2" applyNumberFormat="1" applyFont="1" applyAlignment="1">
      <alignment horizontal="center" wrapText="1"/>
    </xf>
    <xf numFmtId="0" fontId="42" fillId="0" borderId="9" xfId="2" applyFont="1" applyBorder="1" applyAlignment="1">
      <alignment horizontal="center"/>
    </xf>
    <xf numFmtId="49" fontId="40" fillId="0" borderId="7" xfId="2" applyNumberFormat="1" applyFont="1" applyBorder="1" applyAlignment="1">
      <alignment horizontal="center"/>
    </xf>
    <xf numFmtId="49" fontId="40" fillId="0" borderId="18" xfId="2" applyNumberFormat="1" applyFont="1" applyBorder="1" applyAlignment="1">
      <alignment horizontal="center"/>
    </xf>
    <xf numFmtId="0" fontId="38" fillId="6" borderId="6" xfId="2" applyFont="1" applyFill="1" applyBorder="1" applyAlignment="1">
      <alignment horizontal="left"/>
    </xf>
    <xf numFmtId="165" fontId="40" fillId="0" borderId="6" xfId="2" applyNumberFormat="1" applyFont="1" applyBorder="1" applyAlignment="1">
      <alignment horizontal="center"/>
    </xf>
    <xf numFmtId="16" fontId="40" fillId="6" borderId="6" xfId="5" applyNumberFormat="1" applyFont="1" applyFill="1" applyBorder="1" applyAlignment="1">
      <alignment horizontal="center"/>
    </xf>
    <xf numFmtId="49" fontId="36" fillId="0" borderId="7" xfId="2" applyNumberFormat="1" applyFont="1" applyBorder="1" applyAlignment="1">
      <alignment horizontal="center"/>
    </xf>
    <xf numFmtId="49" fontId="36" fillId="0" borderId="18" xfId="2" applyNumberFormat="1" applyFont="1" applyBorder="1" applyAlignment="1">
      <alignment horizontal="center"/>
    </xf>
    <xf numFmtId="49" fontId="36" fillId="0" borderId="6" xfId="2" applyNumberFormat="1" applyFont="1" applyBorder="1"/>
    <xf numFmtId="16" fontId="36" fillId="0" borderId="6" xfId="2" applyNumberFormat="1" applyFont="1" applyBorder="1" applyAlignment="1">
      <alignment horizontal="center"/>
    </xf>
    <xf numFmtId="165" fontId="36" fillId="0" borderId="6" xfId="2" applyNumberFormat="1" applyFont="1" applyBorder="1" applyAlignment="1">
      <alignment horizontal="center"/>
    </xf>
    <xf numFmtId="1" fontId="36" fillId="0" borderId="6" xfId="2" applyNumberFormat="1" applyFont="1" applyBorder="1" applyAlignment="1">
      <alignment horizontal="center" wrapText="1"/>
    </xf>
    <xf numFmtId="0" fontId="41" fillId="0" borderId="26" xfId="0" applyFont="1" applyBorder="1" applyAlignment="1">
      <alignment horizontal="center"/>
    </xf>
    <xf numFmtId="1" fontId="36" fillId="0" borderId="6" xfId="2" applyNumberFormat="1" applyFont="1" applyBorder="1" applyAlignment="1">
      <alignment horizontal="center"/>
    </xf>
    <xf numFmtId="1" fontId="40" fillId="0" borderId="6" xfId="5" applyNumberFormat="1" applyFont="1" applyBorder="1" applyAlignment="1">
      <alignment horizontal="center"/>
    </xf>
    <xf numFmtId="1" fontId="40" fillId="0" borderId="6" xfId="5" applyNumberFormat="1" applyFont="1" applyBorder="1" applyAlignment="1">
      <alignment horizontal="center" wrapText="1"/>
    </xf>
    <xf numFmtId="49" fontId="38" fillId="0" borderId="19" xfId="2" applyNumberFormat="1" applyFont="1" applyBorder="1" applyAlignment="1">
      <alignment horizontal="center"/>
    </xf>
    <xf numFmtId="49" fontId="38" fillId="0" borderId="26" xfId="2" applyNumberFormat="1" applyFont="1" applyBorder="1" applyAlignment="1">
      <alignment horizontal="center"/>
    </xf>
    <xf numFmtId="0" fontId="39" fillId="6" borderId="6" xfId="2" applyFont="1" applyFill="1" applyBorder="1" applyAlignment="1">
      <alignment vertical="center"/>
    </xf>
    <xf numFmtId="0" fontId="38" fillId="0" borderId="18" xfId="2" applyFont="1" applyBorder="1" applyAlignment="1">
      <alignment horizontal="center"/>
    </xf>
    <xf numFmtId="49" fontId="44" fillId="2" borderId="25" xfId="2" applyNumberFormat="1" applyFont="1" applyFill="1" applyBorder="1" applyAlignment="1">
      <alignment horizontal="center" vertical="center"/>
    </xf>
    <xf numFmtId="49" fontId="44" fillId="2" borderId="0" xfId="2" applyNumberFormat="1" applyFont="1" applyFill="1" applyAlignment="1">
      <alignment horizontal="center" vertical="center"/>
    </xf>
    <xf numFmtId="0" fontId="36" fillId="2" borderId="0" xfId="2" applyFont="1" applyFill="1"/>
    <xf numFmtId="1" fontId="36" fillId="2" borderId="0" xfId="2" applyNumberFormat="1" applyFont="1" applyFill="1" applyAlignment="1">
      <alignment horizontal="center"/>
    </xf>
    <xf numFmtId="164" fontId="36" fillId="2" borderId="0" xfId="2" applyNumberFormat="1" applyFont="1" applyFill="1" applyAlignment="1">
      <alignment horizontal="center" wrapText="1"/>
    </xf>
    <xf numFmtId="0" fontId="36" fillId="2" borderId="24" xfId="2" applyFont="1" applyFill="1" applyBorder="1" applyAlignment="1">
      <alignment horizontal="center"/>
    </xf>
    <xf numFmtId="0" fontId="36" fillId="4" borderId="13" xfId="2" applyFont="1" applyFill="1" applyBorder="1" applyAlignment="1">
      <alignment horizontal="center"/>
    </xf>
    <xf numFmtId="0" fontId="36" fillId="4" borderId="12" xfId="2" applyFont="1" applyFill="1" applyBorder="1" applyAlignment="1">
      <alignment horizontal="center"/>
    </xf>
    <xf numFmtId="0" fontId="36" fillId="4" borderId="12" xfId="2" applyFont="1" applyFill="1" applyBorder="1"/>
    <xf numFmtId="0" fontId="5" fillId="4" borderId="12" xfId="2" applyFont="1" applyFill="1" applyBorder="1" applyAlignment="1">
      <alignment horizontal="center"/>
    </xf>
    <xf numFmtId="1" fontId="5" fillId="4" borderId="12" xfId="2" applyNumberFormat="1" applyFont="1" applyFill="1" applyBorder="1" applyAlignment="1">
      <alignment horizontal="center"/>
    </xf>
    <xf numFmtId="164" fontId="36" fillId="4" borderId="12" xfId="2" applyNumberFormat="1" applyFont="1" applyFill="1" applyBorder="1" applyAlignment="1">
      <alignment horizontal="center" wrapText="1"/>
    </xf>
    <xf numFmtId="0" fontId="36" fillId="4" borderId="11" xfId="2" applyFont="1" applyFill="1" applyBorder="1" applyAlignment="1">
      <alignment horizontal="center"/>
    </xf>
    <xf numFmtId="1" fontId="42" fillId="0" borderId="9" xfId="0" applyNumberFormat="1" applyFont="1" applyBorder="1" applyAlignment="1">
      <alignment horizontal="center"/>
    </xf>
    <xf numFmtId="0" fontId="42" fillId="0" borderId="2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1" fontId="42" fillId="0" borderId="3" xfId="0" applyNumberFormat="1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49" fontId="45" fillId="0" borderId="6" xfId="2" applyNumberFormat="1" applyFont="1" applyBorder="1" applyAlignment="1">
      <alignment horizontal="center"/>
    </xf>
    <xf numFmtId="49" fontId="45" fillId="0" borderId="26" xfId="2" applyNumberFormat="1" applyFont="1" applyBorder="1" applyAlignment="1">
      <alignment horizontal="center"/>
    </xf>
    <xf numFmtId="0" fontId="46" fillId="0" borderId="6" xfId="2" applyFont="1" applyBorder="1" applyAlignment="1">
      <alignment vertical="center"/>
    </xf>
    <xf numFmtId="0" fontId="45" fillId="0" borderId="18" xfId="2" applyFont="1" applyBorder="1" applyAlignment="1">
      <alignment horizontal="center"/>
    </xf>
    <xf numFmtId="1" fontId="45" fillId="0" borderId="6" xfId="2" applyNumberFormat="1" applyFont="1" applyBorder="1" applyAlignment="1">
      <alignment horizontal="center"/>
    </xf>
    <xf numFmtId="1" fontId="45" fillId="0" borderId="6" xfId="2" applyNumberFormat="1" applyFont="1" applyBorder="1" applyAlignment="1">
      <alignment horizontal="center" wrapText="1"/>
    </xf>
    <xf numFmtId="49" fontId="47" fillId="0" borderId="18" xfId="0" applyNumberFormat="1" applyFont="1" applyBorder="1" applyAlignment="1">
      <alignment horizontal="center" vertical="center"/>
    </xf>
    <xf numFmtId="0" fontId="47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/>
    <xf numFmtId="2" fontId="36" fillId="0" borderId="6" xfId="2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2" fontId="47" fillId="0" borderId="6" xfId="2" applyNumberFormat="1" applyFont="1" applyBorder="1" applyAlignment="1">
      <alignment horizontal="center"/>
    </xf>
    <xf numFmtId="1" fontId="48" fillId="0" borderId="6" xfId="2" applyNumberFormat="1" applyFont="1" applyBorder="1" applyAlignment="1">
      <alignment horizontal="center"/>
    </xf>
    <xf numFmtId="12" fontId="47" fillId="0" borderId="6" xfId="2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47" fillId="0" borderId="6" xfId="2" applyNumberFormat="1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49" fillId="0" borderId="6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9" fillId="0" borderId="6" xfId="0" applyFont="1" applyBorder="1"/>
    <xf numFmtId="0" fontId="47" fillId="0" borderId="6" xfId="0" applyFont="1" applyBorder="1" applyAlignment="1">
      <alignment horizontal="center"/>
    </xf>
    <xf numFmtId="49" fontId="47" fillId="0" borderId="7" xfId="2" applyNumberFormat="1" applyFont="1" applyBorder="1" applyAlignment="1">
      <alignment horizontal="center"/>
    </xf>
    <xf numFmtId="49" fontId="47" fillId="0" borderId="18" xfId="2" applyNumberFormat="1" applyFont="1" applyBorder="1" applyAlignment="1">
      <alignment horizontal="center"/>
    </xf>
    <xf numFmtId="49" fontId="47" fillId="0" borderId="6" xfId="2" applyNumberFormat="1" applyFont="1" applyBorder="1"/>
    <xf numFmtId="0" fontId="47" fillId="0" borderId="6" xfId="2" applyFont="1" applyBorder="1" applyAlignment="1">
      <alignment horizontal="center"/>
    </xf>
    <xf numFmtId="1" fontId="47" fillId="0" borderId="6" xfId="2" applyNumberFormat="1" applyFont="1" applyBorder="1" applyAlignment="1">
      <alignment horizontal="center" wrapText="1"/>
    </xf>
    <xf numFmtId="1" fontId="1" fillId="0" borderId="6" xfId="0" applyNumberFormat="1" applyFont="1" applyBorder="1" applyAlignment="1">
      <alignment horizontal="center"/>
    </xf>
    <xf numFmtId="10" fontId="6" fillId="0" borderId="0" xfId="3" applyNumberFormat="1" applyFont="1" applyFill="1" applyAlignment="1">
      <alignment vertical="center"/>
    </xf>
    <xf numFmtId="10" fontId="8" fillId="0" borderId="0" xfId="3" applyNumberFormat="1" applyFont="1" applyFill="1" applyAlignment="1">
      <alignment vertical="center"/>
    </xf>
    <xf numFmtId="10" fontId="8" fillId="8" borderId="48" xfId="3" applyNumberFormat="1" applyFont="1" applyFill="1" applyBorder="1" applyAlignment="1">
      <alignment vertical="center"/>
    </xf>
    <xf numFmtId="10" fontId="8" fillId="8" borderId="49" xfId="3" applyNumberFormat="1" applyFont="1" applyFill="1" applyBorder="1" applyAlignment="1">
      <alignment vertical="center"/>
    </xf>
    <xf numFmtId="9" fontId="18" fillId="0" borderId="0" xfId="3" applyFont="1" applyFill="1" applyAlignment="1">
      <alignment horizontal="center"/>
    </xf>
    <xf numFmtId="10" fontId="23" fillId="0" borderId="0" xfId="3" applyNumberFormat="1" applyFont="1" applyFill="1" applyAlignment="1">
      <alignment horizontal="right"/>
    </xf>
    <xf numFmtId="10" fontId="3" fillId="0" borderId="0" xfId="3" applyNumberFormat="1" applyFont="1" applyFill="1" applyAlignment="1">
      <alignment vertical="center"/>
    </xf>
    <xf numFmtId="10" fontId="8" fillId="0" borderId="0" xfId="3" applyNumberFormat="1" applyFont="1" applyFill="1" applyBorder="1" applyAlignment="1">
      <alignment vertical="center"/>
    </xf>
    <xf numFmtId="10" fontId="24" fillId="0" borderId="0" xfId="3" applyNumberFormat="1" applyFont="1" applyFill="1" applyAlignment="1">
      <alignment vertical="center"/>
    </xf>
    <xf numFmtId="10" fontId="24" fillId="0" borderId="0" xfId="3" applyNumberFormat="1" applyFont="1" applyFill="1" applyBorder="1" applyAlignment="1">
      <alignment vertical="center"/>
    </xf>
    <xf numFmtId="0" fontId="41" fillId="12" borderId="7" xfId="0" applyFont="1" applyFill="1" applyBorder="1" applyAlignment="1">
      <alignment horizontal="center"/>
    </xf>
    <xf numFmtId="0" fontId="41" fillId="12" borderId="6" xfId="0" applyFont="1" applyFill="1" applyBorder="1" applyAlignment="1">
      <alignment horizontal="center"/>
    </xf>
    <xf numFmtId="0" fontId="41" fillId="12" borderId="6" xfId="0" applyFont="1" applyFill="1" applyBorder="1"/>
    <xf numFmtId="0" fontId="40" fillId="12" borderId="6" xfId="2" applyFont="1" applyFill="1" applyBorder="1" applyAlignment="1">
      <alignment horizontal="center"/>
    </xf>
    <xf numFmtId="1" fontId="40" fillId="12" borderId="6" xfId="2" applyNumberFormat="1" applyFont="1" applyFill="1" applyBorder="1" applyAlignment="1">
      <alignment horizontal="center"/>
    </xf>
    <xf numFmtId="49" fontId="40" fillId="12" borderId="26" xfId="2" applyNumberFormat="1" applyFont="1" applyFill="1" applyBorder="1" applyAlignment="1">
      <alignment horizontal="center"/>
    </xf>
    <xf numFmtId="0" fontId="41" fillId="12" borderId="9" xfId="0" applyFont="1" applyFill="1" applyBorder="1"/>
    <xf numFmtId="16" fontId="40" fillId="12" borderId="6" xfId="5" applyNumberFormat="1" applyFont="1" applyFill="1" applyBorder="1" applyAlignment="1">
      <alignment horizontal="center"/>
    </xf>
    <xf numFmtId="0" fontId="41" fillId="13" borderId="7" xfId="0" applyFont="1" applyFill="1" applyBorder="1" applyAlignment="1">
      <alignment horizontal="center"/>
    </xf>
    <xf numFmtId="0" fontId="41" fillId="13" borderId="6" xfId="0" applyFont="1" applyFill="1" applyBorder="1" applyAlignment="1">
      <alignment horizontal="center"/>
    </xf>
    <xf numFmtId="0" fontId="41" fillId="13" borderId="6" xfId="0" applyFont="1" applyFill="1" applyBorder="1"/>
    <xf numFmtId="1" fontId="40" fillId="13" borderId="6" xfId="2" applyNumberFormat="1" applyFont="1" applyFill="1" applyBorder="1" applyAlignment="1">
      <alignment horizontal="center"/>
    </xf>
    <xf numFmtId="0" fontId="40" fillId="13" borderId="6" xfId="2" applyFont="1" applyFill="1" applyBorder="1" applyAlignment="1">
      <alignment horizontal="center"/>
    </xf>
    <xf numFmtId="0" fontId="41" fillId="14" borderId="7" xfId="0" applyFont="1" applyFill="1" applyBorder="1" applyAlignment="1">
      <alignment horizontal="center"/>
    </xf>
    <xf numFmtId="0" fontId="41" fillId="14" borderId="6" xfId="0" applyFont="1" applyFill="1" applyBorder="1" applyAlignment="1">
      <alignment horizontal="center"/>
    </xf>
    <xf numFmtId="0" fontId="41" fillId="14" borderId="6" xfId="0" applyFont="1" applyFill="1" applyBorder="1"/>
    <xf numFmtId="1" fontId="40" fillId="14" borderId="6" xfId="2" applyNumberFormat="1" applyFont="1" applyFill="1" applyBorder="1" applyAlignment="1">
      <alignment horizontal="center"/>
    </xf>
    <xf numFmtId="0" fontId="40" fillId="14" borderId="6" xfId="2" applyFont="1" applyFill="1" applyBorder="1" applyAlignment="1">
      <alignment horizontal="center"/>
    </xf>
    <xf numFmtId="0" fontId="45" fillId="0" borderId="7" xfId="2" applyFont="1" applyBorder="1" applyAlignment="1">
      <alignment horizontal="center" vertical="center"/>
    </xf>
    <xf numFmtId="0" fontId="45" fillId="0" borderId="18" xfId="2" applyFont="1" applyBorder="1" applyAlignment="1">
      <alignment horizontal="center" vertical="center"/>
    </xf>
    <xf numFmtId="0" fontId="45" fillId="0" borderId="6" xfId="2" applyFont="1" applyBorder="1" applyAlignment="1">
      <alignment horizontal="center" vertical="center"/>
    </xf>
    <xf numFmtId="0" fontId="51" fillId="0" borderId="5" xfId="2" applyFont="1" applyBorder="1" applyAlignment="1">
      <alignment horizontal="center"/>
    </xf>
    <xf numFmtId="0" fontId="52" fillId="0" borderId="0" xfId="0" applyFont="1"/>
    <xf numFmtId="49" fontId="51" fillId="0" borderId="18" xfId="0" applyNumberFormat="1" applyFont="1" applyBorder="1" applyAlignment="1">
      <alignment horizontal="center" vertical="center"/>
    </xf>
    <xf numFmtId="0" fontId="51" fillId="0" borderId="6" xfId="0" applyFont="1" applyBorder="1" applyAlignment="1">
      <alignment vertical="center"/>
    </xf>
    <xf numFmtId="0" fontId="51" fillId="0" borderId="6" xfId="0" applyFont="1" applyBorder="1" applyAlignment="1">
      <alignment horizontal="center" vertical="center"/>
    </xf>
    <xf numFmtId="1" fontId="51" fillId="0" borderId="6" xfId="2" applyNumberFormat="1" applyFont="1" applyBorder="1" applyAlignment="1">
      <alignment horizontal="center" wrapText="1"/>
    </xf>
    <xf numFmtId="0" fontId="52" fillId="0" borderId="6" xfId="0" applyFont="1" applyBorder="1"/>
    <xf numFmtId="0" fontId="51" fillId="0" borderId="6" xfId="0" applyFont="1" applyBorder="1" applyAlignment="1">
      <alignment horizontal="center"/>
    </xf>
    <xf numFmtId="0" fontId="52" fillId="0" borderId="7" xfId="0" applyFont="1" applyBorder="1" applyAlignment="1">
      <alignment horizontal="center"/>
    </xf>
    <xf numFmtId="0" fontId="52" fillId="0" borderId="6" xfId="0" applyFont="1" applyBorder="1" applyAlignment="1">
      <alignment horizontal="center"/>
    </xf>
    <xf numFmtId="0" fontId="52" fillId="0" borderId="22" xfId="0" applyFont="1" applyBorder="1"/>
    <xf numFmtId="0" fontId="51" fillId="0" borderId="6" xfId="2" applyFont="1" applyBorder="1" applyAlignment="1">
      <alignment horizontal="center"/>
    </xf>
    <xf numFmtId="1" fontId="51" fillId="0" borderId="6" xfId="2" applyNumberFormat="1" applyFont="1" applyBorder="1" applyAlignment="1">
      <alignment horizontal="center"/>
    </xf>
    <xf numFmtId="2" fontId="51" fillId="0" borderId="6" xfId="2" applyNumberFormat="1" applyFont="1" applyBorder="1" applyAlignment="1">
      <alignment horizontal="center"/>
    </xf>
    <xf numFmtId="0" fontId="52" fillId="6" borderId="7" xfId="0" applyFont="1" applyFill="1" applyBorder="1" applyAlignment="1">
      <alignment horizontal="center"/>
    </xf>
    <xf numFmtId="0" fontId="52" fillId="6" borderId="6" xfId="0" applyFont="1" applyFill="1" applyBorder="1" applyAlignment="1">
      <alignment horizontal="center"/>
    </xf>
    <xf numFmtId="0" fontId="52" fillId="6" borderId="6" xfId="0" applyFont="1" applyFill="1" applyBorder="1"/>
    <xf numFmtId="0" fontId="51" fillId="6" borderId="6" xfId="2" applyFont="1" applyFill="1" applyBorder="1" applyAlignment="1">
      <alignment horizontal="center"/>
    </xf>
    <xf numFmtId="1" fontId="51" fillId="6" borderId="6" xfId="2" applyNumberFormat="1" applyFont="1" applyFill="1" applyBorder="1" applyAlignment="1">
      <alignment horizontal="center"/>
    </xf>
    <xf numFmtId="1" fontId="51" fillId="0" borderId="6" xfId="0" applyNumberFormat="1" applyFont="1" applyBorder="1" applyAlignment="1">
      <alignment horizontal="center"/>
    </xf>
    <xf numFmtId="170" fontId="51" fillId="0" borderId="9" xfId="0" applyNumberFormat="1" applyFont="1" applyBorder="1" applyAlignment="1">
      <alignment horizontal="center" wrapText="1"/>
    </xf>
    <xf numFmtId="0" fontId="51" fillId="6" borderId="6" xfId="0" applyFont="1" applyFill="1" applyBorder="1" applyAlignment="1">
      <alignment horizontal="center"/>
    </xf>
    <xf numFmtId="2" fontId="51" fillId="0" borderId="9" xfId="2" applyNumberFormat="1" applyFont="1" applyBorder="1" applyAlignment="1">
      <alignment horizontal="center"/>
    </xf>
    <xf numFmtId="0" fontId="51" fillId="0" borderId="9" xfId="2" applyFont="1" applyBorder="1" applyAlignment="1">
      <alignment horizontal="center"/>
    </xf>
    <xf numFmtId="49" fontId="51" fillId="0" borderId="7" xfId="2" applyNumberFormat="1" applyFont="1" applyBorder="1" applyAlignment="1">
      <alignment horizontal="center"/>
    </xf>
    <xf numFmtId="49" fontId="51" fillId="0" borderId="18" xfId="2" applyNumberFormat="1" applyFont="1" applyBorder="1" applyAlignment="1">
      <alignment horizontal="center"/>
    </xf>
    <xf numFmtId="0" fontId="45" fillId="6" borderId="6" xfId="2" applyFont="1" applyFill="1" applyBorder="1" applyAlignment="1">
      <alignment horizontal="left"/>
    </xf>
    <xf numFmtId="165" fontId="51" fillId="0" borderId="6" xfId="2" applyNumberFormat="1" applyFont="1" applyBorder="1" applyAlignment="1">
      <alignment horizontal="center"/>
    </xf>
    <xf numFmtId="16" fontId="51" fillId="6" borderId="6" xfId="5" applyNumberFormat="1" applyFont="1" applyFill="1" applyBorder="1" applyAlignment="1">
      <alignment horizontal="center"/>
    </xf>
    <xf numFmtId="49" fontId="51" fillId="0" borderId="6" xfId="0" applyNumberFormat="1" applyFont="1" applyBorder="1" applyAlignment="1">
      <alignment horizontal="center" vertical="center"/>
    </xf>
    <xf numFmtId="12" fontId="51" fillId="0" borderId="6" xfId="2" applyNumberFormat="1" applyFont="1" applyBorder="1" applyAlignment="1">
      <alignment horizontal="center"/>
    </xf>
    <xf numFmtId="0" fontId="51" fillId="0" borderId="6" xfId="0" applyFont="1" applyBorder="1" applyAlignment="1">
      <alignment horizontal="center" wrapText="1"/>
    </xf>
    <xf numFmtId="49" fontId="53" fillId="2" borderId="25" xfId="2" applyNumberFormat="1" applyFont="1" applyFill="1" applyBorder="1" applyAlignment="1">
      <alignment horizontal="center" vertical="center"/>
    </xf>
    <xf numFmtId="49" fontId="53" fillId="2" borderId="0" xfId="2" applyNumberFormat="1" applyFont="1" applyFill="1" applyAlignment="1">
      <alignment horizontal="center" vertical="center"/>
    </xf>
    <xf numFmtId="0" fontId="51" fillId="2" borderId="0" xfId="2" applyFont="1" applyFill="1"/>
    <xf numFmtId="1" fontId="51" fillId="2" borderId="0" xfId="2" applyNumberFormat="1" applyFont="1" applyFill="1" applyAlignment="1">
      <alignment horizontal="center"/>
    </xf>
    <xf numFmtId="164" fontId="51" fillId="2" borderId="0" xfId="2" applyNumberFormat="1" applyFont="1" applyFill="1" applyAlignment="1">
      <alignment horizontal="center" wrapText="1"/>
    </xf>
    <xf numFmtId="0" fontId="51" fillId="2" borderId="24" xfId="2" applyFont="1" applyFill="1" applyBorder="1" applyAlignment="1">
      <alignment horizontal="center"/>
    </xf>
    <xf numFmtId="0" fontId="51" fillId="4" borderId="13" xfId="2" applyFont="1" applyFill="1" applyBorder="1" applyAlignment="1">
      <alignment horizontal="center"/>
    </xf>
    <xf numFmtId="0" fontId="51" fillId="4" borderId="12" xfId="2" applyFont="1" applyFill="1" applyBorder="1" applyAlignment="1">
      <alignment horizontal="center"/>
    </xf>
    <xf numFmtId="0" fontId="51" fillId="4" borderId="12" xfId="2" applyFont="1" applyFill="1" applyBorder="1"/>
    <xf numFmtId="0" fontId="45" fillId="4" borderId="12" xfId="2" applyFont="1" applyFill="1" applyBorder="1" applyAlignment="1">
      <alignment horizontal="center"/>
    </xf>
    <xf numFmtId="1" fontId="45" fillId="4" borderId="12" xfId="2" applyNumberFormat="1" applyFont="1" applyFill="1" applyBorder="1" applyAlignment="1">
      <alignment horizontal="center"/>
    </xf>
    <xf numFmtId="164" fontId="51" fillId="4" borderId="12" xfId="2" applyNumberFormat="1" applyFont="1" applyFill="1" applyBorder="1" applyAlignment="1">
      <alignment horizontal="center" wrapText="1"/>
    </xf>
    <xf numFmtId="0" fontId="51" fillId="4" borderId="11" xfId="2" applyFont="1" applyFill="1" applyBorder="1" applyAlignment="1">
      <alignment horizontal="center"/>
    </xf>
    <xf numFmtId="1" fontId="51" fillId="0" borderId="9" xfId="0" applyNumberFormat="1" applyFont="1" applyBorder="1" applyAlignment="1">
      <alignment horizontal="center"/>
    </xf>
    <xf numFmtId="0" fontId="51" fillId="0" borderId="21" xfId="0" applyFont="1" applyBorder="1" applyAlignment="1">
      <alignment horizontal="center"/>
    </xf>
    <xf numFmtId="0" fontId="45" fillId="0" borderId="6" xfId="0" applyFont="1" applyBorder="1" applyAlignment="1">
      <alignment horizontal="center"/>
    </xf>
    <xf numFmtId="1" fontId="51" fillId="0" borderId="3" xfId="0" applyNumberFormat="1" applyFont="1" applyBorder="1" applyAlignment="1">
      <alignment horizontal="center"/>
    </xf>
    <xf numFmtId="0" fontId="51" fillId="0" borderId="3" xfId="0" applyFont="1" applyBorder="1" applyAlignment="1">
      <alignment horizontal="center"/>
    </xf>
    <xf numFmtId="0" fontId="46" fillId="6" borderId="18" xfId="2" applyFont="1" applyFill="1" applyBorder="1" applyAlignment="1">
      <alignment vertical="center"/>
    </xf>
    <xf numFmtId="0" fontId="52" fillId="0" borderId="6" xfId="0" applyFont="1" applyBorder="1" applyAlignment="1">
      <alignment horizontal="left"/>
    </xf>
    <xf numFmtId="0" fontId="51" fillId="0" borderId="10" xfId="2" applyFont="1" applyBorder="1" applyAlignment="1">
      <alignment horizontal="left"/>
    </xf>
    <xf numFmtId="0" fontId="51" fillId="0" borderId="22" xfId="2" applyFont="1" applyBorder="1" applyAlignment="1">
      <alignment horizontal="left"/>
    </xf>
    <xf numFmtId="0" fontId="51" fillId="0" borderId="9" xfId="2" applyFont="1" applyBorder="1" applyAlignment="1">
      <alignment horizontal="left"/>
    </xf>
    <xf numFmtId="0" fontId="51" fillId="0" borderId="8" xfId="2" applyFont="1" applyBorder="1" applyAlignment="1">
      <alignment horizontal="left"/>
    </xf>
    <xf numFmtId="0" fontId="51" fillId="0" borderId="19" xfId="0" applyFont="1" applyBorder="1" applyAlignment="1">
      <alignment horizontal="left"/>
    </xf>
    <xf numFmtId="0" fontId="51" fillId="0" borderId="26" xfId="0" applyFont="1" applyBorder="1" applyAlignment="1">
      <alignment horizontal="left"/>
    </xf>
    <xf numFmtId="0" fontId="51" fillId="0" borderId="16" xfId="0" applyFont="1" applyBorder="1" applyAlignment="1">
      <alignment horizontal="left"/>
    </xf>
    <xf numFmtId="0" fontId="45" fillId="3" borderId="53" xfId="1" applyFont="1" applyFill="1" applyBorder="1" applyAlignment="1">
      <alignment horizontal="center"/>
    </xf>
    <xf numFmtId="0" fontId="45" fillId="3" borderId="1" xfId="1" applyFont="1" applyFill="1" applyBorder="1" applyAlignment="1">
      <alignment horizontal="center"/>
    </xf>
    <xf numFmtId="0" fontId="51" fillId="0" borderId="10" xfId="2" applyFont="1" applyBorder="1" applyAlignment="1">
      <alignment horizontal="left" wrapText="1"/>
    </xf>
    <xf numFmtId="0" fontId="51" fillId="0" borderId="22" xfId="2" applyFont="1" applyBorder="1" applyAlignment="1">
      <alignment horizontal="left" wrapText="1"/>
    </xf>
    <xf numFmtId="0" fontId="51" fillId="0" borderId="9" xfId="2" applyFont="1" applyBorder="1" applyAlignment="1">
      <alignment horizontal="left" wrapText="1"/>
    </xf>
    <xf numFmtId="0" fontId="51" fillId="0" borderId="8" xfId="2" applyFont="1" applyBorder="1" applyAlignment="1">
      <alignment horizontal="left" wrapText="1"/>
    </xf>
    <xf numFmtId="0" fontId="45" fillId="0" borderId="19" xfId="2" applyFont="1" applyBorder="1" applyAlignment="1">
      <alignment horizontal="right"/>
    </xf>
    <xf numFmtId="0" fontId="45" fillId="0" borderId="26" xfId="2" applyFont="1" applyBorder="1" applyAlignment="1">
      <alignment horizontal="right"/>
    </xf>
    <xf numFmtId="0" fontId="45" fillId="0" borderId="18" xfId="2" applyFont="1" applyBorder="1" applyAlignment="1">
      <alignment horizontal="right"/>
    </xf>
    <xf numFmtId="0" fontId="51" fillId="0" borderId="6" xfId="2" applyFont="1" applyBorder="1" applyAlignment="1">
      <alignment horizontal="right"/>
    </xf>
    <xf numFmtId="164" fontId="51" fillId="0" borderId="17" xfId="2" applyNumberFormat="1" applyFont="1" applyBorder="1" applyAlignment="1">
      <alignment horizontal="center"/>
    </xf>
    <xf numFmtId="164" fontId="51" fillId="0" borderId="16" xfId="2" applyNumberFormat="1" applyFont="1" applyBorder="1" applyAlignment="1">
      <alignment horizontal="center"/>
    </xf>
    <xf numFmtId="164" fontId="51" fillId="0" borderId="17" xfId="2" applyNumberFormat="1" applyFont="1" applyBorder="1" applyAlignment="1">
      <alignment horizontal="right" wrapText="1"/>
    </xf>
    <xf numFmtId="164" fontId="51" fillId="0" borderId="18" xfId="2" applyNumberFormat="1" applyFont="1" applyBorder="1" applyAlignment="1">
      <alignment horizontal="right" wrapText="1"/>
    </xf>
    <xf numFmtId="0" fontId="45" fillId="0" borderId="4" xfId="2" applyFont="1" applyBorder="1" applyAlignment="1">
      <alignment horizontal="right"/>
    </xf>
    <xf numFmtId="0" fontId="45" fillId="0" borderId="46" xfId="2" applyFont="1" applyBorder="1" applyAlignment="1">
      <alignment horizontal="right"/>
    </xf>
    <xf numFmtId="0" fontId="45" fillId="0" borderId="3" xfId="2" applyFont="1" applyBorder="1" applyAlignment="1">
      <alignment horizontal="right"/>
    </xf>
    <xf numFmtId="0" fontId="51" fillId="0" borderId="3" xfId="2" applyFont="1" applyBorder="1" applyAlignment="1">
      <alignment horizontal="right"/>
    </xf>
    <xf numFmtId="164" fontId="51" fillId="0" borderId="15" xfId="2" applyNumberFormat="1" applyFont="1" applyBorder="1" applyAlignment="1">
      <alignment horizontal="center"/>
    </xf>
    <xf numFmtId="164" fontId="51" fillId="0" borderId="14" xfId="2" applyNumberFormat="1" applyFont="1" applyBorder="1" applyAlignment="1">
      <alignment horizontal="center"/>
    </xf>
    <xf numFmtId="0" fontId="45" fillId="4" borderId="13" xfId="2" applyFont="1" applyFill="1" applyBorder="1" applyAlignment="1">
      <alignment horizontal="center"/>
    </xf>
    <xf numFmtId="0" fontId="45" fillId="4" borderId="12" xfId="2" applyFont="1" applyFill="1" applyBorder="1" applyAlignment="1">
      <alignment horizontal="center"/>
    </xf>
    <xf numFmtId="0" fontId="45" fillId="4" borderId="11" xfId="2" applyFont="1" applyFill="1" applyBorder="1" applyAlignment="1">
      <alignment horizontal="center"/>
    </xf>
    <xf numFmtId="0" fontId="45" fillId="0" borderId="23" xfId="2" applyFont="1" applyBorder="1" applyAlignment="1">
      <alignment horizontal="right"/>
    </xf>
    <xf numFmtId="0" fontId="45" fillId="0" borderId="47" xfId="2" applyFont="1" applyBorder="1" applyAlignment="1">
      <alignment horizontal="right"/>
    </xf>
    <xf numFmtId="0" fontId="45" fillId="0" borderId="22" xfId="2" applyFont="1" applyBorder="1" applyAlignment="1">
      <alignment horizontal="right"/>
    </xf>
    <xf numFmtId="164" fontId="51" fillId="0" borderId="9" xfId="2" applyNumberFormat="1" applyFont="1" applyBorder="1" applyAlignment="1">
      <alignment horizontal="right"/>
    </xf>
    <xf numFmtId="0" fontId="51" fillId="2" borderId="21" xfId="2" applyFont="1" applyFill="1" applyBorder="1" applyAlignment="1">
      <alignment horizontal="center"/>
    </xf>
    <xf numFmtId="0" fontId="51" fillId="2" borderId="20" xfId="2" applyFont="1" applyFill="1" applyBorder="1" applyAlignment="1">
      <alignment horizontal="center"/>
    </xf>
    <xf numFmtId="0" fontId="4" fillId="2" borderId="0" xfId="6" applyFont="1" applyFill="1" applyAlignment="1">
      <alignment horizontal="right"/>
    </xf>
    <xf numFmtId="0" fontId="37" fillId="2" borderId="30" xfId="6" applyFont="1" applyFill="1" applyBorder="1" applyAlignment="1">
      <alignment horizontal="center"/>
    </xf>
    <xf numFmtId="0" fontId="4" fillId="2" borderId="0" xfId="6" applyFont="1" applyFill="1"/>
    <xf numFmtId="0" fontId="5" fillId="4" borderId="29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/>
    </xf>
    <xf numFmtId="0" fontId="5" fillId="4" borderId="29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8" xfId="2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/>
    </xf>
    <xf numFmtId="14" fontId="36" fillId="2" borderId="37" xfId="1" applyNumberFormat="1" applyFont="1" applyFill="1" applyBorder="1" applyAlignment="1">
      <alignment horizontal="center" vertical="center" wrapText="1"/>
    </xf>
    <xf numFmtId="14" fontId="36" fillId="2" borderId="31" xfId="1" applyNumberFormat="1" applyFont="1" applyFill="1" applyBorder="1" applyAlignment="1">
      <alignment horizontal="center" vertical="center" wrapText="1"/>
    </xf>
    <xf numFmtId="14" fontId="36" fillId="2" borderId="8" xfId="1" applyNumberFormat="1" applyFont="1" applyFill="1" applyBorder="1" applyAlignment="1">
      <alignment horizontal="center" vertical="center" wrapText="1"/>
    </xf>
    <xf numFmtId="0" fontId="50" fillId="2" borderId="36" xfId="1" applyFont="1" applyFill="1" applyBorder="1" applyAlignment="1">
      <alignment horizontal="left"/>
    </xf>
    <xf numFmtId="0" fontId="50" fillId="2" borderId="35" xfId="1" applyFont="1" applyFill="1" applyBorder="1" applyAlignment="1">
      <alignment horizontal="left"/>
    </xf>
    <xf numFmtId="0" fontId="50" fillId="2" borderId="34" xfId="1" applyFont="1" applyFill="1" applyBorder="1" applyAlignment="1">
      <alignment horizontal="left"/>
    </xf>
    <xf numFmtId="0" fontId="50" fillId="2" borderId="17" xfId="1" applyFont="1" applyFill="1" applyBorder="1" applyAlignment="1">
      <alignment horizontal="left"/>
    </xf>
    <xf numFmtId="0" fontId="50" fillId="2" borderId="26" xfId="1" applyFont="1" applyFill="1" applyBorder="1" applyAlignment="1">
      <alignment horizontal="left"/>
    </xf>
    <xf numFmtId="0" fontId="50" fillId="2" borderId="18" xfId="1" applyFont="1" applyFill="1" applyBorder="1" applyAlignment="1">
      <alignment horizontal="left"/>
    </xf>
    <xf numFmtId="0" fontId="36" fillId="2" borderId="44" xfId="1" applyFont="1" applyFill="1" applyBorder="1" applyAlignment="1">
      <alignment horizontal="center"/>
    </xf>
    <xf numFmtId="0" fontId="36" fillId="2" borderId="1" xfId="1" applyFont="1" applyFill="1" applyBorder="1" applyAlignment="1">
      <alignment horizontal="center"/>
    </xf>
    <xf numFmtId="0" fontId="36" fillId="2" borderId="25" xfId="1" applyFont="1" applyFill="1" applyBorder="1" applyAlignment="1">
      <alignment horizontal="center"/>
    </xf>
    <xf numFmtId="0" fontId="36" fillId="2" borderId="0" xfId="1" applyFont="1" applyFill="1" applyAlignment="1">
      <alignment horizontal="center"/>
    </xf>
    <xf numFmtId="0" fontId="36" fillId="2" borderId="23" xfId="1" applyFont="1" applyFill="1" applyBorder="1" applyAlignment="1">
      <alignment horizontal="center"/>
    </xf>
    <xf numFmtId="0" fontId="36" fillId="2" borderId="47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5" fillId="2" borderId="42" xfId="1" applyFont="1" applyFill="1" applyBorder="1" applyAlignment="1">
      <alignment horizontal="center"/>
    </xf>
    <xf numFmtId="0" fontId="54" fillId="5" borderId="41" xfId="1" applyFont="1" applyFill="1" applyBorder="1" applyAlignment="1">
      <alignment horizontal="center" vertical="center"/>
    </xf>
    <xf numFmtId="0" fontId="54" fillId="5" borderId="40" xfId="1" applyFont="1" applyFill="1" applyBorder="1" applyAlignment="1">
      <alignment horizontal="center" vertical="center"/>
    </xf>
    <xf numFmtId="0" fontId="54" fillId="5" borderId="39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right" vertical="top" wrapText="1"/>
    </xf>
    <xf numFmtId="0" fontId="5" fillId="2" borderId="33" xfId="1" applyFont="1" applyFill="1" applyBorder="1" applyAlignment="1">
      <alignment horizontal="right" vertical="top" wrapText="1"/>
    </xf>
    <xf numFmtId="0" fontId="5" fillId="2" borderId="32" xfId="1" applyFont="1" applyFill="1" applyBorder="1" applyAlignment="1">
      <alignment horizontal="right" vertical="top" wrapText="1"/>
    </xf>
    <xf numFmtId="0" fontId="5" fillId="5" borderId="41" xfId="1" applyFont="1" applyFill="1" applyBorder="1" applyAlignment="1">
      <alignment horizontal="center"/>
    </xf>
    <xf numFmtId="0" fontId="5" fillId="5" borderId="40" xfId="1" applyFont="1" applyFill="1" applyBorder="1" applyAlignment="1">
      <alignment horizontal="center"/>
    </xf>
    <xf numFmtId="0" fontId="5" fillId="5" borderId="39" xfId="1" applyFont="1" applyFill="1" applyBorder="1" applyAlignment="1">
      <alignment horizontal="center"/>
    </xf>
    <xf numFmtId="0" fontId="5" fillId="0" borderId="23" xfId="2" applyFont="1" applyBorder="1" applyAlignment="1">
      <alignment horizontal="right"/>
    </xf>
    <xf numFmtId="0" fontId="5" fillId="0" borderId="47" xfId="2" applyFont="1" applyBorder="1" applyAlignment="1">
      <alignment horizontal="right"/>
    </xf>
    <xf numFmtId="0" fontId="5" fillId="0" borderId="22" xfId="2" applyFont="1" applyBorder="1" applyAlignment="1">
      <alignment horizontal="right"/>
    </xf>
    <xf numFmtId="164" fontId="36" fillId="0" borderId="9" xfId="2" applyNumberFormat="1" applyFont="1" applyBorder="1" applyAlignment="1">
      <alignment horizontal="right"/>
    </xf>
    <xf numFmtId="0" fontId="36" fillId="2" borderId="21" xfId="2" applyFont="1" applyFill="1" applyBorder="1" applyAlignment="1">
      <alignment horizontal="center"/>
    </xf>
    <xf numFmtId="0" fontId="36" fillId="2" borderId="20" xfId="2" applyFont="1" applyFill="1" applyBorder="1" applyAlignment="1">
      <alignment horizontal="center"/>
    </xf>
    <xf numFmtId="0" fontId="5" fillId="0" borderId="19" xfId="2" applyFont="1" applyBorder="1" applyAlignment="1">
      <alignment horizontal="right"/>
    </xf>
    <xf numFmtId="0" fontId="5" fillId="0" borderId="26" xfId="2" applyFont="1" applyBorder="1" applyAlignment="1">
      <alignment horizontal="right"/>
    </xf>
    <xf numFmtId="0" fontId="5" fillId="0" borderId="18" xfId="2" applyFont="1" applyBorder="1" applyAlignment="1">
      <alignment horizontal="right"/>
    </xf>
    <xf numFmtId="0" fontId="36" fillId="0" borderId="6" xfId="2" applyFont="1" applyBorder="1" applyAlignment="1">
      <alignment horizontal="right"/>
    </xf>
    <xf numFmtId="164" fontId="36" fillId="0" borderId="17" xfId="2" applyNumberFormat="1" applyFont="1" applyBorder="1" applyAlignment="1">
      <alignment horizontal="center"/>
    </xf>
    <xf numFmtId="164" fontId="36" fillId="0" borderId="16" xfId="2" applyNumberFormat="1" applyFont="1" applyBorder="1" applyAlignment="1">
      <alignment horizontal="center"/>
    </xf>
    <xf numFmtId="0" fontId="36" fillId="0" borderId="10" xfId="2" applyFont="1" applyBorder="1" applyAlignment="1">
      <alignment horizontal="left" wrapText="1"/>
    </xf>
    <xf numFmtId="0" fontId="36" fillId="0" borderId="22" xfId="2" applyFont="1" applyBorder="1" applyAlignment="1">
      <alignment horizontal="left" wrapText="1"/>
    </xf>
    <xf numFmtId="0" fontId="36" fillId="0" borderId="9" xfId="2" applyFont="1" applyBorder="1" applyAlignment="1">
      <alignment horizontal="left" wrapText="1"/>
    </xf>
    <xf numFmtId="0" fontId="36" fillId="0" borderId="8" xfId="2" applyFont="1" applyBorder="1" applyAlignment="1">
      <alignment horizontal="left" wrapText="1"/>
    </xf>
    <xf numFmtId="164" fontId="36" fillId="0" borderId="17" xfId="2" applyNumberFormat="1" applyFont="1" applyBorder="1" applyAlignment="1">
      <alignment horizontal="right" wrapText="1"/>
    </xf>
    <xf numFmtId="164" fontId="36" fillId="0" borderId="18" xfId="2" applyNumberFormat="1" applyFont="1" applyBorder="1" applyAlignment="1">
      <alignment horizontal="right" wrapText="1"/>
    </xf>
    <xf numFmtId="0" fontId="5" fillId="0" borderId="4" xfId="2" applyFont="1" applyBorder="1" applyAlignment="1">
      <alignment horizontal="right"/>
    </xf>
    <xf numFmtId="0" fontId="5" fillId="0" borderId="46" xfId="2" applyFont="1" applyBorder="1" applyAlignment="1">
      <alignment horizontal="right"/>
    </xf>
    <xf numFmtId="0" fontId="5" fillId="0" borderId="3" xfId="2" applyFont="1" applyBorder="1" applyAlignment="1">
      <alignment horizontal="right"/>
    </xf>
    <xf numFmtId="0" fontId="36" fillId="0" borderId="3" xfId="2" applyFont="1" applyBorder="1" applyAlignment="1">
      <alignment horizontal="right"/>
    </xf>
    <xf numFmtId="164" fontId="36" fillId="0" borderId="15" xfId="2" applyNumberFormat="1" applyFont="1" applyBorder="1" applyAlignment="1">
      <alignment horizontal="center"/>
    </xf>
    <xf numFmtId="164" fontId="36" fillId="0" borderId="14" xfId="2" applyNumberFormat="1" applyFont="1" applyBorder="1" applyAlignment="1">
      <alignment horizontal="center"/>
    </xf>
    <xf numFmtId="0" fontId="5" fillId="4" borderId="13" xfId="2" applyFont="1" applyFill="1" applyBorder="1" applyAlignment="1">
      <alignment horizontal="left"/>
    </xf>
    <xf numFmtId="0" fontId="5" fillId="4" borderId="12" xfId="2" applyFont="1" applyFill="1" applyBorder="1" applyAlignment="1">
      <alignment horizontal="left"/>
    </xf>
    <xf numFmtId="0" fontId="5" fillId="4" borderId="11" xfId="2" applyFont="1" applyFill="1" applyBorder="1" applyAlignment="1">
      <alignment horizontal="left"/>
    </xf>
    <xf numFmtId="0" fontId="36" fillId="0" borderId="10" xfId="2" applyFont="1" applyBorder="1" applyAlignment="1">
      <alignment horizontal="left"/>
    </xf>
    <xf numFmtId="0" fontId="36" fillId="0" borderId="22" xfId="2" applyFont="1" applyBorder="1" applyAlignment="1">
      <alignment horizontal="left"/>
    </xf>
    <xf numFmtId="0" fontId="36" fillId="0" borderId="9" xfId="2" applyFont="1" applyBorder="1" applyAlignment="1">
      <alignment horizontal="left"/>
    </xf>
    <xf numFmtId="0" fontId="36" fillId="0" borderId="8" xfId="2" applyFont="1" applyBorder="1" applyAlignment="1">
      <alignment horizontal="left"/>
    </xf>
    <xf numFmtId="0" fontId="36" fillId="2" borderId="54" xfId="1" applyFont="1" applyFill="1" applyBorder="1" applyAlignment="1">
      <alignment horizontal="left"/>
    </xf>
    <xf numFmtId="0" fontId="36" fillId="2" borderId="0" xfId="1" applyFont="1" applyFill="1" applyAlignment="1">
      <alignment horizontal="left"/>
    </xf>
    <xf numFmtId="0" fontId="36" fillId="0" borderId="19" xfId="0" applyFont="1" applyBorder="1" applyAlignment="1">
      <alignment horizontal="left"/>
    </xf>
    <xf numFmtId="0" fontId="36" fillId="0" borderId="26" xfId="0" applyFont="1" applyBorder="1" applyAlignment="1">
      <alignment horizontal="left"/>
    </xf>
    <xf numFmtId="0" fontId="36" fillId="0" borderId="16" xfId="0" applyFont="1" applyBorder="1" applyAlignment="1">
      <alignment horizontal="left"/>
    </xf>
    <xf numFmtId="0" fontId="36" fillId="0" borderId="51" xfId="2" applyFont="1" applyBorder="1" applyAlignment="1">
      <alignment horizontal="left"/>
    </xf>
    <xf numFmtId="0" fontId="36" fillId="0" borderId="52" xfId="2" applyFont="1" applyBorder="1" applyAlignment="1">
      <alignment horizontal="left"/>
    </xf>
    <xf numFmtId="0" fontId="36" fillId="0" borderId="14" xfId="2" applyFont="1" applyBorder="1" applyAlignment="1">
      <alignment horizontal="left"/>
    </xf>
    <xf numFmtId="0" fontId="5" fillId="3" borderId="5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right" vertical="center" wrapText="1"/>
    </xf>
    <xf numFmtId="0" fontId="24" fillId="0" borderId="6" xfId="0" applyFont="1" applyBorder="1" applyAlignment="1">
      <alignment horizontal="right" vertical="center"/>
    </xf>
    <xf numFmtId="0" fontId="25" fillId="0" borderId="25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24" xfId="0" applyFont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16" fillId="0" borderId="44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3" fillId="0" borderId="6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32" fillId="0" borderId="13" xfId="0" applyFont="1" applyBorder="1" applyAlignment="1">
      <alignment horizontal="right" vertical="center"/>
    </xf>
    <xf numFmtId="0" fontId="32" fillId="0" borderId="12" xfId="0" applyFont="1" applyBorder="1" applyAlignment="1">
      <alignment horizontal="right" vertical="center"/>
    </xf>
    <xf numFmtId="0" fontId="32" fillId="0" borderId="11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30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1" fillId="8" borderId="13" xfId="0" applyFont="1" applyFill="1" applyBorder="1" applyAlignment="1">
      <alignment horizontal="right"/>
    </xf>
    <xf numFmtId="0" fontId="21" fillId="8" borderId="12" xfId="0" applyFont="1" applyFill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6" fillId="0" borderId="30" xfId="0" applyFont="1" applyBorder="1" applyAlignment="1">
      <alignment horizontal="right" vertical="center"/>
    </xf>
    <xf numFmtId="0" fontId="6" fillId="0" borderId="45" xfId="0" applyFont="1" applyBorder="1" applyAlignment="1">
      <alignment horizontal="right" vertical="center"/>
    </xf>
    <xf numFmtId="0" fontId="6" fillId="10" borderId="13" xfId="0" applyFont="1" applyFill="1" applyBorder="1" applyAlignment="1">
      <alignment horizontal="right" vertical="center"/>
    </xf>
    <xf numFmtId="0" fontId="6" fillId="10" borderId="12" xfId="0" applyFont="1" applyFill="1" applyBorder="1" applyAlignment="1">
      <alignment horizontal="right" vertical="center"/>
    </xf>
    <xf numFmtId="0" fontId="6" fillId="10" borderId="11" xfId="0" applyFont="1" applyFill="1" applyBorder="1" applyAlignment="1">
      <alignment horizontal="right" vertical="center"/>
    </xf>
    <xf numFmtId="4" fontId="30" fillId="0" borderId="0" xfId="8" applyNumberFormat="1" applyFont="1" applyFill="1" applyAlignment="1">
      <alignment horizontal="center" vertical="center" wrapText="1"/>
    </xf>
    <xf numFmtId="0" fontId="51" fillId="0" borderId="6" xfId="0" applyFont="1" applyBorder="1"/>
    <xf numFmtId="16" fontId="51" fillId="0" borderId="6" xfId="2" applyNumberFormat="1" applyFont="1" applyBorder="1" applyAlignment="1">
      <alignment horizontal="center"/>
    </xf>
  </cellXfs>
  <cellStyles count="13">
    <cellStyle name="Millares" xfId="7" builtinId="3"/>
    <cellStyle name="Millares [0]" xfId="8" builtinId="6"/>
    <cellStyle name="Millares [0] 2" xfId="12" xr:uid="{CE7C81D5-2019-4EC8-A8F6-133370D5C698}"/>
    <cellStyle name="Millares 2" xfId="11" xr:uid="{AB9B90F3-9B9A-4307-BC0E-776E286098BE}"/>
    <cellStyle name="Normal" xfId="0" builtinId="0"/>
    <cellStyle name="Normal 2" xfId="2" xr:uid="{7DA8F385-436A-492C-BE5D-600E140A7675}"/>
    <cellStyle name="Normal 3" xfId="4" xr:uid="{DCA30906-316E-4755-B789-580CBDC38838}"/>
    <cellStyle name="Normal 3 2" xfId="5" xr:uid="{B77D91CD-C64E-4D31-8AD3-E7BD06D1DC5E}"/>
    <cellStyle name="Normal 5" xfId="9" xr:uid="{C4A12EF6-128D-4DD3-9AE8-CC073A5D99B0}"/>
    <cellStyle name="Normal_CRITERIOS DE EVALUACION PT DE GB" xfId="1" xr:uid="{0D6AC44E-B2C7-49D4-A623-40BEF424BD40}"/>
    <cellStyle name="Normal_CRITERIOS DE EVALUACION PT DE GB 2" xfId="6" xr:uid="{ADC63AAD-D00B-4D68-B6C7-2BAE6E54CD27}"/>
    <cellStyle name="Normal_Torta Mini Chocofresa" xfId="10" xr:uid="{54B04820-7967-4AE2-9B55-9C8366FC8EA1}"/>
    <cellStyle name="Porcentaje 2 2" xfId="3" xr:uid="{3E1A582B-ABF5-4478-97AF-E6D3A68799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62556" cy="916781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56C0408-82B4-4F94-8B2B-8D8881CD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556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0</xdr:row>
      <xdr:rowOff>166687</xdr:rowOff>
    </xdr:from>
    <xdr:to>
      <xdr:col>1</xdr:col>
      <xdr:colOff>896302</xdr:colOff>
      <xdr:row>4</xdr:row>
      <xdr:rowOff>133948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CC595EB3-5099-4452-BE55-1B34786CA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166687"/>
          <a:ext cx="1893094" cy="103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3240</v>
          </cell>
          <cell r="K82">
            <v>5000</v>
          </cell>
          <cell r="L82">
            <v>0.64800000000000002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/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519.7535835784314</v>
          </cell>
          <cell r="H37">
            <v>0.51975358357843138</v>
          </cell>
          <cell r="I37">
            <v>0.1961452571428571</v>
          </cell>
          <cell r="J37">
            <v>1.9614525714285711E-4</v>
          </cell>
          <cell r="K37">
            <v>93.590951190403359</v>
          </cell>
          <cell r="L37">
            <v>9.3590951190403365E-2</v>
          </cell>
          <cell r="M37">
            <v>613.54068002597751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1453.1511405642073</v>
          </cell>
          <cell r="H60">
            <v>1.4531511405642072</v>
          </cell>
          <cell r="I60">
            <v>0</v>
          </cell>
          <cell r="J60">
            <v>0</v>
          </cell>
          <cell r="K60">
            <v>261.56720530155729</v>
          </cell>
          <cell r="L60">
            <v>0.2615672053015573</v>
          </cell>
          <cell r="M60">
            <v>1714.7183458657646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1256.3694363186155</v>
          </cell>
          <cell r="H139">
            <v>1.2563694363186155</v>
          </cell>
          <cell r="I139">
            <v>1.68051968503937</v>
          </cell>
          <cell r="J139">
            <v>1.68051968503937E-3</v>
          </cell>
          <cell r="K139">
            <v>226.44899208065786</v>
          </cell>
          <cell r="L139">
            <v>0.22644899208065786</v>
          </cell>
          <cell r="M139">
            <v>1484.4989480843128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697.42648460477938</v>
          </cell>
          <cell r="H153">
            <v>0.69742648460477941</v>
          </cell>
          <cell r="I153">
            <v>0.71588617857142856</v>
          </cell>
          <cell r="J153">
            <v>7.1588617857142858E-4</v>
          </cell>
          <cell r="K153">
            <v>125.66562674100314</v>
          </cell>
          <cell r="L153">
            <v>0.12566562674100315</v>
          </cell>
          <cell r="M153">
            <v>823.80799752435394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3009.4895322522807</v>
          </cell>
          <cell r="H161">
            <v>3.0094895322522808</v>
          </cell>
          <cell r="I161">
            <v>51.143459448651512</v>
          </cell>
          <cell r="J161">
            <v>5.1143459448651514E-2</v>
          </cell>
          <cell r="K161">
            <v>550.91393850616771</v>
          </cell>
          <cell r="L161">
            <v>0.55091393850616766</v>
          </cell>
          <cell r="M161">
            <v>3611.5469302070996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301.75604395604398</v>
          </cell>
          <cell r="H270">
            <v>0.301756043956044</v>
          </cell>
          <cell r="I270">
            <v>0</v>
          </cell>
          <cell r="J270">
            <v>0</v>
          </cell>
          <cell r="K270">
            <v>54.316087912087916</v>
          </cell>
          <cell r="L270">
            <v>5.4316087912087918E-2</v>
          </cell>
          <cell r="M270">
            <v>356.07213186813192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1045.2603495869855</v>
          </cell>
          <cell r="H274">
            <v>1.0452603495869854</v>
          </cell>
          <cell r="I274">
            <v>0</v>
          </cell>
          <cell r="J274">
            <v>0</v>
          </cell>
          <cell r="K274">
            <v>188.14686292565739</v>
          </cell>
          <cell r="L274">
            <v>0.18814686292565738</v>
          </cell>
          <cell r="M274">
            <v>1233.4072125126429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1256.3694363186155</v>
          </cell>
          <cell r="H302">
            <v>1.2563694363186155</v>
          </cell>
          <cell r="I302">
            <v>12.063927092446777</v>
          </cell>
          <cell r="J302">
            <v>1.2063927092446776E-2</v>
          </cell>
          <cell r="K302">
            <v>228.31800541399122</v>
          </cell>
          <cell r="L302">
            <v>0.22831800541399122</v>
          </cell>
          <cell r="M302">
            <v>1496.7513688250535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2206.2844736384613</v>
          </cell>
          <cell r="H325">
            <v>2.2062844736384615</v>
          </cell>
          <cell r="I325">
            <v>2.784E-2</v>
          </cell>
          <cell r="J325">
            <v>2.7840000000000001E-5</v>
          </cell>
          <cell r="K325">
            <v>397.13621645492304</v>
          </cell>
          <cell r="L325">
            <v>0.39713621645492303</v>
          </cell>
          <cell r="M325">
            <v>2603.4485300933848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603.91061454115993</v>
          </cell>
          <cell r="H333">
            <v>0.60391061454115991</v>
          </cell>
          <cell r="I333">
            <v>27.147058823529409</v>
          </cell>
          <cell r="J333">
            <v>2.714705882352941E-2</v>
          </cell>
          <cell r="K333">
            <v>113.59038120564408</v>
          </cell>
          <cell r="L333">
            <v>0.11359038120564408</v>
          </cell>
          <cell r="M333">
            <v>744.64805457033344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B98F-CF09-45A1-A97A-A50206F7336D}">
  <dimension ref="A1:I59"/>
  <sheetViews>
    <sheetView topLeftCell="A19" zoomScale="78" zoomScaleNormal="59" workbookViewId="0">
      <selection activeCell="E36" sqref="E36"/>
    </sheetView>
  </sheetViews>
  <sheetFormatPr baseColWidth="10" defaultRowHeight="15" x14ac:dyDescent="0.25"/>
  <cols>
    <col min="1" max="1" width="13" bestFit="1" customWidth="1"/>
    <col min="2" max="2" width="17.7109375" customWidth="1"/>
    <col min="3" max="3" width="52" customWidth="1"/>
    <col min="4" max="4" width="34.42578125" bestFit="1" customWidth="1"/>
    <col min="5" max="5" width="11.5703125" bestFit="1" customWidth="1"/>
    <col min="8" max="8" width="27" customWidth="1"/>
    <col min="9" max="9" width="23.5703125" bestFit="1" customWidth="1"/>
  </cols>
  <sheetData>
    <row r="1" spans="1:9" ht="18" x14ac:dyDescent="0.25">
      <c r="A1" s="341"/>
      <c r="B1" s="342"/>
      <c r="C1" s="347" t="s">
        <v>33</v>
      </c>
      <c r="D1" s="347"/>
      <c r="E1" s="347"/>
      <c r="F1" s="347"/>
      <c r="G1" s="347"/>
      <c r="H1" s="88" t="s">
        <v>32</v>
      </c>
      <c r="I1" s="89"/>
    </row>
    <row r="2" spans="1:9" ht="18.75" thickBot="1" x14ac:dyDescent="0.3">
      <c r="A2" s="343"/>
      <c r="B2" s="344"/>
      <c r="C2" s="348" t="s">
        <v>31</v>
      </c>
      <c r="D2" s="348"/>
      <c r="E2" s="348"/>
      <c r="F2" s="348"/>
      <c r="G2" s="348"/>
      <c r="H2" s="90" t="s">
        <v>30</v>
      </c>
      <c r="I2" s="91"/>
    </row>
    <row r="3" spans="1:9" ht="16.149999999999999" customHeight="1" thickBot="1" x14ac:dyDescent="0.3">
      <c r="A3" s="343"/>
      <c r="B3" s="344"/>
      <c r="C3" s="355" t="s">
        <v>144</v>
      </c>
      <c r="D3" s="356"/>
      <c r="E3" s="356"/>
      <c r="F3" s="356"/>
      <c r="G3" s="357"/>
      <c r="H3" s="352" t="s">
        <v>29</v>
      </c>
      <c r="I3" s="332"/>
    </row>
    <row r="4" spans="1:9" ht="18" x14ac:dyDescent="0.25">
      <c r="A4" s="343"/>
      <c r="B4" s="344"/>
      <c r="C4" s="92" t="s">
        <v>28</v>
      </c>
      <c r="D4" s="335" t="s">
        <v>142</v>
      </c>
      <c r="E4" s="336"/>
      <c r="F4" s="336"/>
      <c r="G4" s="337"/>
      <c r="H4" s="353"/>
      <c r="I4" s="333"/>
    </row>
    <row r="5" spans="1:9" ht="18.75" thickBot="1" x14ac:dyDescent="0.3">
      <c r="A5" s="345"/>
      <c r="B5" s="346"/>
      <c r="C5" s="93" t="s">
        <v>27</v>
      </c>
      <c r="D5" s="338" t="s">
        <v>143</v>
      </c>
      <c r="E5" s="339"/>
      <c r="F5" s="339"/>
      <c r="G5" s="340"/>
      <c r="H5" s="354"/>
      <c r="I5" s="334"/>
    </row>
    <row r="6" spans="1:9" ht="18.75" thickBot="1" x14ac:dyDescent="0.3">
      <c r="A6" s="323" t="s">
        <v>26</v>
      </c>
      <c r="B6" s="323"/>
      <c r="C6" s="323"/>
      <c r="D6" s="324" t="s">
        <v>105</v>
      </c>
      <c r="E6" s="324"/>
      <c r="F6" s="324"/>
      <c r="G6" s="325" t="s">
        <v>25</v>
      </c>
      <c r="H6" s="325"/>
      <c r="I6" s="94" t="s">
        <v>105</v>
      </c>
    </row>
    <row r="7" spans="1:9" ht="36" x14ac:dyDescent="0.25">
      <c r="A7" s="326" t="s">
        <v>24</v>
      </c>
      <c r="B7" s="328" t="s">
        <v>107</v>
      </c>
      <c r="C7" s="330" t="s">
        <v>23</v>
      </c>
      <c r="D7" s="330" t="s">
        <v>22</v>
      </c>
      <c r="E7" s="330" t="s">
        <v>21</v>
      </c>
      <c r="F7" s="330"/>
      <c r="G7" s="330" t="s">
        <v>20</v>
      </c>
      <c r="H7" s="330"/>
      <c r="I7" s="95" t="s">
        <v>19</v>
      </c>
    </row>
    <row r="8" spans="1:9" ht="54.75" thickBot="1" x14ac:dyDescent="0.3">
      <c r="A8" s="327"/>
      <c r="B8" s="329"/>
      <c r="C8" s="331"/>
      <c r="D8" s="331"/>
      <c r="E8" s="96" t="s">
        <v>14</v>
      </c>
      <c r="F8" s="97" t="s">
        <v>18</v>
      </c>
      <c r="G8" s="96" t="s">
        <v>14</v>
      </c>
      <c r="H8" s="97" t="s">
        <v>18</v>
      </c>
      <c r="I8" s="98" t="s">
        <v>17</v>
      </c>
    </row>
    <row r="9" spans="1:9" ht="18.75" x14ac:dyDescent="0.3">
      <c r="A9" s="99"/>
      <c r="B9" s="100"/>
      <c r="C9" s="101" t="s">
        <v>108</v>
      </c>
      <c r="D9" s="102"/>
      <c r="E9" s="103"/>
      <c r="F9" s="104"/>
      <c r="G9" s="103"/>
      <c r="H9" s="104"/>
      <c r="I9" s="105"/>
    </row>
    <row r="10" spans="1:9" ht="16.149999999999999" customHeight="1" x14ac:dyDescent="0.3">
      <c r="B10" s="179" t="s">
        <v>135</v>
      </c>
      <c r="C10" s="180" t="s">
        <v>136</v>
      </c>
      <c r="D10" s="181" t="s">
        <v>15</v>
      </c>
      <c r="E10" s="181">
        <v>90</v>
      </c>
      <c r="F10" s="111" t="s">
        <v>2</v>
      </c>
      <c r="G10" s="182"/>
      <c r="H10" s="113" t="s">
        <v>109</v>
      </c>
      <c r="I10" s="105"/>
    </row>
    <row r="11" spans="1:9" ht="18.75" x14ac:dyDescent="0.3">
      <c r="A11" s="106" t="s">
        <v>35</v>
      </c>
      <c r="B11" s="107" t="s">
        <v>36</v>
      </c>
      <c r="C11" s="115" t="s">
        <v>110</v>
      </c>
      <c r="D11" s="109"/>
      <c r="E11" s="114">
        <v>20</v>
      </c>
      <c r="F11" s="111" t="s">
        <v>2</v>
      </c>
      <c r="G11" s="183"/>
      <c r="H11" s="113" t="s">
        <v>137</v>
      </c>
      <c r="I11" s="105"/>
    </row>
    <row r="12" spans="1:9" ht="18.75" x14ac:dyDescent="0.3">
      <c r="A12" s="214" t="s">
        <v>37</v>
      </c>
      <c r="B12" s="215" t="s">
        <v>38</v>
      </c>
      <c r="C12" s="216" t="s">
        <v>111</v>
      </c>
      <c r="D12" s="217" t="s">
        <v>15</v>
      </c>
      <c r="E12" s="218">
        <v>10</v>
      </c>
      <c r="F12" s="111" t="s">
        <v>2</v>
      </c>
      <c r="G12" s="112"/>
      <c r="H12" s="203" t="s">
        <v>145</v>
      </c>
      <c r="I12" s="105"/>
    </row>
    <row r="13" spans="1:9" ht="18.75" x14ac:dyDescent="0.3">
      <c r="A13" s="222" t="s">
        <v>39</v>
      </c>
      <c r="B13" s="223" t="s">
        <v>40</v>
      </c>
      <c r="C13" s="224" t="s">
        <v>112</v>
      </c>
      <c r="D13" s="225" t="s">
        <v>15</v>
      </c>
      <c r="E13" s="226">
        <v>15</v>
      </c>
      <c r="F13" s="111" t="s">
        <v>2</v>
      </c>
      <c r="G13" s="183"/>
      <c r="H13" s="113"/>
      <c r="I13" s="105"/>
    </row>
    <row r="14" spans="1:9" ht="18.75" x14ac:dyDescent="0.3">
      <c r="A14" s="227" t="s">
        <v>41</v>
      </c>
      <c r="B14" s="228" t="s">
        <v>42</v>
      </c>
      <c r="C14" s="229" t="s">
        <v>113</v>
      </c>
      <c r="D14" s="230" t="s">
        <v>15</v>
      </c>
      <c r="E14" s="231">
        <v>10</v>
      </c>
      <c r="F14" s="111" t="s">
        <v>2</v>
      </c>
      <c r="G14" s="121"/>
      <c r="H14" s="113"/>
      <c r="I14" s="105"/>
    </row>
    <row r="15" spans="1:9" ht="18.75" x14ac:dyDescent="0.3">
      <c r="A15" s="107"/>
      <c r="B15" s="107"/>
      <c r="C15" s="122"/>
      <c r="D15" s="123"/>
      <c r="E15" s="124"/>
      <c r="F15" s="125"/>
      <c r="G15" s="121"/>
      <c r="H15" s="126"/>
      <c r="I15" s="105"/>
    </row>
    <row r="16" spans="1:9" ht="18.75" x14ac:dyDescent="0.3">
      <c r="A16" s="127"/>
      <c r="B16" s="127"/>
      <c r="C16" s="128"/>
      <c r="D16" s="123"/>
      <c r="E16" s="124"/>
      <c r="F16" s="125"/>
      <c r="G16" s="121"/>
      <c r="H16" s="126"/>
      <c r="I16" s="105"/>
    </row>
    <row r="17" spans="1:9" ht="18.75" x14ac:dyDescent="0.3">
      <c r="A17" s="129"/>
      <c r="B17" s="107"/>
      <c r="C17" s="119"/>
      <c r="D17" s="123"/>
      <c r="E17" s="124"/>
      <c r="F17" s="125"/>
      <c r="G17" s="121"/>
      <c r="H17" s="126"/>
      <c r="I17" s="105"/>
    </row>
    <row r="18" spans="1:9" ht="18.75" x14ac:dyDescent="0.3">
      <c r="A18" s="107"/>
      <c r="B18" s="107"/>
      <c r="C18" s="122"/>
      <c r="D18" s="123"/>
      <c r="E18" s="124"/>
      <c r="F18" s="125"/>
      <c r="G18" s="121"/>
      <c r="H18" s="126"/>
      <c r="I18" s="105"/>
    </row>
    <row r="19" spans="1:9" ht="18.75" x14ac:dyDescent="0.3">
      <c r="A19" s="130"/>
      <c r="B19" s="130"/>
      <c r="C19" s="108"/>
      <c r="D19" s="123"/>
      <c r="E19" s="124"/>
      <c r="F19" s="125"/>
      <c r="G19" s="121"/>
      <c r="H19" s="126"/>
      <c r="I19" s="105"/>
    </row>
    <row r="20" spans="1:9" ht="18.75" x14ac:dyDescent="0.3">
      <c r="A20" s="107"/>
      <c r="B20" s="107"/>
      <c r="C20" s="122"/>
      <c r="D20" s="131"/>
      <c r="E20" s="132"/>
      <c r="F20" s="133"/>
      <c r="G20" s="116"/>
      <c r="H20" s="126"/>
      <c r="I20" s="105"/>
    </row>
    <row r="21" spans="1:9" ht="18.75" x14ac:dyDescent="0.3">
      <c r="A21" s="107"/>
      <c r="B21" s="107"/>
      <c r="C21" s="119"/>
      <c r="D21" s="114"/>
      <c r="E21" s="114"/>
      <c r="F21" s="111"/>
      <c r="G21" s="103"/>
      <c r="H21" s="134"/>
      <c r="I21" s="105"/>
    </row>
    <row r="22" spans="1:9" ht="18.75" x14ac:dyDescent="0.3">
      <c r="A22" s="135"/>
      <c r="B22" s="136"/>
      <c r="C22" s="137" t="s">
        <v>16</v>
      </c>
      <c r="D22" s="109" t="s">
        <v>114</v>
      </c>
      <c r="E22" s="138"/>
      <c r="F22" s="111"/>
      <c r="G22" s="103"/>
      <c r="H22" s="134"/>
      <c r="I22" s="105"/>
    </row>
    <row r="23" spans="1:9" ht="18.75" x14ac:dyDescent="0.3">
      <c r="A23" s="214" t="s">
        <v>37</v>
      </c>
      <c r="B23" s="219" t="s">
        <v>38</v>
      </c>
      <c r="C23" s="220" t="s">
        <v>111</v>
      </c>
      <c r="D23" s="221" t="s">
        <v>15</v>
      </c>
      <c r="E23" s="218">
        <v>25</v>
      </c>
      <c r="F23" s="111" t="s">
        <v>2</v>
      </c>
      <c r="G23" s="116"/>
      <c r="H23" s="116" t="s">
        <v>117</v>
      </c>
      <c r="I23" s="105"/>
    </row>
    <row r="24" spans="1:9" ht="18.75" x14ac:dyDescent="0.3">
      <c r="A24" s="117" t="s">
        <v>43</v>
      </c>
      <c r="B24" s="118" t="s">
        <v>44</v>
      </c>
      <c r="C24" s="119" t="s">
        <v>115</v>
      </c>
      <c r="D24" s="139" t="s">
        <v>15</v>
      </c>
      <c r="E24" s="110">
        <v>10</v>
      </c>
      <c r="F24" s="111" t="s">
        <v>2</v>
      </c>
      <c r="G24" s="112"/>
      <c r="H24" s="116"/>
      <c r="I24" s="105"/>
    </row>
    <row r="25" spans="1:9" ht="18.75" x14ac:dyDescent="0.3">
      <c r="A25" s="117" t="s">
        <v>45</v>
      </c>
      <c r="B25" s="118" t="s">
        <v>46</v>
      </c>
      <c r="C25" s="119" t="s">
        <v>116</v>
      </c>
      <c r="D25" s="139" t="s">
        <v>15</v>
      </c>
      <c r="E25" s="110">
        <v>2</v>
      </c>
      <c r="F25" s="111" t="s">
        <v>2</v>
      </c>
      <c r="G25" s="116"/>
      <c r="H25" s="116" t="s">
        <v>134</v>
      </c>
      <c r="I25" s="105"/>
    </row>
    <row r="26" spans="1:9" ht="18.75" x14ac:dyDescent="0.3">
      <c r="A26" s="227" t="s">
        <v>41</v>
      </c>
      <c r="B26" s="228" t="s">
        <v>42</v>
      </c>
      <c r="C26" s="229" t="s">
        <v>113</v>
      </c>
      <c r="D26" s="230" t="s">
        <v>15</v>
      </c>
      <c r="E26" s="231">
        <v>20</v>
      </c>
      <c r="F26" s="111" t="s">
        <v>2</v>
      </c>
      <c r="G26" s="116"/>
      <c r="H26" s="116" t="s">
        <v>117</v>
      </c>
      <c r="I26" s="105"/>
    </row>
    <row r="27" spans="1:9" ht="18.75" x14ac:dyDescent="0.3">
      <c r="A27" s="140"/>
      <c r="B27" s="141"/>
      <c r="C27" s="142"/>
      <c r="D27" s="143"/>
      <c r="E27" s="144"/>
      <c r="F27" s="145"/>
      <c r="G27" s="116"/>
      <c r="H27" s="116"/>
      <c r="I27" s="105"/>
    </row>
    <row r="28" spans="1:9" ht="18.75" x14ac:dyDescent="0.3">
      <c r="A28" s="146"/>
      <c r="B28" s="146"/>
      <c r="C28" s="108"/>
      <c r="D28" s="143"/>
      <c r="E28" s="147"/>
      <c r="F28" s="145"/>
      <c r="G28" s="103"/>
      <c r="H28" s="134"/>
      <c r="I28" s="105"/>
    </row>
    <row r="29" spans="1:9" ht="18.75" x14ac:dyDescent="0.3">
      <c r="A29" s="107"/>
      <c r="B29" s="107"/>
      <c r="C29" s="119"/>
      <c r="D29" s="120"/>
      <c r="E29" s="148"/>
      <c r="F29" s="149"/>
      <c r="G29" s="103"/>
      <c r="H29" s="134"/>
      <c r="I29" s="105"/>
    </row>
    <row r="30" spans="1:9" ht="18.75" x14ac:dyDescent="0.3">
      <c r="A30" s="150"/>
      <c r="B30" s="151"/>
      <c r="C30" s="152" t="s">
        <v>118</v>
      </c>
      <c r="D30" s="153" t="s">
        <v>114</v>
      </c>
      <c r="E30" s="103"/>
      <c r="F30" s="104"/>
      <c r="G30" s="103"/>
      <c r="H30" s="134"/>
      <c r="I30" s="105"/>
    </row>
    <row r="31" spans="1:9" ht="20.25" x14ac:dyDescent="0.3">
      <c r="A31" s="173"/>
      <c r="B31" s="174"/>
      <c r="C31" s="175" t="s">
        <v>118</v>
      </c>
      <c r="D31" s="176" t="s">
        <v>114</v>
      </c>
      <c r="E31" s="177"/>
      <c r="F31" s="178"/>
      <c r="G31" s="121"/>
      <c r="H31" s="134"/>
      <c r="I31" s="105"/>
    </row>
    <row r="32" spans="1:9" ht="18.75" x14ac:dyDescent="0.3">
      <c r="A32" s="184">
        <v>51400047</v>
      </c>
      <c r="B32" s="185" t="s">
        <v>119</v>
      </c>
      <c r="C32" s="186" t="s">
        <v>120</v>
      </c>
      <c r="D32" s="181"/>
      <c r="E32" s="181">
        <v>1</v>
      </c>
      <c r="F32" s="187" t="s">
        <v>121</v>
      </c>
      <c r="G32" s="188"/>
      <c r="H32" s="134"/>
      <c r="I32" s="105"/>
    </row>
    <row r="33" spans="1:9" ht="18.75" x14ac:dyDescent="0.3">
      <c r="A33" s="184">
        <v>702077</v>
      </c>
      <c r="B33" s="185" t="s">
        <v>122</v>
      </c>
      <c r="C33" s="186" t="s">
        <v>123</v>
      </c>
      <c r="D33" s="181" t="s">
        <v>124</v>
      </c>
      <c r="E33" s="181">
        <v>1</v>
      </c>
      <c r="F33" s="187" t="s">
        <v>121</v>
      </c>
      <c r="G33" s="189"/>
      <c r="H33" s="134"/>
      <c r="I33" s="105"/>
    </row>
    <row r="34" spans="1:9" ht="18.75" x14ac:dyDescent="0.3">
      <c r="A34" s="184">
        <v>702007</v>
      </c>
      <c r="B34" s="185" t="s">
        <v>48</v>
      </c>
      <c r="C34" s="186" t="s">
        <v>49</v>
      </c>
      <c r="D34" s="181" t="s">
        <v>34</v>
      </c>
      <c r="E34" s="181">
        <v>1</v>
      </c>
      <c r="F34" s="187" t="s">
        <v>121</v>
      </c>
      <c r="G34" s="189"/>
      <c r="H34" s="134"/>
      <c r="I34" s="105"/>
    </row>
    <row r="35" spans="1:9" ht="18.75" x14ac:dyDescent="0.3">
      <c r="A35" s="184">
        <v>702123</v>
      </c>
      <c r="B35" s="185" t="s">
        <v>125</v>
      </c>
      <c r="C35" s="186" t="s">
        <v>126</v>
      </c>
      <c r="D35" s="181"/>
      <c r="E35" s="181">
        <v>1</v>
      </c>
      <c r="F35" s="187" t="s">
        <v>121</v>
      </c>
      <c r="G35" s="189"/>
      <c r="H35" s="134"/>
      <c r="I35" s="105"/>
    </row>
    <row r="36" spans="1:9" ht="18.75" x14ac:dyDescent="0.3">
      <c r="A36" s="184">
        <v>702174</v>
      </c>
      <c r="B36" s="185" t="s">
        <v>50</v>
      </c>
      <c r="C36" s="186" t="s">
        <v>127</v>
      </c>
      <c r="D36" s="181"/>
      <c r="E36" s="181">
        <v>2</v>
      </c>
      <c r="F36" s="187" t="s">
        <v>121</v>
      </c>
      <c r="G36" s="190"/>
      <c r="H36" s="134"/>
      <c r="I36" s="105"/>
    </row>
    <row r="37" spans="1:9" ht="18.75" x14ac:dyDescent="0.3">
      <c r="A37" s="184">
        <v>1950699</v>
      </c>
      <c r="B37" s="185" t="s">
        <v>128</v>
      </c>
      <c r="C37" s="186" t="s">
        <v>129</v>
      </c>
      <c r="D37" s="181"/>
      <c r="E37" s="181">
        <v>1</v>
      </c>
      <c r="F37" s="191" t="s">
        <v>121</v>
      </c>
      <c r="G37" s="192"/>
      <c r="H37" s="134"/>
      <c r="I37" s="105"/>
    </row>
    <row r="38" spans="1:9" ht="18.75" x14ac:dyDescent="0.3">
      <c r="A38" s="184">
        <v>701096</v>
      </c>
      <c r="B38" s="185" t="s">
        <v>130</v>
      </c>
      <c r="C38" s="186" t="s">
        <v>131</v>
      </c>
      <c r="D38" s="181"/>
      <c r="E38" s="181">
        <v>1</v>
      </c>
      <c r="F38" s="193" t="s">
        <v>121</v>
      </c>
      <c r="G38" s="192"/>
      <c r="H38" s="134"/>
      <c r="I38" s="105"/>
    </row>
    <row r="39" spans="1:9" ht="18.75" x14ac:dyDescent="0.3">
      <c r="A39" s="194" t="s">
        <v>150</v>
      </c>
      <c r="B39" s="195" t="s">
        <v>132</v>
      </c>
      <c r="C39" s="196" t="s">
        <v>133</v>
      </c>
      <c r="D39" s="197"/>
      <c r="E39" s="181">
        <v>1</v>
      </c>
      <c r="F39" s="193" t="s">
        <v>121</v>
      </c>
      <c r="G39" s="192"/>
      <c r="H39" s="109"/>
      <c r="I39" s="105"/>
    </row>
    <row r="40" spans="1:9" ht="18.75" x14ac:dyDescent="0.3">
      <c r="A40" s="198"/>
      <c r="B40" s="199"/>
      <c r="C40" s="200"/>
      <c r="D40" s="201"/>
      <c r="E40" s="201"/>
      <c r="F40" s="202"/>
      <c r="G40" s="201"/>
      <c r="H40" s="109"/>
      <c r="I40" s="105"/>
    </row>
    <row r="41" spans="1:9" ht="18.75" thickBot="1" x14ac:dyDescent="0.3">
      <c r="A41" s="154"/>
      <c r="B41" s="155"/>
      <c r="C41" s="156"/>
      <c r="D41" s="156"/>
      <c r="E41" s="157"/>
      <c r="F41" s="158"/>
      <c r="G41" s="156"/>
      <c r="H41" s="156"/>
      <c r="I41" s="159"/>
    </row>
    <row r="42" spans="1:9" ht="18.75" thickBot="1" x14ac:dyDescent="0.3">
      <c r="A42" s="160"/>
      <c r="B42" s="161"/>
      <c r="C42" s="162"/>
      <c r="D42" s="163" t="s">
        <v>14</v>
      </c>
      <c r="E42" s="164" t="s">
        <v>13</v>
      </c>
      <c r="F42" s="165"/>
      <c r="G42" s="162"/>
      <c r="H42" s="162"/>
      <c r="I42" s="166"/>
    </row>
    <row r="43" spans="1:9" ht="18" x14ac:dyDescent="0.25">
      <c r="A43" s="358" t="s">
        <v>12</v>
      </c>
      <c r="B43" s="359"/>
      <c r="C43" s="360"/>
      <c r="D43" s="167">
        <v>190</v>
      </c>
      <c r="E43" s="168" t="s">
        <v>2</v>
      </c>
      <c r="F43" s="361" t="s">
        <v>11</v>
      </c>
      <c r="G43" s="361"/>
      <c r="H43" s="362"/>
      <c r="I43" s="363"/>
    </row>
    <row r="44" spans="1:9" ht="18" x14ac:dyDescent="0.25">
      <c r="A44" s="364" t="s">
        <v>10</v>
      </c>
      <c r="B44" s="365"/>
      <c r="C44" s="366"/>
      <c r="D44" s="169">
        <v>3</v>
      </c>
      <c r="E44" s="170" t="s">
        <v>9</v>
      </c>
      <c r="F44" s="367" t="s">
        <v>8</v>
      </c>
      <c r="G44" s="367"/>
      <c r="H44" s="368"/>
      <c r="I44" s="369"/>
    </row>
    <row r="45" spans="1:9" ht="18" x14ac:dyDescent="0.25">
      <c r="A45" s="364" t="s">
        <v>7</v>
      </c>
      <c r="B45" s="365"/>
      <c r="C45" s="366"/>
      <c r="D45" s="170">
        <v>1</v>
      </c>
      <c r="E45" s="170" t="s">
        <v>121</v>
      </c>
      <c r="F45" s="367" t="s">
        <v>6</v>
      </c>
      <c r="G45" s="367"/>
      <c r="H45" s="368"/>
      <c r="I45" s="369"/>
    </row>
    <row r="46" spans="1:9" ht="18" x14ac:dyDescent="0.25">
      <c r="A46" s="364" t="s">
        <v>5</v>
      </c>
      <c r="B46" s="365"/>
      <c r="C46" s="366"/>
      <c r="D46" s="170">
        <v>190</v>
      </c>
      <c r="E46" s="170" t="s">
        <v>2</v>
      </c>
      <c r="F46" s="374" t="s">
        <v>4</v>
      </c>
      <c r="G46" s="375"/>
      <c r="H46" s="368"/>
      <c r="I46" s="369"/>
    </row>
    <row r="47" spans="1:9" ht="18.75" thickBot="1" x14ac:dyDescent="0.3">
      <c r="A47" s="376" t="s">
        <v>3</v>
      </c>
      <c r="B47" s="377"/>
      <c r="C47" s="378"/>
      <c r="D47" s="171">
        <f>SUM(E10:E26)-D43</f>
        <v>12</v>
      </c>
      <c r="E47" s="172" t="s">
        <v>2</v>
      </c>
      <c r="F47" s="379"/>
      <c r="G47" s="379"/>
      <c r="H47" s="380"/>
      <c r="I47" s="381"/>
    </row>
    <row r="48" spans="1:9" ht="18.75" thickBot="1" x14ac:dyDescent="0.3">
      <c r="A48" s="382" t="s">
        <v>1</v>
      </c>
      <c r="B48" s="383"/>
      <c r="C48" s="383"/>
      <c r="D48" s="383"/>
      <c r="E48" s="383"/>
      <c r="F48" s="383"/>
      <c r="G48" s="383"/>
      <c r="H48" s="383"/>
      <c r="I48" s="384"/>
    </row>
    <row r="49" spans="1:9" ht="18" x14ac:dyDescent="0.25">
      <c r="A49" s="385" t="s">
        <v>138</v>
      </c>
      <c r="B49" s="386"/>
      <c r="C49" s="387"/>
      <c r="D49" s="387"/>
      <c r="E49" s="387"/>
      <c r="F49" s="387"/>
      <c r="G49" s="387"/>
      <c r="H49" s="387"/>
      <c r="I49" s="388"/>
    </row>
    <row r="50" spans="1:9" ht="18" x14ac:dyDescent="0.25">
      <c r="A50" s="370" t="s">
        <v>106</v>
      </c>
      <c r="B50" s="371"/>
      <c r="C50" s="372"/>
      <c r="D50" s="372"/>
      <c r="E50" s="372"/>
      <c r="F50" s="372"/>
      <c r="G50" s="372"/>
      <c r="H50" s="372"/>
      <c r="I50" s="373"/>
    </row>
    <row r="51" spans="1:9" ht="18" x14ac:dyDescent="0.25">
      <c r="A51" s="385" t="s">
        <v>139</v>
      </c>
      <c r="B51" s="386"/>
      <c r="C51" s="387"/>
      <c r="D51" s="387"/>
      <c r="E51" s="387"/>
      <c r="F51" s="387"/>
      <c r="G51" s="387"/>
      <c r="H51" s="387"/>
      <c r="I51" s="388"/>
    </row>
    <row r="52" spans="1:9" ht="18" x14ac:dyDescent="0.25">
      <c r="A52" s="391" t="s">
        <v>140</v>
      </c>
      <c r="B52" s="392"/>
      <c r="C52" s="392"/>
      <c r="D52" s="392"/>
      <c r="E52" s="392"/>
      <c r="F52" s="392"/>
      <c r="G52" s="392"/>
      <c r="H52" s="392"/>
      <c r="I52" s="393"/>
    </row>
    <row r="53" spans="1:9" ht="18" x14ac:dyDescent="0.25">
      <c r="A53" s="391" t="s">
        <v>141</v>
      </c>
      <c r="B53" s="392"/>
      <c r="C53" s="392"/>
      <c r="D53" s="392"/>
      <c r="E53" s="392"/>
      <c r="F53" s="392"/>
      <c r="G53" s="392"/>
      <c r="H53" s="392"/>
      <c r="I53" s="393"/>
    </row>
    <row r="54" spans="1:9" ht="18" customHeight="1" x14ac:dyDescent="0.25">
      <c r="A54" s="391"/>
      <c r="B54" s="392"/>
      <c r="C54" s="392"/>
      <c r="D54" s="392"/>
      <c r="E54" s="392"/>
      <c r="F54" s="392"/>
      <c r="G54" s="392"/>
      <c r="H54" s="392"/>
      <c r="I54" s="393"/>
    </row>
    <row r="55" spans="1:9" ht="18" x14ac:dyDescent="0.25">
      <c r="A55" s="391"/>
      <c r="B55" s="392"/>
      <c r="C55" s="392"/>
      <c r="D55" s="392"/>
      <c r="E55" s="392"/>
      <c r="F55" s="392"/>
      <c r="G55" s="392"/>
      <c r="H55" s="392"/>
      <c r="I55" s="393"/>
    </row>
    <row r="56" spans="1:9" ht="18.75" thickBot="1" x14ac:dyDescent="0.3">
      <c r="A56" s="394"/>
      <c r="B56" s="395"/>
      <c r="C56" s="395"/>
      <c r="D56" s="395"/>
      <c r="E56" s="395"/>
      <c r="F56" s="395"/>
      <c r="G56" s="395"/>
      <c r="H56" s="395"/>
      <c r="I56" s="396"/>
    </row>
    <row r="57" spans="1:9" ht="18" x14ac:dyDescent="0.25">
      <c r="A57" s="397" t="s">
        <v>0</v>
      </c>
      <c r="B57" s="398"/>
      <c r="C57" s="398"/>
      <c r="D57" s="398"/>
      <c r="E57" s="398"/>
      <c r="F57" s="398"/>
      <c r="G57" s="398"/>
      <c r="H57" s="398"/>
      <c r="I57" s="398"/>
    </row>
    <row r="59" spans="1:9" ht="18" x14ac:dyDescent="0.25">
      <c r="A59" s="389"/>
      <c r="B59" s="390"/>
      <c r="C59" s="390"/>
      <c r="D59" s="390"/>
      <c r="E59" s="390"/>
      <c r="F59" s="390"/>
      <c r="G59" s="390"/>
      <c r="H59" s="390"/>
      <c r="I59" s="390"/>
    </row>
  </sheetData>
  <mergeCells count="43">
    <mergeCell ref="A59:I59"/>
    <mergeCell ref="A51:I51"/>
    <mergeCell ref="A52:I52"/>
    <mergeCell ref="A53:I53"/>
    <mergeCell ref="A54:I54"/>
    <mergeCell ref="A55:I55"/>
    <mergeCell ref="A56:I56"/>
    <mergeCell ref="A57:I57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398E-B278-4E98-929B-D7D027F870A8}">
  <sheetPr>
    <pageSetUpPr fitToPage="1"/>
  </sheetPr>
  <dimension ref="A1:I4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4.28515625" bestFit="1" customWidth="1"/>
    <col min="3" max="3" width="71.5703125" customWidth="1"/>
    <col min="4" max="4" width="24.140625" bestFit="1" customWidth="1"/>
    <col min="5" max="5" width="14" bestFit="1" customWidth="1"/>
    <col min="6" max="6" width="16.140625" customWidth="1"/>
    <col min="7" max="7" width="18.5703125" customWidth="1"/>
    <col min="8" max="8" width="21.85546875" customWidth="1"/>
    <col min="9" max="9" width="19.42578125" bestFit="1" customWidth="1"/>
  </cols>
  <sheetData>
    <row r="1" spans="1:9" ht="18" x14ac:dyDescent="0.25">
      <c r="A1" s="341"/>
      <c r="B1" s="342"/>
      <c r="C1" s="347" t="s">
        <v>33</v>
      </c>
      <c r="D1" s="347"/>
      <c r="E1" s="347"/>
      <c r="F1" s="347"/>
      <c r="G1" s="347"/>
      <c r="H1" s="88" t="s">
        <v>32</v>
      </c>
      <c r="I1" s="89" t="s">
        <v>160</v>
      </c>
    </row>
    <row r="2" spans="1:9" ht="18.75" thickBot="1" x14ac:dyDescent="0.3">
      <c r="A2" s="343"/>
      <c r="B2" s="344"/>
      <c r="C2" s="348" t="s">
        <v>31</v>
      </c>
      <c r="D2" s="348"/>
      <c r="E2" s="348"/>
      <c r="F2" s="348"/>
      <c r="G2" s="348"/>
      <c r="H2" s="90" t="s">
        <v>30</v>
      </c>
      <c r="I2" s="91" t="s">
        <v>168</v>
      </c>
    </row>
    <row r="3" spans="1:9" ht="30.75" customHeight="1" thickBot="1" x14ac:dyDescent="0.3">
      <c r="A3" s="343"/>
      <c r="B3" s="344"/>
      <c r="C3" s="349" t="s">
        <v>159</v>
      </c>
      <c r="D3" s="350"/>
      <c r="E3" s="350"/>
      <c r="F3" s="350"/>
      <c r="G3" s="351"/>
      <c r="H3" s="352" t="s">
        <v>29</v>
      </c>
      <c r="I3" s="332">
        <v>46049</v>
      </c>
    </row>
    <row r="4" spans="1:9" ht="18" x14ac:dyDescent="0.25">
      <c r="A4" s="343"/>
      <c r="B4" s="344"/>
      <c r="C4" s="92" t="s">
        <v>28</v>
      </c>
      <c r="D4" s="335" t="s">
        <v>142</v>
      </c>
      <c r="E4" s="336"/>
      <c r="F4" s="336"/>
      <c r="G4" s="337"/>
      <c r="H4" s="353"/>
      <c r="I4" s="333"/>
    </row>
    <row r="5" spans="1:9" ht="18.75" thickBot="1" x14ac:dyDescent="0.3">
      <c r="A5" s="345"/>
      <c r="B5" s="346"/>
      <c r="C5" s="93" t="s">
        <v>27</v>
      </c>
      <c r="D5" s="338" t="s">
        <v>143</v>
      </c>
      <c r="E5" s="339"/>
      <c r="F5" s="339"/>
      <c r="G5" s="340"/>
      <c r="H5" s="354"/>
      <c r="I5" s="334"/>
    </row>
    <row r="6" spans="1:9" ht="18.75" thickBot="1" x14ac:dyDescent="0.3">
      <c r="A6" s="323" t="s">
        <v>26</v>
      </c>
      <c r="B6" s="323"/>
      <c r="C6" s="323"/>
      <c r="D6" s="324" t="s">
        <v>105</v>
      </c>
      <c r="E6" s="324"/>
      <c r="F6" s="324"/>
      <c r="G6" s="325" t="s">
        <v>25</v>
      </c>
      <c r="H6" s="325"/>
      <c r="I6" s="94" t="s">
        <v>105</v>
      </c>
    </row>
    <row r="7" spans="1:9" ht="36" x14ac:dyDescent="0.25">
      <c r="A7" s="326" t="s">
        <v>24</v>
      </c>
      <c r="B7" s="328" t="s">
        <v>107</v>
      </c>
      <c r="C7" s="330" t="s">
        <v>23</v>
      </c>
      <c r="D7" s="330" t="s">
        <v>22</v>
      </c>
      <c r="E7" s="330" t="s">
        <v>21</v>
      </c>
      <c r="F7" s="330"/>
      <c r="G7" s="330" t="s">
        <v>20</v>
      </c>
      <c r="H7" s="330"/>
      <c r="I7" s="95" t="s">
        <v>19</v>
      </c>
    </row>
    <row r="8" spans="1:9" ht="36.75" thickBot="1" x14ac:dyDescent="0.3">
      <c r="A8" s="327"/>
      <c r="B8" s="329"/>
      <c r="C8" s="331"/>
      <c r="D8" s="331"/>
      <c r="E8" s="96" t="s">
        <v>14</v>
      </c>
      <c r="F8" s="97" t="s">
        <v>18</v>
      </c>
      <c r="G8" s="96" t="s">
        <v>14</v>
      </c>
      <c r="H8" s="97" t="s">
        <v>18</v>
      </c>
      <c r="I8" s="98" t="s">
        <v>17</v>
      </c>
    </row>
    <row r="9" spans="1:9" ht="20.25" x14ac:dyDescent="0.3">
      <c r="A9" s="232"/>
      <c r="B9" s="233"/>
      <c r="C9" s="175" t="s">
        <v>108</v>
      </c>
      <c r="D9" s="234"/>
      <c r="E9" s="177"/>
      <c r="F9" s="178"/>
      <c r="G9" s="177"/>
      <c r="H9" s="178"/>
      <c r="I9" s="235"/>
    </row>
    <row r="10" spans="1:9" ht="20.25" x14ac:dyDescent="0.3">
      <c r="A10" s="236"/>
      <c r="B10" s="237" t="s">
        <v>135</v>
      </c>
      <c r="C10" s="238" t="s">
        <v>136</v>
      </c>
      <c r="D10" s="239" t="s">
        <v>15</v>
      </c>
      <c r="E10" s="239">
        <v>90</v>
      </c>
      <c r="F10" s="240" t="s">
        <v>2</v>
      </c>
      <c r="G10" s="241"/>
      <c r="H10" s="242" t="s">
        <v>109</v>
      </c>
      <c r="I10" s="235"/>
    </row>
    <row r="11" spans="1:9" ht="20.25" x14ac:dyDescent="0.3">
      <c r="A11" s="243" t="s">
        <v>35</v>
      </c>
      <c r="B11" s="244" t="s">
        <v>36</v>
      </c>
      <c r="C11" s="245" t="s">
        <v>110</v>
      </c>
      <c r="D11" s="246"/>
      <c r="E11" s="247">
        <v>20</v>
      </c>
      <c r="F11" s="240" t="s">
        <v>2</v>
      </c>
      <c r="G11" s="248"/>
      <c r="H11" s="242" t="s">
        <v>137</v>
      </c>
      <c r="I11" s="235"/>
    </row>
    <row r="12" spans="1:9" ht="20.25" x14ac:dyDescent="0.3">
      <c r="A12" s="242" t="s">
        <v>166</v>
      </c>
      <c r="B12" s="242" t="s">
        <v>167</v>
      </c>
      <c r="C12" s="430" t="s">
        <v>161</v>
      </c>
      <c r="D12" s="431" t="s">
        <v>15</v>
      </c>
      <c r="E12" s="253">
        <v>25</v>
      </c>
      <c r="F12" s="240" t="s">
        <v>2</v>
      </c>
      <c r="G12" s="257"/>
      <c r="H12" s="257" t="s">
        <v>162</v>
      </c>
      <c r="I12" s="235"/>
    </row>
    <row r="13" spans="1:9" ht="20.25" x14ac:dyDescent="0.3">
      <c r="A13" s="249" t="s">
        <v>39</v>
      </c>
      <c r="B13" s="250" t="s">
        <v>40</v>
      </c>
      <c r="C13" s="251" t="s">
        <v>112</v>
      </c>
      <c r="D13" s="253" t="s">
        <v>15</v>
      </c>
      <c r="E13" s="252">
        <v>8</v>
      </c>
      <c r="F13" s="240" t="s">
        <v>2</v>
      </c>
      <c r="G13" s="248"/>
      <c r="H13" s="254" t="s">
        <v>145</v>
      </c>
      <c r="I13" s="235"/>
    </row>
    <row r="14" spans="1:9" ht="20.25" x14ac:dyDescent="0.3">
      <c r="A14" s="249" t="s">
        <v>41</v>
      </c>
      <c r="B14" s="250" t="s">
        <v>42</v>
      </c>
      <c r="C14" s="251" t="s">
        <v>113</v>
      </c>
      <c r="D14" s="253" t="s">
        <v>15</v>
      </c>
      <c r="E14" s="252">
        <v>10</v>
      </c>
      <c r="F14" s="240" t="s">
        <v>2</v>
      </c>
      <c r="G14" s="255"/>
      <c r="H14" s="242"/>
      <c r="I14" s="235"/>
    </row>
    <row r="15" spans="1:9" ht="20.25" x14ac:dyDescent="0.3">
      <c r="A15" s="244"/>
      <c r="B15" s="244"/>
      <c r="C15" s="251"/>
      <c r="D15" s="247"/>
      <c r="E15" s="247"/>
      <c r="F15" s="240"/>
      <c r="G15" s="177"/>
      <c r="H15" s="258"/>
      <c r="I15" s="235"/>
    </row>
    <row r="16" spans="1:9" ht="20.25" x14ac:dyDescent="0.3">
      <c r="A16" s="259"/>
      <c r="B16" s="260"/>
      <c r="C16" s="261" t="s">
        <v>16</v>
      </c>
      <c r="D16" s="246" t="s">
        <v>114</v>
      </c>
      <c r="E16" s="262"/>
      <c r="F16" s="240"/>
      <c r="G16" s="177"/>
      <c r="H16" s="258"/>
      <c r="I16" s="235"/>
    </row>
    <row r="17" spans="1:9" ht="20.25" x14ac:dyDescent="0.3">
      <c r="A17" s="242" t="s">
        <v>166</v>
      </c>
      <c r="B17" s="242" t="s">
        <v>167</v>
      </c>
      <c r="C17" s="430" t="s">
        <v>161</v>
      </c>
      <c r="D17" s="431" t="s">
        <v>15</v>
      </c>
      <c r="E17" s="253">
        <v>25</v>
      </c>
      <c r="F17" s="240" t="s">
        <v>2</v>
      </c>
      <c r="G17" s="257"/>
      <c r="H17" s="257" t="s">
        <v>162</v>
      </c>
      <c r="I17" s="235"/>
    </row>
    <row r="18" spans="1:9" ht="20.25" x14ac:dyDescent="0.3">
      <c r="A18" s="249" t="s">
        <v>43</v>
      </c>
      <c r="B18" s="250" t="s">
        <v>44</v>
      </c>
      <c r="C18" s="251" t="s">
        <v>115</v>
      </c>
      <c r="D18" s="263" t="s">
        <v>15</v>
      </c>
      <c r="E18" s="253">
        <v>10</v>
      </c>
      <c r="F18" s="240" t="s">
        <v>2</v>
      </c>
      <c r="G18" s="254"/>
      <c r="H18" s="257"/>
      <c r="I18" s="235"/>
    </row>
    <row r="19" spans="1:9" ht="20.25" x14ac:dyDescent="0.3">
      <c r="A19" s="249" t="s">
        <v>45</v>
      </c>
      <c r="B19" s="250" t="s">
        <v>46</v>
      </c>
      <c r="C19" s="251" t="s">
        <v>116</v>
      </c>
      <c r="D19" s="263" t="s">
        <v>15</v>
      </c>
      <c r="E19" s="253">
        <v>2</v>
      </c>
      <c r="F19" s="240" t="s">
        <v>2</v>
      </c>
      <c r="G19" s="257"/>
      <c r="H19" s="257" t="s">
        <v>134</v>
      </c>
      <c r="I19" s="235"/>
    </row>
    <row r="20" spans="1:9" ht="20.25" x14ac:dyDescent="0.3">
      <c r="A20" s="249" t="s">
        <v>41</v>
      </c>
      <c r="B20" s="250" t="s">
        <v>42</v>
      </c>
      <c r="C20" s="251" t="s">
        <v>113</v>
      </c>
      <c r="D20" s="253" t="s">
        <v>15</v>
      </c>
      <c r="E20" s="252">
        <v>12</v>
      </c>
      <c r="F20" s="240" t="s">
        <v>2</v>
      </c>
      <c r="G20" s="257"/>
      <c r="H20" s="257" t="s">
        <v>163</v>
      </c>
      <c r="I20" s="235"/>
    </row>
    <row r="21" spans="1:9" ht="20.25" x14ac:dyDescent="0.3">
      <c r="A21" s="173"/>
      <c r="B21" s="173"/>
      <c r="C21" s="285"/>
      <c r="D21" s="176" t="s">
        <v>114</v>
      </c>
      <c r="E21" s="177"/>
      <c r="F21" s="178"/>
      <c r="G21" s="177"/>
      <c r="H21" s="258"/>
      <c r="I21" s="235"/>
    </row>
    <row r="22" spans="1:9" ht="20.25" x14ac:dyDescent="0.3">
      <c r="A22" s="173"/>
      <c r="B22" s="174"/>
      <c r="C22" s="175" t="s">
        <v>118</v>
      </c>
      <c r="D22" s="176" t="s">
        <v>114</v>
      </c>
      <c r="E22" s="177"/>
      <c r="F22" s="178"/>
      <c r="G22" s="255"/>
      <c r="H22" s="258"/>
      <c r="I22" s="235"/>
    </row>
    <row r="23" spans="1:9" ht="20.25" x14ac:dyDescent="0.3">
      <c r="A23" s="239">
        <v>51400047</v>
      </c>
      <c r="B23" s="264" t="s">
        <v>119</v>
      </c>
      <c r="C23" s="238" t="s">
        <v>120</v>
      </c>
      <c r="D23" s="239"/>
      <c r="E23" s="239">
        <v>1</v>
      </c>
      <c r="F23" s="242" t="s">
        <v>121</v>
      </c>
      <c r="G23" s="248"/>
      <c r="H23" s="258"/>
      <c r="I23" s="235"/>
    </row>
    <row r="24" spans="1:9" ht="20.25" x14ac:dyDescent="0.3">
      <c r="A24" s="239">
        <v>702007</v>
      </c>
      <c r="B24" s="264" t="s">
        <v>48</v>
      </c>
      <c r="C24" s="238" t="s">
        <v>49</v>
      </c>
      <c r="D24" s="239" t="s">
        <v>34</v>
      </c>
      <c r="E24" s="239">
        <v>1</v>
      </c>
      <c r="F24" s="242" t="s">
        <v>121</v>
      </c>
      <c r="G24" s="177"/>
      <c r="H24" s="258"/>
      <c r="I24" s="235"/>
    </row>
    <row r="25" spans="1:9" ht="20.25" x14ac:dyDescent="0.3">
      <c r="A25" s="239">
        <v>702123</v>
      </c>
      <c r="B25" s="264" t="s">
        <v>125</v>
      </c>
      <c r="C25" s="238" t="s">
        <v>126</v>
      </c>
      <c r="D25" s="239"/>
      <c r="E25" s="239">
        <v>1</v>
      </c>
      <c r="F25" s="242" t="s">
        <v>121</v>
      </c>
      <c r="G25" s="177"/>
      <c r="H25" s="258"/>
      <c r="I25" s="235"/>
    </row>
    <row r="26" spans="1:9" ht="20.25" x14ac:dyDescent="0.3">
      <c r="A26" s="239">
        <v>702174</v>
      </c>
      <c r="B26" s="264" t="s">
        <v>50</v>
      </c>
      <c r="C26" s="238" t="s">
        <v>127</v>
      </c>
      <c r="D26" s="239"/>
      <c r="E26" s="239">
        <v>2</v>
      </c>
      <c r="F26" s="242" t="s">
        <v>121</v>
      </c>
      <c r="G26" s="265"/>
      <c r="H26" s="258"/>
      <c r="I26" s="235"/>
    </row>
    <row r="27" spans="1:9" ht="20.25" x14ac:dyDescent="0.3">
      <c r="A27" s="239">
        <v>701096</v>
      </c>
      <c r="B27" s="264" t="s">
        <v>130</v>
      </c>
      <c r="C27" s="238" t="s">
        <v>131</v>
      </c>
      <c r="D27" s="239"/>
      <c r="E27" s="239">
        <v>1</v>
      </c>
      <c r="F27" s="266" t="s">
        <v>121</v>
      </c>
      <c r="G27" s="247"/>
      <c r="H27" s="258"/>
      <c r="I27" s="235"/>
    </row>
    <row r="28" spans="1:9" ht="20.25" x14ac:dyDescent="0.3">
      <c r="A28" s="244"/>
      <c r="B28" s="244" t="s">
        <v>156</v>
      </c>
      <c r="C28" s="241" t="s">
        <v>157</v>
      </c>
      <c r="D28" s="256" t="s">
        <v>34</v>
      </c>
      <c r="E28" s="246">
        <v>1</v>
      </c>
      <c r="F28" s="246" t="s">
        <v>158</v>
      </c>
      <c r="G28" s="247"/>
      <c r="H28" s="258"/>
      <c r="I28" s="235"/>
    </row>
    <row r="29" spans="1:9" ht="20.25" x14ac:dyDescent="0.3">
      <c r="A29" s="241"/>
      <c r="B29" s="241"/>
      <c r="C29" s="241"/>
      <c r="D29" s="241"/>
      <c r="E29" s="241"/>
      <c r="F29" s="241"/>
      <c r="G29" s="247"/>
      <c r="H29" s="246"/>
      <c r="I29" s="235"/>
    </row>
    <row r="30" spans="1:9" ht="21" thickBot="1" x14ac:dyDescent="0.35">
      <c r="A30" s="267"/>
      <c r="B30" s="268"/>
      <c r="C30" s="269"/>
      <c r="D30" s="269"/>
      <c r="E30" s="270"/>
      <c r="F30" s="271"/>
      <c r="G30" s="269"/>
      <c r="H30" s="269"/>
      <c r="I30" s="272"/>
    </row>
    <row r="31" spans="1:9" ht="21" thickBot="1" x14ac:dyDescent="0.35">
      <c r="A31" s="273"/>
      <c r="B31" s="274"/>
      <c r="C31" s="275"/>
      <c r="D31" s="276" t="s">
        <v>14</v>
      </c>
      <c r="E31" s="277" t="s">
        <v>13</v>
      </c>
      <c r="F31" s="278"/>
      <c r="G31" s="275"/>
      <c r="H31" s="275"/>
      <c r="I31" s="279"/>
    </row>
    <row r="32" spans="1:9" ht="20.25" x14ac:dyDescent="0.3">
      <c r="A32" s="317" t="s">
        <v>12</v>
      </c>
      <c r="B32" s="318"/>
      <c r="C32" s="319"/>
      <c r="D32" s="280">
        <v>190</v>
      </c>
      <c r="E32" s="281" t="s">
        <v>2</v>
      </c>
      <c r="F32" s="320" t="s">
        <v>11</v>
      </c>
      <c r="G32" s="320"/>
      <c r="H32" s="321"/>
      <c r="I32" s="322"/>
    </row>
    <row r="33" spans="1:9" ht="20.25" x14ac:dyDescent="0.3">
      <c r="A33" s="300" t="s">
        <v>10</v>
      </c>
      <c r="B33" s="301"/>
      <c r="C33" s="302"/>
      <c r="D33" s="282">
        <v>3</v>
      </c>
      <c r="E33" s="242" t="s">
        <v>9</v>
      </c>
      <c r="F33" s="303" t="s">
        <v>8</v>
      </c>
      <c r="G33" s="303"/>
      <c r="H33" s="304"/>
      <c r="I33" s="305"/>
    </row>
    <row r="34" spans="1:9" ht="20.25" x14ac:dyDescent="0.3">
      <c r="A34" s="300" t="s">
        <v>7</v>
      </c>
      <c r="B34" s="301"/>
      <c r="C34" s="302"/>
      <c r="D34" s="242">
        <v>1</v>
      </c>
      <c r="E34" s="242" t="s">
        <v>121</v>
      </c>
      <c r="F34" s="303" t="s">
        <v>6</v>
      </c>
      <c r="G34" s="303"/>
      <c r="H34" s="304"/>
      <c r="I34" s="305"/>
    </row>
    <row r="35" spans="1:9" ht="20.25" x14ac:dyDescent="0.3">
      <c r="A35" s="300" t="s">
        <v>5</v>
      </c>
      <c r="B35" s="301"/>
      <c r="C35" s="302"/>
      <c r="D35" s="242">
        <v>190</v>
      </c>
      <c r="E35" s="242" t="s">
        <v>2</v>
      </c>
      <c r="F35" s="306" t="s">
        <v>4</v>
      </c>
      <c r="G35" s="307"/>
      <c r="H35" s="304"/>
      <c r="I35" s="305"/>
    </row>
    <row r="36" spans="1:9" ht="21" thickBot="1" x14ac:dyDescent="0.35">
      <c r="A36" s="308" t="s">
        <v>3</v>
      </c>
      <c r="B36" s="309"/>
      <c r="C36" s="310"/>
      <c r="D36" s="283">
        <v>12</v>
      </c>
      <c r="E36" s="284" t="s">
        <v>2</v>
      </c>
      <c r="F36" s="311"/>
      <c r="G36" s="311"/>
      <c r="H36" s="312"/>
      <c r="I36" s="313"/>
    </row>
    <row r="37" spans="1:9" ht="21" thickBot="1" x14ac:dyDescent="0.35">
      <c r="A37" s="314" t="s">
        <v>1</v>
      </c>
      <c r="B37" s="315"/>
      <c r="C37" s="315"/>
      <c r="D37" s="315"/>
      <c r="E37" s="315"/>
      <c r="F37" s="315"/>
      <c r="G37" s="315"/>
      <c r="H37" s="315"/>
      <c r="I37" s="316"/>
    </row>
    <row r="38" spans="1:9" ht="20.25" x14ac:dyDescent="0.3">
      <c r="A38" s="287" t="s">
        <v>138</v>
      </c>
      <c r="B38" s="288"/>
      <c r="C38" s="289"/>
      <c r="D38" s="289"/>
      <c r="E38" s="289"/>
      <c r="F38" s="289"/>
      <c r="G38" s="289"/>
      <c r="H38" s="289"/>
      <c r="I38" s="290"/>
    </row>
    <row r="39" spans="1:9" ht="20.25" x14ac:dyDescent="0.3">
      <c r="A39" s="296" t="s">
        <v>106</v>
      </c>
      <c r="B39" s="297"/>
      <c r="C39" s="298"/>
      <c r="D39" s="298"/>
      <c r="E39" s="298"/>
      <c r="F39" s="298"/>
      <c r="G39" s="298"/>
      <c r="H39" s="298"/>
      <c r="I39" s="299"/>
    </row>
    <row r="40" spans="1:9" ht="20.25" x14ac:dyDescent="0.3">
      <c r="A40" s="287" t="s">
        <v>139</v>
      </c>
      <c r="B40" s="288"/>
      <c r="C40" s="289"/>
      <c r="D40" s="289"/>
      <c r="E40" s="289"/>
      <c r="F40" s="289"/>
      <c r="G40" s="289"/>
      <c r="H40" s="289"/>
      <c r="I40" s="290"/>
    </row>
    <row r="41" spans="1:9" ht="20.25" x14ac:dyDescent="0.3">
      <c r="A41" s="291" t="s">
        <v>169</v>
      </c>
      <c r="B41" s="292"/>
      <c r="C41" s="292"/>
      <c r="D41" s="292"/>
      <c r="E41" s="292"/>
      <c r="F41" s="292"/>
      <c r="G41" s="292"/>
      <c r="H41" s="292"/>
      <c r="I41" s="293"/>
    </row>
    <row r="42" spans="1:9" ht="20.25" x14ac:dyDescent="0.3">
      <c r="A42" s="291" t="s">
        <v>141</v>
      </c>
      <c r="B42" s="292"/>
      <c r="C42" s="292"/>
      <c r="D42" s="292"/>
      <c r="E42" s="292"/>
      <c r="F42" s="292"/>
      <c r="G42" s="292"/>
      <c r="H42" s="292"/>
      <c r="I42" s="293"/>
    </row>
    <row r="43" spans="1:9" ht="21" thickBot="1" x14ac:dyDescent="0.35">
      <c r="A43" s="291"/>
      <c r="B43" s="292"/>
      <c r="C43" s="292"/>
      <c r="D43" s="292"/>
      <c r="E43" s="292"/>
      <c r="F43" s="292"/>
      <c r="G43" s="292"/>
      <c r="H43" s="292"/>
      <c r="I43" s="293"/>
    </row>
    <row r="44" spans="1:9" ht="20.25" x14ac:dyDescent="0.3">
      <c r="A44" s="294" t="s">
        <v>0</v>
      </c>
      <c r="B44" s="295"/>
      <c r="C44" s="295"/>
      <c r="D44" s="295"/>
      <c r="E44" s="295"/>
      <c r="F44" s="295"/>
      <c r="G44" s="295"/>
      <c r="H44" s="295"/>
      <c r="I44" s="295"/>
    </row>
    <row r="45" spans="1:9" ht="20.25" x14ac:dyDescent="0.3">
      <c r="A45" s="286" t="s">
        <v>164</v>
      </c>
      <c r="B45" s="286"/>
      <c r="C45" s="286"/>
      <c r="D45" s="286"/>
      <c r="E45" s="286"/>
      <c r="F45" s="286"/>
      <c r="G45" s="286"/>
      <c r="H45" s="286"/>
      <c r="I45" s="286"/>
    </row>
    <row r="46" spans="1:9" ht="20.25" x14ac:dyDescent="0.3">
      <c r="A46" s="286" t="s">
        <v>165</v>
      </c>
      <c r="B46" s="286"/>
      <c r="C46" s="286"/>
      <c r="D46" s="286"/>
      <c r="E46" s="286"/>
      <c r="F46" s="286"/>
      <c r="G46" s="286"/>
      <c r="H46" s="286"/>
      <c r="I46" s="286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2:C32"/>
    <mergeCell ref="F32:G32"/>
    <mergeCell ref="H32:I32"/>
    <mergeCell ref="A33:C33"/>
    <mergeCell ref="F33:G33"/>
    <mergeCell ref="H33:I33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46:I46"/>
    <mergeCell ref="A40:I40"/>
    <mergeCell ref="A41:I41"/>
    <mergeCell ref="A42:I42"/>
    <mergeCell ref="A43:I43"/>
    <mergeCell ref="A44:I44"/>
    <mergeCell ref="A45:I45"/>
  </mergeCells>
  <phoneticPr fontId="55" type="noConversion"/>
  <pageMargins left="0.25" right="0.25" top="0.75" bottom="0.75" header="0.3" footer="0.3"/>
  <pageSetup scale="4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A7AE-4FE6-4DB0-88D4-546C4562370C}">
  <dimension ref="A1:Q94"/>
  <sheetViews>
    <sheetView topLeftCell="A16" workbookViewId="0">
      <selection activeCell="H74" sqref="H74"/>
    </sheetView>
  </sheetViews>
  <sheetFormatPr baseColWidth="10" defaultColWidth="8.42578125" defaultRowHeight="12.75" x14ac:dyDescent="0.25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11" style="6" customWidth="1"/>
    <col min="6" max="6" width="9.5703125" style="6" bestFit="1" customWidth="1"/>
    <col min="7" max="7" width="10.85546875" style="212" customWidth="1"/>
    <col min="8" max="8" width="10.42578125" style="71" bestFit="1" customWidth="1"/>
    <col min="9" max="9" width="4.5703125" style="71" customWidth="1"/>
    <col min="10" max="10" width="1.855468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16384" width="8.42578125" style="6"/>
  </cols>
  <sheetData>
    <row r="1" spans="1:10" ht="27.75" customHeight="1" x14ac:dyDescent="0.25">
      <c r="A1" s="1"/>
      <c r="B1" s="1"/>
      <c r="C1" s="1"/>
      <c r="D1" s="1"/>
      <c r="E1" s="2" t="s">
        <v>51</v>
      </c>
      <c r="F1" s="3" t="s">
        <v>52</v>
      </c>
      <c r="G1" s="3" t="s">
        <v>53</v>
      </c>
      <c r="H1" s="3" t="s">
        <v>54</v>
      </c>
      <c r="I1" s="4"/>
    </row>
    <row r="2" spans="1:10" ht="30.75" customHeight="1" x14ac:dyDescent="0.25">
      <c r="A2" s="1"/>
      <c r="B2" s="1"/>
      <c r="C2" s="1"/>
      <c r="D2" s="1"/>
      <c r="E2" s="7">
        <f>IFERROR(O65,"")</f>
        <v>1334.1516883116883</v>
      </c>
      <c r="F2" s="7">
        <f>IFERROR(H56,"")</f>
        <v>464.67</v>
      </c>
      <c r="G2" s="7">
        <f>IFERROR(H57,"")</f>
        <v>357.17</v>
      </c>
      <c r="H2" s="7">
        <f>IFERROR(H59,"")</f>
        <v>246.55</v>
      </c>
      <c r="I2" s="8"/>
    </row>
    <row r="3" spans="1:10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3">
      <c r="A4" s="400"/>
      <c r="B4" s="400"/>
      <c r="C4" s="400"/>
      <c r="D4" s="400"/>
      <c r="E4" s="400"/>
      <c r="F4" s="400"/>
      <c r="G4" s="400"/>
      <c r="H4" s="400"/>
      <c r="I4" s="10"/>
    </row>
    <row r="5" spans="1:10" ht="19.5" customHeight="1" thickBot="1" x14ac:dyDescent="0.3">
      <c r="A5" s="401" t="s">
        <v>55</v>
      </c>
      <c r="B5" s="402"/>
      <c r="C5" s="402"/>
      <c r="D5" s="402"/>
      <c r="E5" s="402"/>
      <c r="F5" s="402"/>
      <c r="G5" s="402"/>
      <c r="H5" s="403"/>
      <c r="I5" s="11"/>
    </row>
    <row r="6" spans="1:10" ht="19.5" thickBot="1" x14ac:dyDescent="0.3">
      <c r="A6" s="11"/>
      <c r="B6" s="11"/>
      <c r="C6" s="11"/>
      <c r="D6" s="11"/>
      <c r="E6" s="11"/>
      <c r="F6" s="404" t="s">
        <v>56</v>
      </c>
      <c r="G6" s="404"/>
      <c r="H6" s="12">
        <f ca="1">TODAY()</f>
        <v>46104</v>
      </c>
      <c r="I6" s="12"/>
    </row>
    <row r="7" spans="1:10" ht="26.25" thickBot="1" x14ac:dyDescent="0.3">
      <c r="A7" s="13" t="s">
        <v>57</v>
      </c>
      <c r="B7" s="14" t="s">
        <v>58</v>
      </c>
      <c r="C7" s="14" t="s">
        <v>57</v>
      </c>
      <c r="D7" s="15" t="s">
        <v>59</v>
      </c>
      <c r="E7" s="15" t="s">
        <v>60</v>
      </c>
      <c r="F7" s="15" t="s">
        <v>61</v>
      </c>
      <c r="G7" s="15" t="s">
        <v>62</v>
      </c>
      <c r="H7" s="16" t="s">
        <v>63</v>
      </c>
      <c r="I7" s="17"/>
    </row>
    <row r="8" spans="1:10" ht="13.5" x14ac:dyDescent="0.25">
      <c r="A8" s="18">
        <v>0.5</v>
      </c>
      <c r="B8" s="6" t="s">
        <v>116</v>
      </c>
      <c r="C8" s="19">
        <f>+A8</f>
        <v>0.5</v>
      </c>
      <c r="D8" s="20" t="s">
        <v>100</v>
      </c>
      <c r="E8" s="20">
        <v>40</v>
      </c>
      <c r="F8" s="20">
        <f>IFERROR(C8*E8,"")</f>
        <v>20</v>
      </c>
      <c r="G8" s="204">
        <f t="shared" ref="G8:G14" si="0">IFERROR(F8/$F$69,"")</f>
        <v>1.8830026435474111E-2</v>
      </c>
      <c r="H8" s="21"/>
      <c r="I8" s="21"/>
      <c r="J8" s="205"/>
    </row>
    <row r="9" spans="1:10" ht="13.5" hidden="1" x14ac:dyDescent="0.25">
      <c r="A9" s="18"/>
      <c r="B9" s="6" t="str">
        <f>IFERROR(VLOOKUP(H9,'[1]Consolidado MP Planta'!$A$2:$M$823,3,0),"")</f>
        <v/>
      </c>
      <c r="C9" s="19">
        <f t="shared" ref="C9:C14" si="1">+A9</f>
        <v>0</v>
      </c>
      <c r="D9" s="20" t="str">
        <f>IFERROR(VLOOKUP(H9,'[1]Consolidado MP Planta'!$A$2:$M$823,13,0),"")</f>
        <v/>
      </c>
      <c r="E9" s="20" t="str">
        <f>IFERROR(VLOOKUP(H9,'[1]Consolidado MP Planta'!$A$2:$M$823,12,0),"")</f>
        <v/>
      </c>
      <c r="F9" s="20" t="str">
        <f t="shared" ref="F9:F14" si="2">IFERROR(C9*E9,"")</f>
        <v/>
      </c>
      <c r="G9" s="204" t="str">
        <f t="shared" si="0"/>
        <v/>
      </c>
      <c r="H9" s="21"/>
      <c r="I9" s="21"/>
      <c r="J9" s="205"/>
    </row>
    <row r="10" spans="1:10" ht="13.5" hidden="1" x14ac:dyDescent="0.25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04" t="str">
        <f t="shared" si="0"/>
        <v/>
      </c>
      <c r="H10" s="21"/>
      <c r="I10" s="21"/>
      <c r="J10" s="205"/>
    </row>
    <row r="11" spans="1:10" ht="13.5" hidden="1" x14ac:dyDescent="0.25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04" t="str">
        <f t="shared" si="0"/>
        <v/>
      </c>
      <c r="H11" s="21"/>
      <c r="I11" s="21"/>
      <c r="J11" s="205"/>
    </row>
    <row r="12" spans="1:10" ht="13.5" hidden="1" x14ac:dyDescent="0.25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04" t="str">
        <f t="shared" si="0"/>
        <v/>
      </c>
      <c r="H12" s="21"/>
      <c r="I12" s="21"/>
      <c r="J12" s="205"/>
    </row>
    <row r="13" spans="1:10" ht="13.5" hidden="1" x14ac:dyDescent="0.2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04" t="str">
        <f t="shared" si="0"/>
        <v/>
      </c>
      <c r="H13" s="21"/>
      <c r="I13" s="21"/>
      <c r="J13" s="205"/>
    </row>
    <row r="14" spans="1:10" ht="13.5" hidden="1" x14ac:dyDescent="0.2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04" t="str">
        <f t="shared" si="0"/>
        <v/>
      </c>
      <c r="H14" s="21"/>
      <c r="I14" s="21"/>
      <c r="J14" s="205"/>
    </row>
    <row r="15" spans="1:10" ht="14.25" thickBot="1" x14ac:dyDescent="0.3">
      <c r="A15" s="18"/>
      <c r="B15" s="6" t="str">
        <f>IFERROR(VLOOKUP(H15,[2]Hoja2!$A$2:$G$589,2,0),"")</f>
        <v/>
      </c>
      <c r="C15" s="19"/>
      <c r="D15" s="20"/>
      <c r="E15" s="20"/>
      <c r="F15" s="20"/>
      <c r="G15" s="204"/>
      <c r="H15" s="21"/>
      <c r="I15" s="21"/>
      <c r="J15" s="205"/>
    </row>
    <row r="16" spans="1:10" ht="26.25" thickBot="1" x14ac:dyDescent="0.3">
      <c r="A16" s="13" t="s">
        <v>57</v>
      </c>
      <c r="B16" s="14" t="s">
        <v>64</v>
      </c>
      <c r="C16" s="14" t="s">
        <v>57</v>
      </c>
      <c r="D16" s="15" t="s">
        <v>59</v>
      </c>
      <c r="E16" s="15" t="s">
        <v>60</v>
      </c>
      <c r="F16" s="15" t="s">
        <v>61</v>
      </c>
      <c r="G16" s="15" t="s">
        <v>62</v>
      </c>
      <c r="H16" s="16" t="s">
        <v>63</v>
      </c>
      <c r="I16" s="17"/>
      <c r="J16" s="205"/>
    </row>
    <row r="17" spans="1:12" ht="13.5" x14ac:dyDescent="0.25">
      <c r="A17" s="18">
        <v>1</v>
      </c>
      <c r="B17" s="6" t="s">
        <v>136</v>
      </c>
      <c r="C17" s="19">
        <f>+A17</f>
        <v>1</v>
      </c>
      <c r="D17" s="19" t="s">
        <v>99</v>
      </c>
      <c r="E17" s="20">
        <v>123.12</v>
      </c>
      <c r="F17" s="20">
        <f>IFERROR(E17*C17,"")</f>
        <v>123.12</v>
      </c>
      <c r="G17" s="204">
        <f t="shared" ref="G17:G24" si="3">IFERROR(F17/$F$69,"")</f>
        <v>0.11591764273677863</v>
      </c>
      <c r="H17" s="21" t="s">
        <v>135</v>
      </c>
      <c r="I17" s="21"/>
      <c r="J17" s="205"/>
    </row>
    <row r="18" spans="1:12" ht="13.5" x14ac:dyDescent="0.25">
      <c r="A18" s="18">
        <v>20</v>
      </c>
      <c r="B18" s="6" t="s">
        <v>110</v>
      </c>
      <c r="C18" s="19">
        <f t="shared" ref="C18:C24" si="4">+A18</f>
        <v>20</v>
      </c>
      <c r="D18" s="19" t="s">
        <v>149</v>
      </c>
      <c r="E18" s="20">
        <v>1.73</v>
      </c>
      <c r="F18" s="20">
        <f t="shared" ref="F18:F24" si="5">IFERROR(E18*C18,"")</f>
        <v>34.6</v>
      </c>
      <c r="G18" s="204">
        <f t="shared" si="3"/>
        <v>3.2575945733370214E-2</v>
      </c>
      <c r="H18" s="21" t="s">
        <v>36</v>
      </c>
      <c r="I18" s="21"/>
      <c r="J18" s="205"/>
    </row>
    <row r="19" spans="1:12" ht="13.5" x14ac:dyDescent="0.25">
      <c r="A19" s="18">
        <v>35</v>
      </c>
      <c r="B19" s="6" t="s">
        <v>111</v>
      </c>
      <c r="C19" s="19">
        <f>+A19</f>
        <v>35</v>
      </c>
      <c r="D19" s="19" t="s">
        <v>149</v>
      </c>
      <c r="E19" s="20">
        <v>2.5</v>
      </c>
      <c r="F19" s="20">
        <f>IFERROR(E19*C19,"")</f>
        <v>87.5</v>
      </c>
      <c r="G19" s="204">
        <f t="shared" si="3"/>
        <v>8.2381365655199226E-2</v>
      </c>
      <c r="H19" s="21" t="s">
        <v>38</v>
      </c>
      <c r="I19" s="21"/>
      <c r="J19" s="205"/>
    </row>
    <row r="20" spans="1:12" ht="13.5" x14ac:dyDescent="0.25">
      <c r="A20" s="18">
        <v>15</v>
      </c>
      <c r="B20" s="6" t="s">
        <v>112</v>
      </c>
      <c r="C20" s="19">
        <f>+A20</f>
        <v>15</v>
      </c>
      <c r="D20" s="19" t="s">
        <v>149</v>
      </c>
      <c r="E20" s="20">
        <v>3.11</v>
      </c>
      <c r="F20" s="20">
        <f>IFERROR(E20*C20,"")</f>
        <v>46.65</v>
      </c>
      <c r="G20" s="204">
        <f t="shared" si="3"/>
        <v>4.3921036660743359E-2</v>
      </c>
      <c r="H20" s="21" t="s">
        <v>40</v>
      </c>
      <c r="I20" s="21"/>
      <c r="J20" s="205"/>
    </row>
    <row r="21" spans="1:12" ht="13.5" x14ac:dyDescent="0.25">
      <c r="A21" s="18">
        <v>30</v>
      </c>
      <c r="B21" s="6" t="s">
        <v>113</v>
      </c>
      <c r="C21" s="19">
        <f>+A21</f>
        <v>30</v>
      </c>
      <c r="D21" s="19" t="s">
        <v>149</v>
      </c>
      <c r="E21" s="20">
        <v>3.6</v>
      </c>
      <c r="F21" s="20">
        <f>IFERROR(E21*C21,"")</f>
        <v>108</v>
      </c>
      <c r="G21" s="204">
        <f t="shared" si="3"/>
        <v>0.10168214275156019</v>
      </c>
      <c r="H21" s="21" t="s">
        <v>42</v>
      </c>
      <c r="I21" s="21"/>
      <c r="J21" s="205"/>
    </row>
    <row r="22" spans="1:12" ht="13.5" x14ac:dyDescent="0.25">
      <c r="A22" s="18">
        <v>10</v>
      </c>
      <c r="B22" s="6" t="s">
        <v>115</v>
      </c>
      <c r="C22" s="19">
        <f t="shared" si="4"/>
        <v>10</v>
      </c>
      <c r="D22" s="19" t="s">
        <v>149</v>
      </c>
      <c r="E22" s="20">
        <v>4.4800000000000004</v>
      </c>
      <c r="F22" s="20">
        <f t="shared" si="5"/>
        <v>44.800000000000004</v>
      </c>
      <c r="G22" s="204">
        <f t="shared" si="3"/>
        <v>4.2179259215462013E-2</v>
      </c>
      <c r="H22" s="21" t="s">
        <v>44</v>
      </c>
      <c r="I22" s="21"/>
      <c r="J22" s="205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04" t="str">
        <f t="shared" si="3"/>
        <v/>
      </c>
      <c r="H23" s="21"/>
      <c r="I23" s="21"/>
      <c r="J23" s="205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04" t="str">
        <f t="shared" si="3"/>
        <v/>
      </c>
      <c r="H24" s="21"/>
      <c r="I24" s="21"/>
      <c r="J24" s="205"/>
    </row>
    <row r="25" spans="1:12" ht="14.25" thickBot="1" x14ac:dyDescent="0.3">
      <c r="A25" s="18"/>
      <c r="C25" s="19"/>
      <c r="D25" s="19"/>
      <c r="E25" s="20"/>
      <c r="F25" s="20"/>
      <c r="G25" s="204"/>
      <c r="H25" s="21"/>
      <c r="I25" s="21"/>
      <c r="J25" s="205"/>
    </row>
    <row r="26" spans="1:12" ht="26.25" thickBot="1" x14ac:dyDescent="0.3">
      <c r="A26" s="13" t="s">
        <v>57</v>
      </c>
      <c r="B26" s="14" t="s">
        <v>47</v>
      </c>
      <c r="C26" s="14" t="s">
        <v>57</v>
      </c>
      <c r="D26" s="15" t="s">
        <v>59</v>
      </c>
      <c r="E26" s="15" t="s">
        <v>60</v>
      </c>
      <c r="F26" s="15" t="s">
        <v>61</v>
      </c>
      <c r="G26" s="15" t="s">
        <v>62</v>
      </c>
      <c r="H26" s="16" t="s">
        <v>63</v>
      </c>
      <c r="I26" s="17"/>
    </row>
    <row r="27" spans="1:12" ht="13.5" x14ac:dyDescent="0.25">
      <c r="A27" s="18">
        <v>1</v>
      </c>
      <c r="B27" s="22" t="s">
        <v>120</v>
      </c>
      <c r="C27" s="19">
        <f t="shared" ref="C27:C35" si="6">+A27</f>
        <v>1</v>
      </c>
      <c r="D27" s="20" t="s">
        <v>104</v>
      </c>
      <c r="E27" s="20">
        <v>132.22</v>
      </c>
      <c r="F27" s="20">
        <f t="shared" ref="F27:F35" si="7">IFERROR(C27*E27,"")</f>
        <v>132.22</v>
      </c>
      <c r="G27" s="204">
        <f>IFERROR(F27/$F$69,"")</f>
        <v>0.12448530476491934</v>
      </c>
      <c r="H27" s="23" t="s">
        <v>151</v>
      </c>
      <c r="I27" s="23"/>
      <c r="J27" s="205"/>
      <c r="K27" s="399"/>
      <c r="L27" s="399"/>
    </row>
    <row r="28" spans="1:12" ht="13.5" x14ac:dyDescent="0.25">
      <c r="A28" s="18">
        <v>1</v>
      </c>
      <c r="B28" s="22" t="str">
        <f>IFERROR(VLOOKUP(H28,'[1]Consolidado MP Planta'!$A$2:$M$823,3,0),"")</f>
        <v>ETIQ. GENERICA PEQUEÑA V-274 (UND)</v>
      </c>
      <c r="C28" s="19">
        <f t="shared" si="6"/>
        <v>1</v>
      </c>
      <c r="D28" s="20" t="str">
        <f>IFERROR(VLOOKUP(H28,'[1]Consolidado MP Planta'!$A$2:$M$823,13,0),"")</f>
        <v>Und</v>
      </c>
      <c r="E28" s="20">
        <f>IFERROR(VLOOKUP(H28,'[1]Consolidado MP Planta'!$A$2:$M$823,12,0),"")</f>
        <v>13.45</v>
      </c>
      <c r="F28" s="20">
        <f t="shared" si="7"/>
        <v>13.45</v>
      </c>
      <c r="G28" s="204">
        <f>IFERROR(F28/$F$69,"")</f>
        <v>1.2663192777856339E-2</v>
      </c>
      <c r="H28" s="23" t="s">
        <v>102</v>
      </c>
      <c r="I28" s="23"/>
      <c r="J28" s="205"/>
      <c r="K28" s="399"/>
      <c r="L28" s="399"/>
    </row>
    <row r="29" spans="1:12" ht="12.6" customHeight="1" x14ac:dyDescent="0.25">
      <c r="A29" s="18">
        <v>1</v>
      </c>
      <c r="B29" s="22" t="str">
        <f>IFERROR(VLOOKUP(H29,'[1]Consolidado MP Planta'!$A$2:$M$823,3,0),"")</f>
        <v>ETIQ.FECHA VENCIMIENTO BLANCO (ROLLO)</v>
      </c>
      <c r="C29" s="19">
        <f t="shared" si="6"/>
        <v>1</v>
      </c>
      <c r="D29" s="20" t="str">
        <f>IFERROR(VLOOKUP(H29,'[1]Consolidado MP Planta'!$A$2:$M$823,13,0),"")</f>
        <v>Gramos</v>
      </c>
      <c r="E29" s="20">
        <v>0.33</v>
      </c>
      <c r="F29" s="20">
        <f t="shared" si="7"/>
        <v>0.33</v>
      </c>
      <c r="G29" s="204">
        <f>IFERROR(F29/$F$69,"")</f>
        <v>3.1069543618532282E-4</v>
      </c>
      <c r="H29" s="23" t="s">
        <v>103</v>
      </c>
      <c r="I29" s="23"/>
      <c r="J29" s="205"/>
      <c r="K29" s="399"/>
      <c r="L29" s="399"/>
    </row>
    <row r="30" spans="1:12" ht="12.6" customHeight="1" x14ac:dyDescent="0.25">
      <c r="A30" s="18">
        <v>1</v>
      </c>
      <c r="B30" s="22" t="str">
        <f>IFERROR(VLOOKUP(H30,'[1]Consolidado MP Planta'!$A$2:$M$823,3,0),"")</f>
        <v>ETIQUETA BLANCA 2 5/8X1 15/16 (UND)</v>
      </c>
      <c r="C30" s="19">
        <f t="shared" ref="C30:C32" si="8">+A30</f>
        <v>1</v>
      </c>
      <c r="D30" s="20" t="str">
        <f>IFERROR(VLOOKUP(H30,'[1]Consolidado MP Planta'!$A$2:$M$823,13,0),"")</f>
        <v>Und</v>
      </c>
      <c r="E30" s="20">
        <v>2.13</v>
      </c>
      <c r="F30" s="20">
        <f t="shared" ref="F30:F32" si="9">IFERROR(C30*E30,"")</f>
        <v>2.13</v>
      </c>
      <c r="G30" s="204">
        <f t="shared" ref="G30:G32" si="10">IFERROR(F30/$F$69,"")</f>
        <v>2.0053978153779925E-3</v>
      </c>
      <c r="H30" s="23" t="s">
        <v>152</v>
      </c>
      <c r="I30" s="23"/>
      <c r="J30" s="205"/>
      <c r="K30" s="4"/>
      <c r="L30" s="4"/>
    </row>
    <row r="31" spans="1:12" ht="12.6" customHeight="1" x14ac:dyDescent="0.25">
      <c r="A31" s="18">
        <v>2</v>
      </c>
      <c r="B31" s="22" t="str">
        <f>IFERROR(VLOOKUP(H31,'[1]Consolidado MP Planta'!$A$2:$M$823,3,0),"")</f>
        <v>ETIQUETA SELLO SEGURIDAD (ROLLO:1000)</v>
      </c>
      <c r="C31" s="19">
        <f t="shared" si="8"/>
        <v>2</v>
      </c>
      <c r="D31" s="20" t="str">
        <f>IFERROR(VLOOKUP(H31,'[1]Consolidado MP Planta'!$A$2:$M$823,13,0),"")</f>
        <v>Und</v>
      </c>
      <c r="E31" s="20">
        <v>6</v>
      </c>
      <c r="F31" s="20">
        <f t="shared" si="9"/>
        <v>12</v>
      </c>
      <c r="G31" s="204">
        <f t="shared" si="10"/>
        <v>1.1298015861284465E-2</v>
      </c>
      <c r="H31" s="23" t="s">
        <v>153</v>
      </c>
      <c r="I31" s="23"/>
      <c r="J31" s="205"/>
      <c r="K31" s="4"/>
      <c r="L31" s="4"/>
    </row>
    <row r="32" spans="1:12" ht="12.6" customHeight="1" x14ac:dyDescent="0.25">
      <c r="A32" s="18">
        <v>1</v>
      </c>
      <c r="B32" s="22" t="str">
        <f>IFERROR(VLOOKUP(H32,'[1]Consolidado MP Planta'!$A$2:$M$823,3,0),"")</f>
        <v>BASE PARA ROSQUETE (UND)</v>
      </c>
      <c r="C32" s="19">
        <f t="shared" si="8"/>
        <v>1</v>
      </c>
      <c r="D32" s="20" t="str">
        <f>IFERROR(VLOOKUP(H32,'[1]Consolidado MP Planta'!$A$2:$M$823,13,0),"")</f>
        <v>Und</v>
      </c>
      <c r="E32" s="20">
        <v>125</v>
      </c>
      <c r="F32" s="20">
        <f t="shared" si="9"/>
        <v>125</v>
      </c>
      <c r="G32" s="204">
        <f t="shared" si="10"/>
        <v>0.11768766522171319</v>
      </c>
      <c r="H32" s="23" t="s">
        <v>154</v>
      </c>
      <c r="I32" s="23"/>
      <c r="J32" s="205"/>
      <c r="K32" s="4"/>
      <c r="L32" s="4"/>
    </row>
    <row r="33" spans="1:13" ht="13.5" x14ac:dyDescent="0.25">
      <c r="A33" s="18">
        <v>1</v>
      </c>
      <c r="B33" s="22" t="str">
        <f>IFERROR(VLOOKUP(H33,'[1]Consolidado MP Planta'!$A$2:$M$823,3,0),"")</f>
        <v>ETIQUETA BLANCA R-153 (UND)</v>
      </c>
      <c r="C33" s="19">
        <f t="shared" si="6"/>
        <v>1</v>
      </c>
      <c r="D33" s="20" t="str">
        <f>IFERROR(VLOOKUP(H33,'[1]Consolidado MP Planta'!$A$2:$M$823,13,0),"")</f>
        <v>Und</v>
      </c>
      <c r="E33" s="20">
        <v>0.39</v>
      </c>
      <c r="F33" s="20">
        <f t="shared" si="7"/>
        <v>0.39</v>
      </c>
      <c r="G33" s="204">
        <f>IFERROR(F33/$F$69,"")</f>
        <v>3.6718551549174517E-4</v>
      </c>
      <c r="H33" s="23" t="s">
        <v>155</v>
      </c>
      <c r="I33" s="23"/>
      <c r="J33" s="205"/>
      <c r="K33" s="399"/>
      <c r="L33" s="399"/>
    </row>
    <row r="34" spans="1:13" ht="13.5" x14ac:dyDescent="0.25">
      <c r="A34" s="18">
        <v>1</v>
      </c>
      <c r="B34" s="22" t="s">
        <v>133</v>
      </c>
      <c r="C34" s="19">
        <f t="shared" si="6"/>
        <v>1</v>
      </c>
      <c r="D34" s="20" t="s">
        <v>104</v>
      </c>
      <c r="E34" s="20">
        <v>60</v>
      </c>
      <c r="F34" s="20">
        <f t="shared" si="7"/>
        <v>60</v>
      </c>
      <c r="G34" s="204">
        <f>IFERROR(F34/$F$69,"")</f>
        <v>5.6490079306422331E-2</v>
      </c>
      <c r="H34" s="23" t="s">
        <v>150</v>
      </c>
      <c r="I34" s="23"/>
      <c r="J34" s="205"/>
      <c r="K34" s="24"/>
      <c r="L34" s="25"/>
    </row>
    <row r="35" spans="1:13" ht="13.5" x14ac:dyDescent="0.25">
      <c r="A35" s="18"/>
      <c r="B35" s="22" t="str">
        <f>IFERROR(VLOOKUP(H35,'[1]Consolidado MP Planta'!$A$2:$M$823,3,0),"")</f>
        <v/>
      </c>
      <c r="C35" s="19">
        <f t="shared" si="6"/>
        <v>0</v>
      </c>
      <c r="D35" s="20" t="str">
        <f>IFERROR(VLOOKUP(H35,'[1]Consolidado MP Planta'!$A$2:$M$823,13,0),"")</f>
        <v/>
      </c>
      <c r="E35" s="20" t="str">
        <f>IFERROR(VLOOKUP(H35,'[1]Consolidado MP Planta'!$A$2:$M$823,12,0),"")</f>
        <v/>
      </c>
      <c r="F35" s="20" t="str">
        <f t="shared" si="7"/>
        <v/>
      </c>
      <c r="G35" s="204" t="str">
        <f>IFERROR(F35/$F$69,"")</f>
        <v/>
      </c>
      <c r="H35" s="23"/>
      <c r="I35" s="23"/>
      <c r="J35" s="205"/>
    </row>
    <row r="36" spans="1:13" ht="14.25" thickBot="1" x14ac:dyDescent="0.3">
      <c r="A36" s="18"/>
      <c r="B36" s="22"/>
      <c r="C36" s="19"/>
      <c r="D36" s="20"/>
      <c r="E36" s="20"/>
      <c r="F36" s="20"/>
      <c r="G36" s="204"/>
      <c r="H36" s="23"/>
      <c r="I36" s="23"/>
      <c r="J36" s="205"/>
    </row>
    <row r="37" spans="1:13" ht="26.25" thickBot="1" x14ac:dyDescent="0.25">
      <c r="A37" s="13" t="s">
        <v>57</v>
      </c>
      <c r="B37" s="14" t="s">
        <v>65</v>
      </c>
      <c r="C37" s="14" t="s">
        <v>57</v>
      </c>
      <c r="D37" s="15" t="s">
        <v>59</v>
      </c>
      <c r="E37" s="15" t="s">
        <v>60</v>
      </c>
      <c r="F37" s="15" t="s">
        <v>61</v>
      </c>
      <c r="G37" s="15" t="s">
        <v>62</v>
      </c>
      <c r="H37" s="16" t="s">
        <v>63</v>
      </c>
      <c r="I37" s="23"/>
      <c r="J37" s="205"/>
    </row>
    <row r="38" spans="1:13" ht="13.5" x14ac:dyDescent="0.25">
      <c r="A38" s="18">
        <f t="shared" ref="A38:A44" si="11">+A17</f>
        <v>1</v>
      </c>
      <c r="B38" s="22" t="s">
        <v>136</v>
      </c>
      <c r="C38" s="19">
        <f>+A38</f>
        <v>1</v>
      </c>
      <c r="D38" s="20" t="s">
        <v>101</v>
      </c>
      <c r="E38" s="20">
        <v>11</v>
      </c>
      <c r="F38" s="20">
        <f>IFERROR(E38*C38,"")</f>
        <v>11</v>
      </c>
      <c r="G38" s="204">
        <f t="shared" ref="G38:G44" si="12">IFERROR(F38/$F$69,"")</f>
        <v>1.035651453951076E-2</v>
      </c>
      <c r="H38" s="23" t="s">
        <v>135</v>
      </c>
      <c r="I38" s="23"/>
      <c r="J38" s="205"/>
    </row>
    <row r="39" spans="1:13" ht="13.5" x14ac:dyDescent="0.25">
      <c r="A39" s="18">
        <f t="shared" si="11"/>
        <v>20</v>
      </c>
      <c r="B39" s="22" t="s">
        <v>110</v>
      </c>
      <c r="C39" s="19">
        <f t="shared" ref="C39:C44" si="13">+A39</f>
        <v>20</v>
      </c>
      <c r="D39" s="20" t="s">
        <v>149</v>
      </c>
      <c r="E39" s="20">
        <v>0.01</v>
      </c>
      <c r="F39" s="20">
        <f t="shared" ref="F39:F44" si="14">IFERROR(E39*C39,"")</f>
        <v>0.2</v>
      </c>
      <c r="G39" s="204">
        <f t="shared" si="12"/>
        <v>1.8830026435474111E-4</v>
      </c>
      <c r="H39" s="23" t="s">
        <v>36</v>
      </c>
      <c r="I39" s="23"/>
      <c r="J39" s="205"/>
    </row>
    <row r="40" spans="1:13" ht="13.5" x14ac:dyDescent="0.25">
      <c r="A40" s="18">
        <f t="shared" si="11"/>
        <v>35</v>
      </c>
      <c r="B40" s="22" t="s">
        <v>111</v>
      </c>
      <c r="C40" s="19">
        <f t="shared" si="13"/>
        <v>35</v>
      </c>
      <c r="D40" s="20" t="s">
        <v>149</v>
      </c>
      <c r="E40" s="20">
        <v>0.01</v>
      </c>
      <c r="F40" s="20">
        <f t="shared" si="14"/>
        <v>0.35000000000000003</v>
      </c>
      <c r="G40" s="204">
        <f t="shared" si="12"/>
        <v>3.2952546262079698E-4</v>
      </c>
      <c r="H40" s="23" t="s">
        <v>38</v>
      </c>
      <c r="I40" s="23"/>
      <c r="J40" s="205"/>
    </row>
    <row r="41" spans="1:13" ht="13.5" x14ac:dyDescent="0.25">
      <c r="A41" s="18">
        <f t="shared" si="11"/>
        <v>15</v>
      </c>
      <c r="B41" s="22" t="s">
        <v>112</v>
      </c>
      <c r="C41" s="19">
        <f>+A41</f>
        <v>15</v>
      </c>
      <c r="D41" s="20" t="s">
        <v>149</v>
      </c>
      <c r="E41" s="20">
        <v>0</v>
      </c>
      <c r="F41" s="20">
        <f>IFERROR(E41*C41,"")</f>
        <v>0</v>
      </c>
      <c r="G41" s="204">
        <f t="shared" si="12"/>
        <v>0</v>
      </c>
      <c r="H41" s="23" t="s">
        <v>40</v>
      </c>
      <c r="I41" s="23"/>
      <c r="J41" s="205"/>
    </row>
    <row r="42" spans="1:13" ht="13.5" x14ac:dyDescent="0.25">
      <c r="A42" s="18">
        <f t="shared" si="11"/>
        <v>30</v>
      </c>
      <c r="B42" s="22" t="s">
        <v>113</v>
      </c>
      <c r="C42" s="19">
        <f>+A42</f>
        <v>30</v>
      </c>
      <c r="D42" s="20" t="s">
        <v>149</v>
      </c>
      <c r="E42" s="20">
        <v>0</v>
      </c>
      <c r="F42" s="20">
        <f>IFERROR(E42*C42,"")</f>
        <v>0</v>
      </c>
      <c r="G42" s="204">
        <f t="shared" si="12"/>
        <v>0</v>
      </c>
      <c r="H42" s="23" t="s">
        <v>42</v>
      </c>
      <c r="I42" s="23"/>
      <c r="J42" s="205"/>
    </row>
    <row r="43" spans="1:13" ht="13.5" x14ac:dyDescent="0.25">
      <c r="A43" s="18">
        <f t="shared" si="11"/>
        <v>10</v>
      </c>
      <c r="B43" s="22" t="s">
        <v>115</v>
      </c>
      <c r="C43" s="19">
        <f t="shared" si="13"/>
        <v>10</v>
      </c>
      <c r="D43" s="20" t="s">
        <v>149</v>
      </c>
      <c r="E43" s="20">
        <v>0.01</v>
      </c>
      <c r="F43" s="20">
        <f t="shared" si="14"/>
        <v>0.1</v>
      </c>
      <c r="G43" s="204">
        <f t="shared" si="12"/>
        <v>9.4150132177370555E-5</v>
      </c>
      <c r="H43" s="23" t="s">
        <v>44</v>
      </c>
      <c r="I43" s="23"/>
      <c r="J43" s="205"/>
    </row>
    <row r="44" spans="1:13" ht="13.5" x14ac:dyDescent="0.25">
      <c r="A44" s="18">
        <f t="shared" si="11"/>
        <v>0</v>
      </c>
      <c r="B44" s="22" t="str">
        <f>IFERROR(VLOOKUP(H44,[1]SEMIELABORADOS!$A$2:$M$6000,2,0),"")</f>
        <v/>
      </c>
      <c r="C44" s="19">
        <f t="shared" si="13"/>
        <v>0</v>
      </c>
      <c r="D44" s="20" t="str">
        <f>IFERROR(VLOOKUP(H44,[1]SEMIELABORADOS!$A$2:$M$6000,6,0),"")</f>
        <v/>
      </c>
      <c r="E44" s="20" t="str">
        <f>IFERROR(VLOOKUP(H44,[1]SEMIELABORADOS!$A$2:$M$65536,10,0),"")</f>
        <v/>
      </c>
      <c r="F44" s="20" t="str">
        <f t="shared" si="14"/>
        <v/>
      </c>
      <c r="G44" s="204" t="str">
        <f t="shared" si="12"/>
        <v/>
      </c>
      <c r="H44" s="23"/>
      <c r="I44" s="23"/>
      <c r="J44" s="205"/>
    </row>
    <row r="45" spans="1:13" ht="14.25" thickBot="1" x14ac:dyDescent="0.3">
      <c r="A45" s="18"/>
      <c r="B45" s="22"/>
      <c r="C45" s="19"/>
      <c r="D45" s="20"/>
      <c r="E45" s="20"/>
      <c r="F45" s="20"/>
      <c r="G45" s="204"/>
      <c r="H45" s="23"/>
      <c r="I45" s="23"/>
      <c r="J45" s="205"/>
    </row>
    <row r="46" spans="1:13" ht="26.25" thickBot="1" x14ac:dyDescent="0.3">
      <c r="A46" s="13" t="s">
        <v>57</v>
      </c>
      <c r="B46" s="14" t="s">
        <v>66</v>
      </c>
      <c r="C46" s="14" t="s">
        <v>57</v>
      </c>
      <c r="D46" s="15" t="s">
        <v>59</v>
      </c>
      <c r="E46" s="15" t="s">
        <v>60</v>
      </c>
      <c r="F46" s="15" t="s">
        <v>61</v>
      </c>
      <c r="G46" s="15" t="s">
        <v>62</v>
      </c>
      <c r="H46" s="16" t="s">
        <v>63</v>
      </c>
      <c r="I46" s="17"/>
      <c r="J46" s="205"/>
    </row>
    <row r="47" spans="1:13" ht="13.5" x14ac:dyDescent="0.25">
      <c r="A47" s="18">
        <f>+A38</f>
        <v>1</v>
      </c>
      <c r="B47" s="22" t="s">
        <v>136</v>
      </c>
      <c r="C47" s="19">
        <f>+A47</f>
        <v>1</v>
      </c>
      <c r="D47" s="20" t="s">
        <v>101</v>
      </c>
      <c r="E47" s="20">
        <v>6.5</v>
      </c>
      <c r="F47" s="20">
        <f>IFERROR(E47*C47,"")</f>
        <v>6.5</v>
      </c>
      <c r="G47" s="204">
        <f>IFERROR(F47/$F$69,"")</f>
        <v>6.1197585915290856E-3</v>
      </c>
      <c r="H47" s="23" t="s">
        <v>135</v>
      </c>
      <c r="I47" s="17"/>
      <c r="J47" s="205"/>
    </row>
    <row r="48" spans="1:13" ht="13.5" x14ac:dyDescent="0.25">
      <c r="A48" s="18">
        <f t="shared" ref="A48:A53" si="15">+A39</f>
        <v>20</v>
      </c>
      <c r="B48" s="22" t="s">
        <v>110</v>
      </c>
      <c r="C48" s="19">
        <f t="shared" ref="C48:C53" si="16">+A48</f>
        <v>20</v>
      </c>
      <c r="D48" s="20" t="s">
        <v>149</v>
      </c>
      <c r="E48" s="20">
        <v>0.16</v>
      </c>
      <c r="F48" s="20">
        <f t="shared" ref="F48:F53" si="17">IFERROR(E48*C48,"")</f>
        <v>3.2</v>
      </c>
      <c r="G48" s="204">
        <f t="shared" ref="G48:G53" si="18">IFERROR(F48/$F$69,"")</f>
        <v>3.0128042296758578E-3</v>
      </c>
      <c r="H48" s="23" t="s">
        <v>36</v>
      </c>
      <c r="I48" s="17"/>
      <c r="J48" s="205"/>
      <c r="M48" s="26"/>
    </row>
    <row r="49" spans="1:17" ht="13.5" x14ac:dyDescent="0.25">
      <c r="A49" s="18">
        <f t="shared" si="15"/>
        <v>35</v>
      </c>
      <c r="B49" s="22" t="s">
        <v>111</v>
      </c>
      <c r="C49" s="19">
        <f t="shared" si="16"/>
        <v>35</v>
      </c>
      <c r="D49" s="20" t="s">
        <v>149</v>
      </c>
      <c r="E49" s="20">
        <v>0.01</v>
      </c>
      <c r="F49" s="20">
        <f t="shared" si="17"/>
        <v>0.35000000000000003</v>
      </c>
      <c r="G49" s="204">
        <f t="shared" si="18"/>
        <v>3.2952546262079698E-4</v>
      </c>
      <c r="H49" s="23" t="s">
        <v>38</v>
      </c>
      <c r="I49" s="17"/>
      <c r="J49" s="205"/>
    </row>
    <row r="50" spans="1:17" ht="13.5" x14ac:dyDescent="0.25">
      <c r="A50" s="18">
        <f t="shared" si="15"/>
        <v>15</v>
      </c>
      <c r="B50" s="22" t="s">
        <v>112</v>
      </c>
      <c r="C50" s="19">
        <f t="shared" si="16"/>
        <v>15</v>
      </c>
      <c r="D50" s="20" t="s">
        <v>149</v>
      </c>
      <c r="E50" s="20">
        <v>0.04</v>
      </c>
      <c r="F50" s="20">
        <f t="shared" si="17"/>
        <v>0.6</v>
      </c>
      <c r="G50" s="204">
        <f t="shared" si="18"/>
        <v>5.6490079306422325E-4</v>
      </c>
      <c r="H50" s="23" t="s">
        <v>40</v>
      </c>
      <c r="I50" s="17"/>
      <c r="J50" s="205"/>
    </row>
    <row r="51" spans="1:17" ht="13.5" x14ac:dyDescent="0.25">
      <c r="A51" s="18">
        <f t="shared" si="15"/>
        <v>30</v>
      </c>
      <c r="B51" s="22" t="s">
        <v>113</v>
      </c>
      <c r="C51" s="19">
        <f t="shared" si="16"/>
        <v>30</v>
      </c>
      <c r="D51" s="20" t="s">
        <v>149</v>
      </c>
      <c r="E51" s="20">
        <v>0.15</v>
      </c>
      <c r="F51" s="20">
        <f t="shared" si="17"/>
        <v>4.5</v>
      </c>
      <c r="G51" s="204">
        <f t="shared" si="18"/>
        <v>4.236755947981675E-3</v>
      </c>
      <c r="H51" s="23" t="s">
        <v>42</v>
      </c>
      <c r="I51" s="17"/>
      <c r="J51" s="205"/>
    </row>
    <row r="52" spans="1:17" ht="13.5" x14ac:dyDescent="0.25">
      <c r="A52" s="18">
        <f t="shared" si="15"/>
        <v>10</v>
      </c>
      <c r="B52" s="22" t="s">
        <v>115</v>
      </c>
      <c r="C52" s="19">
        <f t="shared" si="16"/>
        <v>10</v>
      </c>
      <c r="D52" s="20" t="s">
        <v>149</v>
      </c>
      <c r="E52" s="20">
        <v>0.04</v>
      </c>
      <c r="F52" s="20">
        <f t="shared" si="17"/>
        <v>0.4</v>
      </c>
      <c r="G52" s="204">
        <f t="shared" si="18"/>
        <v>3.7660052870948222E-4</v>
      </c>
      <c r="H52" s="23" t="s">
        <v>44</v>
      </c>
      <c r="I52" s="17"/>
      <c r="J52" s="205"/>
    </row>
    <row r="53" spans="1:17" ht="13.5" x14ac:dyDescent="0.25">
      <c r="A53" s="18">
        <f t="shared" si="15"/>
        <v>0</v>
      </c>
      <c r="B53" s="22" t="str">
        <f>IFERROR(VLOOKUP(H53,[1]SEMIELABORADOS!$A$2:$M$6000,2,0),"")</f>
        <v/>
      </c>
      <c r="C53" s="19">
        <f t="shared" si="16"/>
        <v>0</v>
      </c>
      <c r="D53" s="20" t="str">
        <f>IFERROR(VLOOKUP(H53,[1]SEMIELABORADOS!$A$2:$M$6000,6,0),"")</f>
        <v/>
      </c>
      <c r="E53" s="20" t="str">
        <f>IFERROR(VLOOKUP(H53,[1]SEMIELABORADOS!$A$2:$M$65536,12,0),"")</f>
        <v/>
      </c>
      <c r="F53" s="20" t="str">
        <f t="shared" si="17"/>
        <v/>
      </c>
      <c r="G53" s="204" t="str">
        <f t="shared" si="18"/>
        <v/>
      </c>
      <c r="H53" s="22"/>
      <c r="I53" s="17"/>
      <c r="J53" s="205"/>
    </row>
    <row r="54" spans="1:17" ht="13.5" x14ac:dyDescent="0.25">
      <c r="A54" s="18">
        <v>1</v>
      </c>
      <c r="B54" s="22" t="s">
        <v>67</v>
      </c>
      <c r="C54" s="19">
        <f>+A54</f>
        <v>1</v>
      </c>
      <c r="D54" s="19" t="s">
        <v>68</v>
      </c>
      <c r="E54" s="20">
        <f>+F68</f>
        <v>231</v>
      </c>
      <c r="F54" s="20">
        <f>IFERROR(C54*E54,"")</f>
        <v>231</v>
      </c>
      <c r="G54" s="204">
        <f>IFERROR(F54/$F$69,"")</f>
        <v>0.21748680532972597</v>
      </c>
      <c r="H54" s="27"/>
      <c r="I54" s="27"/>
      <c r="J54" s="205"/>
    </row>
    <row r="55" spans="1:17" ht="14.25" thickBot="1" x14ac:dyDescent="0.3">
      <c r="A55" s="18"/>
      <c r="B55" s="22"/>
      <c r="C55" s="19"/>
      <c r="D55" s="19"/>
      <c r="E55" s="20"/>
      <c r="F55" s="20"/>
      <c r="G55" s="204"/>
      <c r="H55" s="27"/>
      <c r="I55" s="27"/>
      <c r="J55" s="205"/>
    </row>
    <row r="56" spans="1:17" ht="13.5" thickBot="1" x14ac:dyDescent="0.3">
      <c r="A56" s="28"/>
      <c r="B56" s="409" t="s">
        <v>69</v>
      </c>
      <c r="C56" s="409"/>
      <c r="D56" s="409"/>
      <c r="E56" s="409"/>
      <c r="F56" s="30">
        <f>SUM(F8:F14,F17:F24)</f>
        <v>464.67</v>
      </c>
      <c r="G56" s="204">
        <f>+F56/$F$69</f>
        <v>0.43748741918858775</v>
      </c>
      <c r="H56" s="31">
        <f>+F56/$D$63</f>
        <v>464.67</v>
      </c>
      <c r="I56" s="31"/>
      <c r="J56" s="206"/>
      <c r="K56" s="32"/>
      <c r="L56" s="32"/>
      <c r="M56" s="32"/>
      <c r="N56" s="32"/>
      <c r="O56" s="32"/>
      <c r="P56" s="32"/>
      <c r="Q56" s="33"/>
    </row>
    <row r="57" spans="1:17" x14ac:dyDescent="0.2">
      <c r="A57" s="28"/>
      <c r="B57" s="409" t="s">
        <v>70</v>
      </c>
      <c r="C57" s="409"/>
      <c r="D57" s="409"/>
      <c r="E57" s="409"/>
      <c r="F57" s="30">
        <f>SUM(F27:F35,F38:F44)</f>
        <v>357.17</v>
      </c>
      <c r="G57" s="204">
        <f>+F57/$F$69</f>
        <v>0.33627602709791443</v>
      </c>
      <c r="H57" s="31">
        <f>+F57/$D$63</f>
        <v>357.17</v>
      </c>
      <c r="I57" s="31"/>
      <c r="J57" s="34"/>
      <c r="K57" s="410" t="s">
        <v>71</v>
      </c>
      <c r="L57" s="411"/>
      <c r="M57" s="411"/>
      <c r="N57" s="411"/>
      <c r="O57" s="35">
        <f>+F58</f>
        <v>821.84</v>
      </c>
      <c r="P57" s="35"/>
      <c r="Q57" s="36"/>
    </row>
    <row r="58" spans="1:17" x14ac:dyDescent="0.2">
      <c r="A58" s="28"/>
      <c r="B58" s="409" t="s">
        <v>72</v>
      </c>
      <c r="C58" s="409"/>
      <c r="D58" s="409"/>
      <c r="E58" s="409"/>
      <c r="F58" s="30">
        <f>+F56+F57</f>
        <v>821.84</v>
      </c>
      <c r="G58" s="204">
        <f>+F58/$F$69</f>
        <v>0.77376344628650218</v>
      </c>
      <c r="H58" s="31">
        <f>+F58/$D$63</f>
        <v>821.84</v>
      </c>
      <c r="I58" s="31"/>
      <c r="J58" s="207"/>
      <c r="K58" s="37"/>
      <c r="M58" s="38" t="s">
        <v>73</v>
      </c>
      <c r="N58" s="39"/>
      <c r="O58" s="35">
        <f>+H59</f>
        <v>246.55</v>
      </c>
      <c r="P58" s="35"/>
      <c r="Q58" s="36"/>
    </row>
    <row r="59" spans="1:17" ht="13.5" thickBot="1" x14ac:dyDescent="0.25">
      <c r="A59" s="28"/>
      <c r="B59" s="29"/>
      <c r="C59" s="409" t="s">
        <v>74</v>
      </c>
      <c r="D59" s="409"/>
      <c r="E59" s="409"/>
      <c r="F59" s="30">
        <f>SUM(F47:F54)</f>
        <v>246.55</v>
      </c>
      <c r="G59" s="204">
        <f>+F59/$F$69</f>
        <v>0.2321271508833071</v>
      </c>
      <c r="H59" s="31">
        <f>+F59/$D$63</f>
        <v>246.55</v>
      </c>
      <c r="I59" s="31"/>
      <c r="J59" s="207"/>
      <c r="K59" s="37"/>
      <c r="L59" s="37"/>
      <c r="M59" s="37" t="s">
        <v>75</v>
      </c>
      <c r="N59" s="208"/>
      <c r="O59" s="35">
        <f>O57*N59</f>
        <v>0</v>
      </c>
      <c r="P59" s="35"/>
      <c r="Q59" s="36"/>
    </row>
    <row r="60" spans="1:17" ht="13.5" thickBot="1" x14ac:dyDescent="0.25">
      <c r="A60" s="28"/>
      <c r="B60" s="40"/>
      <c r="C60" s="40"/>
      <c r="D60" s="40"/>
      <c r="E60" s="40"/>
      <c r="F60" s="41"/>
      <c r="G60" s="204"/>
      <c r="H60" s="42"/>
      <c r="I60" s="31"/>
      <c r="J60" s="207"/>
      <c r="K60" s="43"/>
      <c r="M60" s="44" t="s">
        <v>76</v>
      </c>
      <c r="N60" s="45"/>
      <c r="O60" s="46">
        <f>SUM(O57:O59)</f>
        <v>1068.3900000000001</v>
      </c>
      <c r="P60" s="47"/>
      <c r="Q60" s="36"/>
    </row>
    <row r="61" spans="1:17" x14ac:dyDescent="0.2">
      <c r="B61" s="412" t="s">
        <v>77</v>
      </c>
      <c r="C61" s="412"/>
      <c r="D61" s="48">
        <v>190</v>
      </c>
      <c r="E61" s="49"/>
      <c r="G61" s="204"/>
      <c r="H61" s="42">
        <f>+H59/77</f>
        <v>3.2019480519480519</v>
      </c>
      <c r="I61" s="50"/>
      <c r="J61" s="207"/>
      <c r="K61" s="43"/>
      <c r="L61" s="37"/>
      <c r="M61" s="37" t="s">
        <v>146</v>
      </c>
      <c r="N61" s="209"/>
      <c r="O61" s="35">
        <f>+H62</f>
        <v>265.76168831168832</v>
      </c>
      <c r="P61" s="35"/>
      <c r="Q61" s="36"/>
    </row>
    <row r="62" spans="1:17" x14ac:dyDescent="0.2">
      <c r="B62" s="412" t="s">
        <v>78</v>
      </c>
      <c r="C62" s="412"/>
      <c r="D62" s="51">
        <v>190</v>
      </c>
      <c r="E62" s="49"/>
      <c r="G62" s="204"/>
      <c r="H62" s="42">
        <f>+H61*83</f>
        <v>265.76168831168832</v>
      </c>
      <c r="I62" s="50"/>
      <c r="J62" s="207"/>
      <c r="K62" s="43"/>
      <c r="L62" s="37"/>
      <c r="M62" s="413" t="s">
        <v>76</v>
      </c>
      <c r="N62" s="413"/>
      <c r="O62" s="35">
        <f>SUM(O60:O61)</f>
        <v>1334.1516883116883</v>
      </c>
      <c r="P62" s="35"/>
      <c r="Q62" s="36"/>
    </row>
    <row r="63" spans="1:17" ht="13.5" thickBot="1" x14ac:dyDescent="0.25">
      <c r="B63" s="405" t="s">
        <v>79</v>
      </c>
      <c r="C63" s="405"/>
      <c r="D63" s="48">
        <f>+D61/D62</f>
        <v>1</v>
      </c>
      <c r="E63" s="49"/>
      <c r="F63" s="52"/>
      <c r="G63" s="204"/>
      <c r="H63" s="42"/>
      <c r="I63" s="50"/>
      <c r="J63" s="207"/>
      <c r="K63" s="43"/>
      <c r="L63" s="413"/>
      <c r="M63" s="413"/>
      <c r="N63" s="209"/>
      <c r="O63" s="35">
        <f>+O62*N63</f>
        <v>0</v>
      </c>
      <c r="P63" s="35"/>
      <c r="Q63" s="36"/>
    </row>
    <row r="64" spans="1:17" ht="13.5" thickBot="1" x14ac:dyDescent="0.25">
      <c r="B64" s="405" t="s">
        <v>80</v>
      </c>
      <c r="C64" s="405"/>
      <c r="D64" s="53"/>
      <c r="E64" s="49"/>
      <c r="F64" s="52"/>
      <c r="G64" s="204"/>
      <c r="H64" s="42"/>
      <c r="I64" s="50"/>
      <c r="J64" s="207"/>
      <c r="K64" s="406" t="s">
        <v>81</v>
      </c>
      <c r="L64" s="407"/>
      <c r="M64" s="407"/>
      <c r="N64" s="408"/>
      <c r="O64" s="46">
        <f>SUM(O62:O63)</f>
        <v>1334.1516883116883</v>
      </c>
      <c r="P64" s="54" t="s">
        <v>82</v>
      </c>
      <c r="Q64" s="36"/>
    </row>
    <row r="65" spans="2:17" ht="13.5" thickBot="1" x14ac:dyDescent="0.25">
      <c r="C65" s="28" t="s">
        <v>83</v>
      </c>
      <c r="D65" s="55"/>
      <c r="E65" s="4" t="s">
        <v>84</v>
      </c>
      <c r="F65" s="56" t="s">
        <v>85</v>
      </c>
      <c r="G65" s="204"/>
      <c r="H65" s="42"/>
      <c r="I65" s="50"/>
      <c r="J65" s="57"/>
      <c r="K65" s="58"/>
      <c r="L65" s="419" t="s">
        <v>86</v>
      </c>
      <c r="M65" s="419"/>
      <c r="N65" s="419"/>
      <c r="O65" s="59">
        <f>+O64/D63</f>
        <v>1334.1516883116883</v>
      </c>
      <c r="P65" s="60">
        <f>+O65/D62</f>
        <v>7.0218509911141487</v>
      </c>
      <c r="Q65" s="61"/>
    </row>
    <row r="66" spans="2:17" ht="13.5" thickBot="1" x14ac:dyDescent="0.25">
      <c r="B66" s="420" t="s">
        <v>72</v>
      </c>
      <c r="C66" s="420"/>
      <c r="D66" s="420"/>
      <c r="E66" s="210">
        <f>+F66/F66</f>
        <v>1</v>
      </c>
      <c r="F66" s="62">
        <f>SUM(F58)</f>
        <v>821.84</v>
      </c>
      <c r="G66" s="204">
        <f>+F66/$F$69</f>
        <v>0.77376344628650218</v>
      </c>
      <c r="H66" s="42"/>
      <c r="I66" s="50"/>
      <c r="K66" s="421"/>
      <c r="L66" s="422"/>
      <c r="M66" s="422"/>
      <c r="N66" s="422"/>
      <c r="O66" s="63"/>
      <c r="P66" s="64"/>
    </row>
    <row r="67" spans="2:17" ht="13.5" thickBot="1" x14ac:dyDescent="0.3">
      <c r="B67" s="423" t="s">
        <v>87</v>
      </c>
      <c r="C67" s="423"/>
      <c r="D67" s="423"/>
      <c r="E67" s="65">
        <v>0.02</v>
      </c>
      <c r="F67" s="62">
        <f>+F56*E67</f>
        <v>9.2934000000000001</v>
      </c>
      <c r="G67" s="204">
        <f>+F67/$F$69</f>
        <v>8.7497483837717539E-3</v>
      </c>
      <c r="H67" s="31"/>
      <c r="I67" s="50"/>
      <c r="J67" s="211"/>
      <c r="O67" s="66"/>
      <c r="P67" s="29"/>
    </row>
    <row r="68" spans="2:17" ht="13.5" thickBot="1" x14ac:dyDescent="0.3">
      <c r="B68" s="424" t="s">
        <v>88</v>
      </c>
      <c r="C68" s="425"/>
      <c r="D68" s="67">
        <v>3</v>
      </c>
      <c r="E68" s="68">
        <v>77</v>
      </c>
      <c r="F68" s="62">
        <f>+E68*D68</f>
        <v>231</v>
      </c>
      <c r="G68" s="204">
        <f>+F68/$F$69</f>
        <v>0.21748680532972597</v>
      </c>
      <c r="H68" s="31"/>
      <c r="I68" s="31"/>
      <c r="J68" s="205"/>
    </row>
    <row r="69" spans="2:17" ht="13.5" thickBot="1" x14ac:dyDescent="0.3">
      <c r="B69" s="426" t="s">
        <v>89</v>
      </c>
      <c r="C69" s="427"/>
      <c r="D69" s="427"/>
      <c r="E69" s="428"/>
      <c r="F69" s="41">
        <f>SUM(F66:F68)</f>
        <v>1062.1334000000002</v>
      </c>
      <c r="G69" s="204">
        <f>+F69/$F$69</f>
        <v>1</v>
      </c>
      <c r="H69" s="429"/>
      <c r="I69" s="31"/>
      <c r="J69" s="205"/>
      <c r="M69" s="6" t="s">
        <v>147</v>
      </c>
    </row>
    <row r="70" spans="2:17" x14ac:dyDescent="0.25">
      <c r="C70" s="26"/>
      <c r="D70" s="26"/>
      <c r="E70" s="70"/>
      <c r="F70" s="62"/>
      <c r="G70" s="204"/>
      <c r="H70" s="429"/>
      <c r="I70" s="69"/>
      <c r="J70" s="6"/>
      <c r="M70" s="6" t="s">
        <v>148</v>
      </c>
    </row>
    <row r="71" spans="2:17" ht="13.5" thickBot="1" x14ac:dyDescent="0.3">
      <c r="B71" s="414" t="s">
        <v>90</v>
      </c>
      <c r="C71" s="414"/>
      <c r="D71" s="414"/>
      <c r="E71" s="414"/>
      <c r="F71" s="414"/>
      <c r="G71" s="204"/>
      <c r="H71" s="72"/>
      <c r="I71" s="69"/>
      <c r="J71" s="6"/>
      <c r="M71" s="6" t="s">
        <v>91</v>
      </c>
    </row>
    <row r="72" spans="2:17" ht="13.5" thickBot="1" x14ac:dyDescent="0.3">
      <c r="B72" s="73" t="s">
        <v>92</v>
      </c>
      <c r="C72" s="74">
        <f>+F56</f>
        <v>464.67</v>
      </c>
      <c r="D72" s="74">
        <f>+D61</f>
        <v>190</v>
      </c>
      <c r="E72" s="75">
        <f>+C72/D72</f>
        <v>2.4456315789473684</v>
      </c>
      <c r="F72" s="204"/>
      <c r="G72" s="72"/>
      <c r="H72" s="205"/>
      <c r="I72" s="72"/>
      <c r="J72" s="6"/>
    </row>
    <row r="73" spans="2:17" x14ac:dyDescent="0.25">
      <c r="B73" s="76"/>
      <c r="C73" s="77"/>
      <c r="D73" s="78"/>
      <c r="E73" s="62"/>
      <c r="F73" s="204"/>
      <c r="G73" s="72"/>
      <c r="H73" s="205"/>
      <c r="I73" s="205"/>
      <c r="J73" s="6"/>
    </row>
    <row r="74" spans="2:17" x14ac:dyDescent="0.25">
      <c r="B74" s="73" t="s">
        <v>93</v>
      </c>
      <c r="C74" s="74">
        <f>SUM(F66:F67)</f>
        <v>831.13340000000005</v>
      </c>
      <c r="D74" s="74">
        <f>+D61</f>
        <v>190</v>
      </c>
      <c r="E74" s="79">
        <f>+C74/D74</f>
        <v>4.374386315789474</v>
      </c>
      <c r="F74" s="204"/>
      <c r="G74" s="72"/>
      <c r="H74" s="205"/>
      <c r="I74" s="205"/>
      <c r="J74" s="6"/>
    </row>
    <row r="75" spans="2:17" x14ac:dyDescent="0.25">
      <c r="B75" s="73"/>
      <c r="C75" s="74"/>
      <c r="D75" s="74"/>
      <c r="E75" s="79"/>
      <c r="F75" s="204"/>
      <c r="G75" s="72"/>
      <c r="H75" s="205"/>
      <c r="I75" s="205"/>
      <c r="J75" s="6"/>
    </row>
    <row r="76" spans="2:17" ht="13.5" thickBot="1" x14ac:dyDescent="0.3">
      <c r="B76" s="73" t="s">
        <v>94</v>
      </c>
      <c r="C76" s="74">
        <f>+F68</f>
        <v>231</v>
      </c>
      <c r="D76" s="74">
        <f>+D61</f>
        <v>190</v>
      </c>
      <c r="E76" s="79">
        <f>+C76/D76</f>
        <v>1.2157894736842105</v>
      </c>
      <c r="F76" s="204"/>
      <c r="G76" s="72"/>
      <c r="H76" s="205"/>
      <c r="I76" s="205"/>
      <c r="J76" s="6"/>
    </row>
    <row r="77" spans="2:17" ht="13.5" thickBot="1" x14ac:dyDescent="0.3">
      <c r="B77" s="73" t="s">
        <v>95</v>
      </c>
      <c r="C77" s="74">
        <f>+F59</f>
        <v>246.55</v>
      </c>
      <c r="D77" s="74">
        <f>+D76</f>
        <v>190</v>
      </c>
      <c r="E77" s="75">
        <f>+C77/D77</f>
        <v>1.2976315789473685</v>
      </c>
      <c r="F77" s="204"/>
      <c r="G77" s="72"/>
      <c r="H77" s="205"/>
      <c r="I77" s="205"/>
      <c r="J77" s="6"/>
    </row>
    <row r="78" spans="2:17" ht="13.5" thickBot="1" x14ac:dyDescent="0.3">
      <c r="B78" s="40"/>
      <c r="C78" s="41"/>
      <c r="D78" s="41"/>
      <c r="E78" s="79"/>
      <c r="F78" s="204"/>
      <c r="G78" s="72"/>
      <c r="H78" s="205"/>
      <c r="I78" s="205"/>
      <c r="J78" s="6"/>
    </row>
    <row r="79" spans="2:17" ht="13.5" thickBot="1" x14ac:dyDescent="0.3">
      <c r="B79" s="73" t="s">
        <v>96</v>
      </c>
      <c r="C79" s="74">
        <f>+F57</f>
        <v>357.17</v>
      </c>
      <c r="D79" s="74">
        <f>+D77</f>
        <v>190</v>
      </c>
      <c r="E79" s="75">
        <f>+C79/D79</f>
        <v>1.879842105263158</v>
      </c>
      <c r="F79" s="204"/>
      <c r="G79" s="72"/>
      <c r="H79" s="205"/>
      <c r="I79" s="205"/>
      <c r="J79" s="205"/>
    </row>
    <row r="80" spans="2:17" ht="13.5" thickBot="1" x14ac:dyDescent="0.3">
      <c r="B80" s="40"/>
      <c r="C80" s="41"/>
      <c r="D80" s="41"/>
      <c r="E80" s="79"/>
      <c r="F80" s="204"/>
      <c r="G80" s="72"/>
      <c r="H80" s="205"/>
      <c r="I80" s="205"/>
    </row>
    <row r="81" spans="1:10" ht="13.5" thickBot="1" x14ac:dyDescent="0.3">
      <c r="B81" s="415" t="s">
        <v>97</v>
      </c>
      <c r="C81" s="416"/>
      <c r="D81" s="417"/>
      <c r="E81" s="75">
        <f>+E72+E77</f>
        <v>3.7432631578947371</v>
      </c>
      <c r="G81" s="204"/>
      <c r="H81" s="72"/>
      <c r="I81" s="205"/>
      <c r="J81" s="79"/>
    </row>
    <row r="82" spans="1:10" x14ac:dyDescent="0.25">
      <c r="I82" s="72"/>
      <c r="J82" s="6"/>
    </row>
    <row r="83" spans="1:10" ht="13.5" thickBot="1" x14ac:dyDescent="0.3">
      <c r="B83" s="414" t="s">
        <v>98</v>
      </c>
      <c r="C83" s="414"/>
      <c r="D83" s="414"/>
      <c r="E83" s="414"/>
      <c r="F83" s="414"/>
      <c r="G83" s="204"/>
      <c r="H83" s="72"/>
      <c r="J83" s="6"/>
    </row>
    <row r="84" spans="1:10" ht="13.5" thickBot="1" x14ac:dyDescent="0.3">
      <c r="B84" s="73" t="s">
        <v>92</v>
      </c>
      <c r="C84" s="74">
        <f>+C72</f>
        <v>464.67</v>
      </c>
      <c r="D84" s="74">
        <f>+D63</f>
        <v>1</v>
      </c>
      <c r="E84" s="75">
        <f>+C84/D84</f>
        <v>464.67</v>
      </c>
      <c r="F84" s="204"/>
      <c r="G84" s="72"/>
      <c r="H84" s="205"/>
      <c r="I84" s="72"/>
      <c r="J84" s="6"/>
    </row>
    <row r="85" spans="1:10" x14ac:dyDescent="0.25">
      <c r="B85" s="76"/>
      <c r="C85" s="77"/>
      <c r="D85" s="78"/>
      <c r="E85" s="62"/>
      <c r="F85" s="204"/>
      <c r="G85" s="72"/>
      <c r="H85" s="205"/>
      <c r="I85" s="205"/>
      <c r="J85" s="6"/>
    </row>
    <row r="86" spans="1:10" x14ac:dyDescent="0.25">
      <c r="B86" s="73" t="s">
        <v>93</v>
      </c>
      <c r="C86" s="74">
        <f>+C74</f>
        <v>831.13340000000005</v>
      </c>
      <c r="D86" s="74">
        <f>+D63</f>
        <v>1</v>
      </c>
      <c r="E86" s="79">
        <f>+C86/D86</f>
        <v>831.13340000000005</v>
      </c>
      <c r="F86" s="204"/>
      <c r="G86" s="72"/>
      <c r="H86" s="205"/>
      <c r="I86" s="205"/>
      <c r="J86" s="6"/>
    </row>
    <row r="87" spans="1:10" x14ac:dyDescent="0.25">
      <c r="B87" s="73"/>
      <c r="C87" s="74"/>
      <c r="D87" s="74"/>
      <c r="E87" s="79"/>
      <c r="F87" s="204"/>
      <c r="G87" s="72"/>
      <c r="H87" s="205"/>
      <c r="I87" s="205"/>
      <c r="J87" s="6"/>
    </row>
    <row r="88" spans="1:10" ht="13.5" thickBot="1" x14ac:dyDescent="0.3">
      <c r="B88" s="73" t="s">
        <v>95</v>
      </c>
      <c r="C88" s="74">
        <f>+C76</f>
        <v>231</v>
      </c>
      <c r="D88" s="74">
        <f>+D63</f>
        <v>1</v>
      </c>
      <c r="E88" s="79">
        <f>+C88/D88</f>
        <v>231</v>
      </c>
      <c r="F88" s="80"/>
      <c r="G88" s="71"/>
      <c r="H88" s="5"/>
      <c r="I88" s="205"/>
    </row>
    <row r="89" spans="1:10" ht="13.5" thickBot="1" x14ac:dyDescent="0.3">
      <c r="B89" s="73" t="s">
        <v>95</v>
      </c>
      <c r="C89" s="74">
        <f>+C77</f>
        <v>246.55</v>
      </c>
      <c r="D89" s="74">
        <f>+D88</f>
        <v>1</v>
      </c>
      <c r="E89" s="75">
        <f>+C89/D89</f>
        <v>246.55</v>
      </c>
      <c r="F89" s="212"/>
      <c r="G89" s="71"/>
      <c r="H89" s="5"/>
      <c r="I89" s="5"/>
    </row>
    <row r="90" spans="1:10" x14ac:dyDescent="0.25">
      <c r="I90" s="5"/>
    </row>
    <row r="91" spans="1:10" x14ac:dyDescent="0.2">
      <c r="A91" s="418"/>
      <c r="B91" s="418"/>
      <c r="C91" s="81"/>
      <c r="D91" s="81"/>
      <c r="E91" s="82"/>
      <c r="G91" s="213"/>
    </row>
    <row r="92" spans="1:10" x14ac:dyDescent="0.2">
      <c r="A92" s="22"/>
      <c r="B92" s="83"/>
      <c r="C92" s="84"/>
      <c r="D92" s="84"/>
      <c r="E92" s="85"/>
      <c r="G92" s="213"/>
    </row>
    <row r="93" spans="1:10" x14ac:dyDescent="0.2">
      <c r="A93" s="22"/>
      <c r="B93" s="83"/>
      <c r="C93" s="86"/>
      <c r="D93" s="86"/>
      <c r="E93" s="22"/>
      <c r="G93" s="213"/>
    </row>
    <row r="94" spans="1:10" x14ac:dyDescent="0.2">
      <c r="A94" s="22"/>
      <c r="B94" s="83"/>
      <c r="C94" s="87"/>
      <c r="D94" s="87"/>
      <c r="E94" s="22"/>
      <c r="G94" s="213"/>
    </row>
  </sheetData>
  <mergeCells count="30">
    <mergeCell ref="B71:F71"/>
    <mergeCell ref="B81:D81"/>
    <mergeCell ref="B83:F83"/>
    <mergeCell ref="A91:B91"/>
    <mergeCell ref="L65:N65"/>
    <mergeCell ref="B66:D66"/>
    <mergeCell ref="K66:N66"/>
    <mergeCell ref="B67:D67"/>
    <mergeCell ref="B68:C68"/>
    <mergeCell ref="B69:E69"/>
    <mergeCell ref="H69:H70"/>
    <mergeCell ref="B64:C64"/>
    <mergeCell ref="K64:N64"/>
    <mergeCell ref="K33:L33"/>
    <mergeCell ref="B56:E56"/>
    <mergeCell ref="B57:E57"/>
    <mergeCell ref="K57:N57"/>
    <mergeCell ref="B58:E58"/>
    <mergeCell ref="C59:E59"/>
    <mergeCell ref="B61:C61"/>
    <mergeCell ref="B62:C62"/>
    <mergeCell ref="M62:N62"/>
    <mergeCell ref="B63:C63"/>
    <mergeCell ref="L63:M63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4EDAA64-7174-4335-BD40-0DD807CB33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D63378-1096-47DF-ADCF-E89026D2B7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FFDE60-4723-4C7F-9757-B7C0CDC6D5D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Mini Cake Oreo</vt:lpstr>
      <vt:lpstr>Mini CAke Oreo 2</vt:lpstr>
      <vt:lpstr>Costo Mini Cake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2026-03-23T22:27:54Z</cp:lastPrinted>
  <dcterms:created xsi:type="dcterms:W3CDTF">2023-05-26T15:03:41Z</dcterms:created>
  <dcterms:modified xsi:type="dcterms:W3CDTF">2026-03-23T22:31:01Z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